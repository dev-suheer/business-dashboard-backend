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Vendor or Merchant related\Travel\AL MOSAFIR\August\New folder\16 to 22 Claim\"/>
    </mc:Choice>
  </mc:AlternateContent>
  <xr:revisionPtr revIDLastSave="0" documentId="13_ncr:1_{31EC86C5-03A7-4DC6-878B-4EFFD38A99E3}" xr6:coauthVersionLast="47" xr6:coauthVersionMax="47" xr10:uidLastSave="{00000000-0000-0000-0000-000000000000}"/>
  <bookViews>
    <workbookView xWindow="-108" yWindow="-108" windowWidth="46296" windowHeight="25416" activeTab="5" xr2:uid="{DDE749F7-5576-47B8-B777-FBDE6B01B01A}"/>
  </bookViews>
  <sheets>
    <sheet name="Vedor Report" sheetId="1" r:id="rId1"/>
    <sheet name="Sheet2" sheetId="2" r:id="rId2"/>
    <sheet name="Hotel" sheetId="3" r:id="rId3"/>
    <sheet name="Flight" sheetId="4" r:id="rId4"/>
    <sheet name="Analysis" sheetId="5" r:id="rId5"/>
    <sheet name="Sheet1" sheetId="6" r:id="rId6"/>
  </sheets>
  <definedNames>
    <definedName name="_xlnm._FilterDatabase" localSheetId="4" hidden="1">Analysis!$A$1:$CB$1</definedName>
    <definedName name="_xlnm._FilterDatabase" localSheetId="5" hidden="1">Sheet1!$D$23:$G$25</definedName>
    <definedName name="DATA1">'Vedor Report'!$A$2:$A$9</definedName>
    <definedName name="DATA10">'Vedor Report'!$J$2:$J$9</definedName>
    <definedName name="DATA11">'Vedor Report'!$K$2:$K$9</definedName>
    <definedName name="DATA12">'Vedor Report'!$L$2:$L$9</definedName>
    <definedName name="DATA13">'Vedor Report'!$M$2:$M$9</definedName>
    <definedName name="DATA14">'Vedor Report'!$N$2:$N$9</definedName>
    <definedName name="DATA15">'Vedor Report'!$O$2:$O$9</definedName>
    <definedName name="DATA16">'Vedor Report'!$P$2:$P$9</definedName>
    <definedName name="DATA17">'Vedor Report'!#REF!</definedName>
    <definedName name="DATA18">'Vedor Report'!#REF!</definedName>
    <definedName name="DATA19">'Vedor Report'!#REF!</definedName>
    <definedName name="DATA2">'Vedor Report'!$B$2:$B$9</definedName>
    <definedName name="DATA20">'Vedor Report'!#REF!</definedName>
    <definedName name="DATA21">'Vedor Report'!#REF!</definedName>
    <definedName name="DATA22">'Vedor Report'!$Q$2:$Q$9</definedName>
    <definedName name="DATA23">'Vedor Report'!$R$2:$R$9</definedName>
    <definedName name="DATA24">'Vedor Report'!$S$2:$S$9</definedName>
    <definedName name="DATA25">'Vedor Report'!#REF!</definedName>
    <definedName name="DATA26">'Vedor Report'!$T$2:$T$9</definedName>
    <definedName name="DATA27">'Vedor Report'!$U$2:$U$9</definedName>
    <definedName name="DATA28">'Vedor Report'!$V$2:$V$9</definedName>
    <definedName name="DATA29">'Vedor Report'!$W$2:$W$9</definedName>
    <definedName name="DATA3">'Vedor Report'!$C$2:$C$9</definedName>
    <definedName name="DATA30">'Vedor Report'!$X$2:$X$9</definedName>
    <definedName name="DATA31">'Vedor Report'!$Y$2:$Y$9</definedName>
    <definedName name="DATA32">'Vedor Report'!$Z$2:$Z$9</definedName>
    <definedName name="DATA33">'Vedor Report'!$AA$2:$AA$9</definedName>
    <definedName name="DATA34">'Vedor Report'!#REF!</definedName>
    <definedName name="DATA35">'Vedor Report'!#REF!</definedName>
    <definedName name="DATA36">'Vedor Report'!$AB$2:$AB$9</definedName>
    <definedName name="DATA37">'Vedor Report'!$AC$2:$AC$9</definedName>
    <definedName name="DATA38">'Vedor Report'!$AD$2:$AD$9</definedName>
    <definedName name="DATA39">'Vedor Report'!$AE$2:$AE$9</definedName>
    <definedName name="DATA4">'Vedor Report'!$D$2:$D$9</definedName>
    <definedName name="DATA40">'Vedor Report'!$AF$2:$AF$9</definedName>
    <definedName name="DATA41">'Vedor Report'!$AI$2:$AI$9</definedName>
    <definedName name="DATA42">'Vedor Report'!#REF!</definedName>
    <definedName name="DATA43">'Vedor Report'!#REF!</definedName>
    <definedName name="DATA44">'Vedor Report'!$AJ$2:$AJ$9</definedName>
    <definedName name="DATA5">'Vedor Report'!$E$2:$E$9</definedName>
    <definedName name="DATA6">'Vedor Report'!$F$2:$F$9</definedName>
    <definedName name="DATA7">'Vedor Report'!$G$2:$G$9</definedName>
    <definedName name="DATA8">'Vedor Report'!$H$2:$H$9</definedName>
    <definedName name="DATA9">'Vedor Report'!$I$2:$I$9</definedName>
    <definedName name="TEST0">'Vedor Report'!$A$2:$AJ$9</definedName>
    <definedName name="TESTHKEY">'Vedor Report'!$C$1:$AJ$1</definedName>
    <definedName name="TESTKEYS">'Vedor Report'!$A$2:$B$9</definedName>
    <definedName name="TESTVKEY">'Vedor Report'!$A$1:$B$1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6" l="1"/>
  <c r="F10" i="6"/>
  <c r="J10" i="6"/>
  <c r="K10" i="6"/>
  <c r="M10" i="6"/>
  <c r="E24" i="6"/>
  <c r="F24" i="6"/>
  <c r="G24" i="6"/>
  <c r="I13" i="6"/>
  <c r="D13" i="6"/>
  <c r="J12" i="6"/>
  <c r="K12" i="6" s="1"/>
  <c r="M12" i="6"/>
  <c r="E12" i="6"/>
  <c r="F12" i="6" s="1"/>
  <c r="M11" i="6"/>
  <c r="E11" i="6"/>
  <c r="N11" i="6" s="1"/>
  <c r="V40" i="5"/>
  <c r="V39" i="5"/>
  <c r="V38" i="5"/>
  <c r="V37" i="5"/>
  <c r="V36" i="5"/>
  <c r="V35" i="5"/>
  <c r="V34" i="5"/>
  <c r="AR16" i="5"/>
  <c r="O10" i="6" l="1"/>
  <c r="N10" i="6"/>
  <c r="K13" i="6"/>
  <c r="E13" i="6"/>
  <c r="M13" i="6"/>
  <c r="E25" i="6" s="1"/>
  <c r="E26" i="6" s="1"/>
  <c r="J13" i="6"/>
  <c r="F11" i="6"/>
  <c r="O11" i="6" s="1"/>
  <c r="O12" i="6"/>
  <c r="N12" i="6"/>
  <c r="N13" i="6" l="1"/>
  <c r="F25" i="6" s="1"/>
  <c r="F26" i="6" s="1"/>
  <c r="F13" i="6"/>
  <c r="O13" i="6" s="1"/>
  <c r="G25" i="6" s="1"/>
  <c r="G26" i="6" s="1"/>
  <c r="AU39" i="5" l="1"/>
  <c r="AR30" i="5"/>
  <c r="AS29" i="5"/>
  <c r="AS30" i="5" s="1"/>
  <c r="AS28" i="5"/>
  <c r="AS27" i="5"/>
  <c r="AS26" i="5"/>
  <c r="AR24" i="5" l="1"/>
  <c r="AS22" i="5"/>
  <c r="BW12" i="5"/>
  <c r="AN3" i="5" l="1"/>
  <c r="AN4" i="5"/>
  <c r="AN5" i="5"/>
  <c r="AN6" i="5"/>
  <c r="AN7" i="5"/>
  <c r="AN8" i="5"/>
  <c r="AN2" i="5"/>
  <c r="AS8" i="5" a="1"/>
  <c r="AS8" i="5" s="1"/>
  <c r="AS9" i="5" a="1"/>
  <c r="AS9" i="5" s="1"/>
  <c r="AS3" i="5" a="1"/>
  <c r="AS3" i="5" s="1"/>
  <c r="AS2" i="5" a="1"/>
  <c r="AS2" i="5" s="1"/>
  <c r="AS7" i="5" a="1"/>
  <c r="AS7" i="5" s="1"/>
  <c r="B5" i="2"/>
  <c r="F5" i="2"/>
  <c r="G5" i="2"/>
  <c r="G4" i="2"/>
  <c r="F4" i="2"/>
  <c r="D5" i="2"/>
  <c r="C5" i="2"/>
  <c r="D4" i="2"/>
  <c r="E5" i="2"/>
  <c r="G3" i="2"/>
  <c r="D3" i="2"/>
  <c r="F3" i="2" s="1"/>
  <c r="D2" i="2"/>
  <c r="F2" i="2" s="1"/>
  <c r="AO2" i="5" l="1"/>
  <c r="AO3" i="5"/>
  <c r="AO7" i="5"/>
  <c r="AO8" i="5"/>
  <c r="AM3" i="5"/>
  <c r="AM8" i="5"/>
  <c r="AM7" i="5"/>
  <c r="AM2" i="5"/>
  <c r="AS5" i="5" a="1"/>
  <c r="AO5" i="5" s="1"/>
  <c r="AS6" i="5" a="1"/>
  <c r="AO6" i="5" s="1"/>
  <c r="AQ6" i="5" s="1"/>
  <c r="AR6" i="5" s="1"/>
  <c r="AS4" i="5" a="1"/>
  <c r="AH10" i="1"/>
  <c r="AH3" i="1"/>
  <c r="AH4" i="1"/>
  <c r="AH5" i="1"/>
  <c r="AH6" i="1"/>
  <c r="AH7" i="1"/>
  <c r="AH8" i="1"/>
  <c r="AH9" i="1"/>
  <c r="AH2" i="1"/>
  <c r="AG10" i="1"/>
  <c r="AG9" i="1"/>
  <c r="AG8" i="1"/>
  <c r="AG7" i="1"/>
  <c r="AG6" i="1"/>
  <c r="AG5" i="1"/>
  <c r="AG4" i="1"/>
  <c r="AG3" i="1"/>
  <c r="AG2" i="1"/>
  <c r="AO4" i="5" l="1"/>
  <c r="BX12" i="5"/>
  <c r="BZ12" i="5" s="1"/>
  <c r="AP5" i="5"/>
  <c r="AQ5" i="5"/>
  <c r="AR5" i="5" s="1"/>
  <c r="AP3" i="5"/>
  <c r="AQ3" i="5"/>
  <c r="AR3" i="5" s="1"/>
  <c r="AP4" i="5"/>
  <c r="AQ4" i="5"/>
  <c r="AR4" i="5" s="1"/>
  <c r="AP8" i="5"/>
  <c r="AQ8" i="5"/>
  <c r="AR8" i="5" s="1"/>
  <c r="AP2" i="5"/>
  <c r="AQ2" i="5"/>
  <c r="AR2" i="5" s="1"/>
  <c r="AP7" i="5"/>
  <c r="AQ7" i="5"/>
  <c r="AR7" i="5" s="1"/>
  <c r="AP6" i="5"/>
  <c r="BZ11" i="5"/>
  <c r="BZ13" i="5" s="1"/>
  <c r="AS6" i="5"/>
  <c r="AM6" i="5"/>
  <c r="AS5" i="5"/>
  <c r="AM5" i="5"/>
  <c r="AS4" i="5"/>
  <c r="AM4" i="5"/>
  <c r="AF10" i="1"/>
  <c r="AR10" i="5" l="1"/>
  <c r="AQ23" i="5" s="1"/>
  <c r="AQ24" i="5" l="1"/>
  <c r="AS24" i="5" s="1"/>
  <c r="AS2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<sst xmlns="http://schemas.openxmlformats.org/spreadsheetml/2006/main" count="1511" uniqueCount="263">
  <si>
    <t>2012559</t>
  </si>
  <si>
    <t>INT</t>
  </si>
  <si>
    <t>Qtoon Raqamya Trading Company</t>
  </si>
  <si>
    <t>2500054717</t>
  </si>
  <si>
    <t>000001</t>
  </si>
  <si>
    <t>Invoice</t>
  </si>
  <si>
    <t>A</t>
  </si>
  <si>
    <t>FZ</t>
  </si>
  <si>
    <t/>
  </si>
  <si>
    <t>E-Tckt-DS-ONL</t>
  </si>
  <si>
    <t>QTOON RAQAMYA TRADING COMPANY</t>
  </si>
  <si>
    <t>7IGW84</t>
  </si>
  <si>
    <t>08/14/2026</t>
  </si>
  <si>
    <t>1</t>
  </si>
  <si>
    <t>000537832</t>
  </si>
  <si>
    <t>MAHENDRA ASARPOTA</t>
  </si>
  <si>
    <t>RUH-DXB</t>
  </si>
  <si>
    <t>ECONOMY</t>
  </si>
  <si>
    <t>0</t>
  </si>
  <si>
    <t>SAR</t>
  </si>
  <si>
    <t>A260813120395500_5944762</t>
  </si>
  <si>
    <t>000002</t>
  </si>
  <si>
    <t>XY</t>
  </si>
  <si>
    <t>J7G92V</t>
  </si>
  <si>
    <t>08/17/2026</t>
  </si>
  <si>
    <t>Asarpota Mahendra</t>
  </si>
  <si>
    <t>DXB-RUH</t>
  </si>
  <si>
    <t>2500054633</t>
  </si>
  <si>
    <t>RJ</t>
  </si>
  <si>
    <t>4861440457</t>
  </si>
  <si>
    <t>7IDXN4</t>
  </si>
  <si>
    <t>000539591</t>
  </si>
  <si>
    <t>HUSAIN ALI</t>
  </si>
  <si>
    <t>AMM-DMM</t>
  </si>
  <si>
    <t>Q</t>
  </si>
  <si>
    <t>A26081760435500_4482019</t>
  </si>
  <si>
    <t>DOM</t>
  </si>
  <si>
    <t>2500054676</t>
  </si>
  <si>
    <t>F3</t>
  </si>
  <si>
    <t>W6S2MS</t>
  </si>
  <si>
    <t>08/23/2026</t>
  </si>
  <si>
    <t>000539882</t>
  </si>
  <si>
    <t>MR Abdullah Aloufi</t>
  </si>
  <si>
    <t>AHB-JED</t>
  </si>
  <si>
    <t>A260817163765500_865574</t>
  </si>
  <si>
    <t>2500054685</t>
  </si>
  <si>
    <t>H</t>
  </si>
  <si>
    <t>HOTEL ORSO BRUNO</t>
  </si>
  <si>
    <t>2538409917</t>
  </si>
  <si>
    <t>Online-Accomodations</t>
  </si>
  <si>
    <t>EXPEDIA</t>
  </si>
  <si>
    <t>09/19/2026</t>
  </si>
  <si>
    <t>09/20/2026</t>
  </si>
  <si>
    <t>H260819107345500</t>
  </si>
  <si>
    <t>Salah Faqihi</t>
  </si>
  <si>
    <t>CARATE URIO</t>
  </si>
  <si>
    <t>STANDARD ONE-BEDROOM ROOM - 2</t>
  </si>
  <si>
    <t>H260819107345500_3360174</t>
  </si>
  <si>
    <t>2500054677</t>
  </si>
  <si>
    <t>GICBFE</t>
  </si>
  <si>
    <t>08/30/2026</t>
  </si>
  <si>
    <t>000541488</t>
  </si>
  <si>
    <t>Baharithah Meshari</t>
  </si>
  <si>
    <t>RUH-BJV</t>
  </si>
  <si>
    <t>A26082095495500_8209175</t>
  </si>
  <si>
    <t>2500054678</t>
  </si>
  <si>
    <t>ZI84FX</t>
  </si>
  <si>
    <t>08/26/2026</t>
  </si>
  <si>
    <t>000541686</t>
  </si>
  <si>
    <t>AJF-RUH-JED-RUH-AJF</t>
  </si>
  <si>
    <t>A260820198585500_841607</t>
  </si>
  <si>
    <t>2500054679</t>
  </si>
  <si>
    <t>FB8Q9A</t>
  </si>
  <si>
    <t>09/04/2026</t>
  </si>
  <si>
    <t>000541882</t>
  </si>
  <si>
    <t>MS Jacqueline Ndayizeye MS S</t>
  </si>
  <si>
    <t>ABT-RUH</t>
  </si>
  <si>
    <t>A26082185665500_7471325</t>
  </si>
  <si>
    <t>Customer Name</t>
  </si>
  <si>
    <t>Invoice Number</t>
  </si>
  <si>
    <t>line Item</t>
  </si>
  <si>
    <t>Billing Type</t>
  </si>
  <si>
    <t>Issue Date</t>
  </si>
  <si>
    <t>Service Type</t>
  </si>
  <si>
    <t>Service Provider</t>
  </si>
  <si>
    <t>Service Reference</t>
  </si>
  <si>
    <t>Description of Service</t>
  </si>
  <si>
    <t>Supplier Name</t>
  </si>
  <si>
    <t>Employee ID</t>
  </si>
  <si>
    <t>Department</t>
  </si>
  <si>
    <t>Entitlement</t>
  </si>
  <si>
    <t>PNR No</t>
  </si>
  <si>
    <t>Booking Date</t>
  </si>
  <si>
    <t>Check In Date</t>
  </si>
  <si>
    <t>Check Out Date</t>
  </si>
  <si>
    <t>Qty</t>
  </si>
  <si>
    <t>No of Rooms</t>
  </si>
  <si>
    <t>No of Nights</t>
  </si>
  <si>
    <t>T/O Number</t>
  </si>
  <si>
    <t>Client Name</t>
  </si>
  <si>
    <t>Route</t>
  </si>
  <si>
    <t>Destination City</t>
  </si>
  <si>
    <t>Class/Type</t>
  </si>
  <si>
    <t>Total Price W.O VAT</t>
  </si>
  <si>
    <t>VAT %</t>
  </si>
  <si>
    <t>VAT</t>
  </si>
  <si>
    <t>Airline Can Fee</t>
  </si>
  <si>
    <t>Total Invoice Amount</t>
  </si>
  <si>
    <t>Currency</t>
  </si>
  <si>
    <t>Booking ID</t>
  </si>
  <si>
    <t>Customer ID</t>
  </si>
  <si>
    <t>DOM/INT</t>
  </si>
  <si>
    <t xml:space="preserve">commision amount </t>
  </si>
  <si>
    <t xml:space="preserve">net payable amount </t>
  </si>
  <si>
    <t xml:space="preserve">Claim period </t>
  </si>
  <si>
    <t>Total Claim</t>
  </si>
  <si>
    <t xml:space="preserve">Commision invoices  Amount </t>
  </si>
  <si>
    <t>total Payable amount</t>
  </si>
  <si>
    <t xml:space="preserve">Paid Amount </t>
  </si>
  <si>
    <t xml:space="preserve">DIFF in payment </t>
  </si>
  <si>
    <t xml:space="preserve">unprovided Commision invoices </t>
  </si>
  <si>
    <t xml:space="preserve">Claim From 21 till 27 Jun 2026 </t>
  </si>
  <si>
    <t xml:space="preserve">claim From 09  till 15 AUG  2026 </t>
  </si>
  <si>
    <t xml:space="preserve">claim From 16   till 22  AUG  2026 </t>
  </si>
  <si>
    <t>Order Date</t>
  </si>
  <si>
    <t>Order Time</t>
  </si>
  <si>
    <t>Customer</t>
  </si>
  <si>
    <t>SG Order ID</t>
  </si>
  <si>
    <t>Partner Order ID</t>
  </si>
  <si>
    <t>Vertical</t>
  </si>
  <si>
    <t>Provider Name</t>
  </si>
  <si>
    <t>Food Order Type</t>
  </si>
  <si>
    <t>Restaurant ID/Seller ID</t>
  </si>
  <si>
    <t>Restaurant Name</t>
  </si>
  <si>
    <t>Transaction ID</t>
  </si>
  <si>
    <t>Order Status</t>
  </si>
  <si>
    <t>Payment Status</t>
  </si>
  <si>
    <t>Payment Method</t>
  </si>
  <si>
    <t>Sub Total</t>
  </si>
  <si>
    <t>Promocode</t>
  </si>
  <si>
    <t>SG Discount/Promo Amount</t>
  </si>
  <si>
    <t>SG Delivery Expense</t>
  </si>
  <si>
    <t>Order Total</t>
  </si>
  <si>
    <t>Total Amount</t>
  </si>
  <si>
    <t>Vendor Delivery Expense</t>
  </si>
  <si>
    <t>SG Comission %</t>
  </si>
  <si>
    <t>Commission Amount</t>
  </si>
  <si>
    <t>Partner Payout</t>
  </si>
  <si>
    <t>Margin</t>
  </si>
  <si>
    <t>Vendor Payment Term</t>
  </si>
  <si>
    <t>SG Earnings (before VAT)</t>
  </si>
  <si>
    <t>VAT on SG Earnings</t>
  </si>
  <si>
    <t>SG Earning (including VAT)</t>
  </si>
  <si>
    <t>Wallet Amount</t>
  </si>
  <si>
    <t>Applepay/Card Amount</t>
  </si>
  <si>
    <t>Commission Charged</t>
  </si>
  <si>
    <t>Refund Amount</t>
  </si>
  <si>
    <t>Compensation Amount</t>
  </si>
  <si>
    <t>Net Payable Amount to Partner</t>
  </si>
  <si>
    <t>06:08 PM</t>
  </si>
  <si>
    <t>-</t>
  </si>
  <si>
    <t>Hotel</t>
  </si>
  <si>
    <t>Almosafer</t>
  </si>
  <si>
    <t>ba9ddbb3-5dc6-4694-bf6e-d9ea508c2973</t>
  </si>
  <si>
    <t>Pending</t>
  </si>
  <si>
    <t>Tamara</t>
  </si>
  <si>
    <t>05:27 PM</t>
  </si>
  <si>
    <t>Expired</t>
  </si>
  <si>
    <t>Card</t>
  </si>
  <si>
    <t>01:17 AM</t>
  </si>
  <si>
    <t>06:01 PM</t>
  </si>
  <si>
    <t>حسن فقيه</t>
  </si>
  <si>
    <t>tok_gxrunyib3gpyncel75lr6e7cgu</t>
  </si>
  <si>
    <t>Processed</t>
  </si>
  <si>
    <t>Completed</t>
  </si>
  <si>
    <t>Apple Pay</t>
  </si>
  <si>
    <t>05:11 PM</t>
  </si>
  <si>
    <t>08:56 PM</t>
  </si>
  <si>
    <t>Flights</t>
  </si>
  <si>
    <t>5616311e-3e5f-40e2-b0f5-5d105f18ebde</t>
  </si>
  <si>
    <t>08:53 PM</t>
  </si>
  <si>
    <t>b491faeb-0409-4573-9d33-6626c9bb2798</t>
  </si>
  <si>
    <t>07:30 PM</t>
  </si>
  <si>
    <t>cadffe03-4a11-4790-95b6-92fd8163c2fc</t>
  </si>
  <si>
    <t>07:21 PM</t>
  </si>
  <si>
    <t>74196a95-7a17-41da-8fe8-97a2d75a6464</t>
  </si>
  <si>
    <t>02:09 PM</t>
  </si>
  <si>
    <t>06:22 PM</t>
  </si>
  <si>
    <t>A26082185665500</t>
  </si>
  <si>
    <t>tok_gzzmucybmmvibgbnwp7b4xbppa</t>
  </si>
  <si>
    <t>Paid</t>
  </si>
  <si>
    <t>05:07 PM</t>
  </si>
  <si>
    <t>01:34 AM</t>
  </si>
  <si>
    <t>A260820198585500</t>
  </si>
  <si>
    <t>tok_w7c6oeabckky3p5j6ltbesrcdu</t>
  </si>
  <si>
    <t>Apple Pay + Wallet</t>
  </si>
  <si>
    <t>04:41 PM</t>
  </si>
  <si>
    <t>A26082095495500</t>
  </si>
  <si>
    <t>Wallet</t>
  </si>
  <si>
    <t>01:15 PM</t>
  </si>
  <si>
    <t>01:13 PM</t>
  </si>
  <si>
    <t>mahendra Asar</t>
  </si>
  <si>
    <t>01:10 PM</t>
  </si>
  <si>
    <t>06:51 AM</t>
  </si>
  <si>
    <t>احمد محمد</t>
  </si>
  <si>
    <t>321beac8-4e68-418d-9a21-1960aec2efcb</t>
  </si>
  <si>
    <t>02:58 AM</t>
  </si>
  <si>
    <t>Failed</t>
  </si>
  <si>
    <t>02:53 AM</t>
  </si>
  <si>
    <t>02:36 AM</t>
  </si>
  <si>
    <t>08:26 PM</t>
  </si>
  <si>
    <t>tok_hhalz2yb3efirag3ocvwhnzlvm</t>
  </si>
  <si>
    <t>Refunded</t>
  </si>
  <si>
    <t>11:17 PM</t>
  </si>
  <si>
    <t>05:28 PM</t>
  </si>
  <si>
    <t>09:18 AM</t>
  </si>
  <si>
    <t>12:19 AM</t>
  </si>
  <si>
    <t>635e6021-b87b-45f7-8a13-9551aa75b7e0</t>
  </si>
  <si>
    <t>10:28 PM</t>
  </si>
  <si>
    <t>A260817163765500</t>
  </si>
  <si>
    <t>tok_g5vf2sibjwvi5pjmeasnbhqqkq</t>
  </si>
  <si>
    <t>03:04 PM</t>
  </si>
  <si>
    <t>02:08 PM</t>
  </si>
  <si>
    <t>ss alsalloom</t>
  </si>
  <si>
    <t>A26081760435500</t>
  </si>
  <si>
    <t>pay_xtpephabc4lidld5agyqqyr2pq</t>
  </si>
  <si>
    <t>Card + Wallet</t>
  </si>
  <si>
    <t>11:07 PM</t>
  </si>
  <si>
    <t>e213c370-d0fa-4de0-aede-e78699e6ae40</t>
  </si>
  <si>
    <t>A260813120395500</t>
  </si>
  <si>
    <t>06:06 PM</t>
  </si>
  <si>
    <t>pay_grvzqoqbatfivhp37pnye2qkri</t>
  </si>
  <si>
    <t>Match ID's</t>
  </si>
  <si>
    <t>Repeat</t>
  </si>
  <si>
    <t>Com Rate Check</t>
  </si>
  <si>
    <t>Vendor Rate Check</t>
  </si>
  <si>
    <t>Difference</t>
  </si>
  <si>
    <t xml:space="preserve">Actual As Vendor </t>
  </si>
  <si>
    <t>Net Payable</t>
  </si>
  <si>
    <t>A260813120395500-1</t>
  </si>
  <si>
    <t xml:space="preserve">Summary </t>
  </si>
  <si>
    <t>Claim 09 To 15 August</t>
  </si>
  <si>
    <t>Claim 16 To 22 August</t>
  </si>
  <si>
    <t>SG Records</t>
  </si>
  <si>
    <t>Vendor Report</t>
  </si>
  <si>
    <t xml:space="preserve">SG </t>
  </si>
  <si>
    <t>Vendor</t>
  </si>
  <si>
    <t>Total Difference</t>
  </si>
  <si>
    <t>flig</t>
  </si>
  <si>
    <t>Base Amount (TOTAL)</t>
  </si>
  <si>
    <t>COM AMOUNT</t>
  </si>
  <si>
    <t>Claim 16 to 22 August 2026</t>
  </si>
  <si>
    <t>H260809147315500_5278069</t>
  </si>
  <si>
    <t>Claim 09 to 15 August 2026</t>
  </si>
  <si>
    <t>H260809147315500</t>
  </si>
  <si>
    <t>H26081419825500_7480138</t>
  </si>
  <si>
    <t>H26081419825500</t>
  </si>
  <si>
    <t>TOTAL CLAIMED AMOUNT</t>
  </si>
  <si>
    <t>Diffrence</t>
  </si>
  <si>
    <t>CLAIM PERIOD</t>
  </si>
  <si>
    <t xml:space="preserve">SHOPPINGGATE </t>
  </si>
  <si>
    <t>ALMOSAFIR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</si>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</sst>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0.000"/>
    <numFmt numFmtId="166" formatCode="0.00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1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43" fontId="2" fillId="2" borderId="0" xfId="1" applyFont="1" applyFill="1"/>
    <xf numFmtId="43" fontId="0" fillId="2" borderId="0" xfId="1" applyFont="1" applyFill="1" applyAlignment="1">
      <alignment horizontal="left"/>
    </xf>
    <xf numFmtId="43" fontId="0" fillId="0" borderId="0" xfId="0" applyNumberFormat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6" borderId="2" xfId="0" applyFont="1" applyFill="1" applyBorder="1"/>
    <xf numFmtId="0" fontId="4" fillId="6" borderId="1" xfId="0" applyFont="1" applyFill="1" applyBorder="1"/>
    <xf numFmtId="0" fontId="5" fillId="0" borderId="3" xfId="0" applyFont="1" applyBorder="1"/>
    <xf numFmtId="43" fontId="5" fillId="0" borderId="3" xfId="1" applyFont="1" applyBorder="1"/>
    <xf numFmtId="43" fontId="5" fillId="4" borderId="3" xfId="1" applyFont="1" applyFill="1" applyBorder="1"/>
    <xf numFmtId="43" fontId="5" fillId="5" borderId="3" xfId="1" applyFont="1" applyFill="1" applyBorder="1"/>
    <xf numFmtId="43" fontId="5" fillId="0" borderId="4" xfId="1" applyFont="1" applyBorder="1"/>
    <xf numFmtId="43" fontId="5" fillId="0" borderId="3" xfId="0" applyNumberFormat="1" applyFont="1" applyBorder="1"/>
    <xf numFmtId="4" fontId="0" fillId="0" borderId="0" xfId="0" applyNumberFormat="1"/>
    <xf numFmtId="43" fontId="5" fillId="4" borderId="5" xfId="1" applyFont="1" applyFill="1" applyBorder="1"/>
    <xf numFmtId="43" fontId="5" fillId="0" borderId="5" xfId="1" applyFont="1" applyBorder="1"/>
    <xf numFmtId="0" fontId="3" fillId="3" borderId="6" xfId="0" applyFont="1" applyFill="1" applyBorder="1"/>
    <xf numFmtId="43" fontId="3" fillId="3" borderId="6" xfId="0" applyNumberFormat="1" applyFont="1" applyFill="1" applyBorder="1"/>
    <xf numFmtId="43" fontId="3" fillId="4" borderId="6" xfId="0" applyNumberFormat="1" applyFont="1" applyFill="1" applyBorder="1"/>
    <xf numFmtId="43" fontId="3" fillId="5" borderId="6" xfId="0" applyNumberFormat="1" applyFont="1" applyFill="1" applyBorder="1"/>
    <xf numFmtId="43" fontId="4" fillId="6" borderId="7" xfId="0" applyNumberFormat="1" applyFont="1" applyFill="1" applyBorder="1"/>
    <xf numFmtId="43" fontId="6" fillId="6" borderId="6" xfId="0" applyNumberFormat="1" applyFont="1" applyFill="1" applyBorder="1"/>
    <xf numFmtId="0" fontId="5" fillId="0" borderId="5" xfId="0" applyFont="1" applyBorder="1"/>
    <xf numFmtId="0" fontId="8" fillId="0" borderId="0" xfId="2" applyFont="1"/>
    <xf numFmtId="0" fontId="7" fillId="0" borderId="0" xfId="2"/>
    <xf numFmtId="14" fontId="7" fillId="0" borderId="0" xfId="2" applyNumberFormat="1"/>
    <xf numFmtId="1" fontId="7" fillId="0" borderId="0" xfId="2" applyNumberFormat="1"/>
    <xf numFmtId="2" fontId="7" fillId="0" borderId="0" xfId="2" applyNumberFormat="1"/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3" borderId="0" xfId="0" applyFill="1"/>
    <xf numFmtId="0" fontId="8" fillId="3" borderId="0" xfId="2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2" fontId="2" fillId="0" borderId="0" xfId="0" applyNumberFormat="1" applyFont="1"/>
    <xf numFmtId="0" fontId="7" fillId="0" borderId="0" xfId="0" applyFont="1"/>
    <xf numFmtId="0" fontId="0" fillId="0" borderId="0" xfId="0" applyAlignment="1">
      <alignment horizont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/>
    </xf>
    <xf numFmtId="0" fontId="13" fillId="0" borderId="0" xfId="0" applyFont="1" applyBorder="1"/>
    <xf numFmtId="43" fontId="14" fillId="0" borderId="0" xfId="2" applyNumberFormat="1" applyFont="1" applyBorder="1"/>
    <xf numFmtId="43" fontId="13" fillId="0" borderId="0" xfId="0" applyNumberFormat="1" applyFont="1" applyBorder="1"/>
    <xf numFmtId="43" fontId="13" fillId="0" borderId="13" xfId="0" applyNumberFormat="1" applyFont="1" applyBorder="1"/>
    <xf numFmtId="0" fontId="13" fillId="0" borderId="0" xfId="0" applyFont="1"/>
    <xf numFmtId="49" fontId="13" fillId="0" borderId="12" xfId="0" applyNumberFormat="1" applyFont="1" applyBorder="1" applyAlignment="1">
      <alignment horizontal="center" vertical="center"/>
    </xf>
    <xf numFmtId="43" fontId="13" fillId="0" borderId="0" xfId="1" applyNumberFormat="1" applyFont="1" applyBorder="1" applyAlignment="1">
      <alignment horizontal="center" vertical="center"/>
    </xf>
    <xf numFmtId="43" fontId="13" fillId="0" borderId="13" xfId="1" applyNumberFormat="1" applyFont="1" applyBorder="1" applyAlignment="1">
      <alignment horizontal="center" vertical="center"/>
    </xf>
    <xf numFmtId="43" fontId="13" fillId="0" borderId="12" xfId="0" applyNumberFormat="1" applyFont="1" applyBorder="1" applyAlignment="1">
      <alignment horizontal="center"/>
    </xf>
    <xf numFmtId="43" fontId="13" fillId="0" borderId="0" xfId="0" applyNumberFormat="1" applyFont="1" applyBorder="1" applyAlignment="1">
      <alignment horizontal="center"/>
    </xf>
    <xf numFmtId="43" fontId="13" fillId="0" borderId="13" xfId="0" applyNumberFormat="1" applyFont="1" applyBorder="1" applyAlignment="1">
      <alignment horizontal="center"/>
    </xf>
    <xf numFmtId="0" fontId="14" fillId="0" borderId="0" xfId="2" applyFont="1" applyBorder="1"/>
    <xf numFmtId="49" fontId="13" fillId="0" borderId="12" xfId="3" applyNumberFormat="1" applyFont="1" applyBorder="1" applyAlignment="1">
      <alignment horizontal="center"/>
    </xf>
    <xf numFmtId="43" fontId="13" fillId="0" borderId="0" xfId="4" applyNumberFormat="1" applyFont="1" applyBorder="1" applyAlignment="1">
      <alignment horizontal="center"/>
    </xf>
    <xf numFmtId="43" fontId="13" fillId="0" borderId="13" xfId="4" applyNumberFormat="1" applyFont="1" applyBorder="1"/>
    <xf numFmtId="0" fontId="13" fillId="0" borderId="8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43" fontId="12" fillId="0" borderId="18" xfId="0" applyNumberFormat="1" applyFont="1" applyBorder="1" applyAlignment="1">
      <alignment horizontal="center" vertical="center"/>
    </xf>
    <xf numFmtId="43" fontId="12" fillId="0" borderId="1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43" fontId="12" fillId="0" borderId="17" xfId="0" applyNumberFormat="1" applyFont="1" applyBorder="1" applyAlignment="1">
      <alignment horizontal="center" vertical="center"/>
    </xf>
    <xf numFmtId="0" fontId="9" fillId="7" borderId="10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vertical="center" wrapText="1"/>
    </xf>
  </cellXfs>
  <cellStyles count="5">
    <cellStyle name="Comma" xfId="1" builtinId="3"/>
    <cellStyle name="Comma 2" xfId="4" xr:uid="{C1B94D74-A779-499C-A7CC-328FFBE32545}"/>
    <cellStyle name="Normal" xfId="0" builtinId="0"/>
    <cellStyle name="Normal 2" xfId="2" xr:uid="{5128F99A-9AAB-48CD-A8D4-4A1B6EF1C352}"/>
    <cellStyle name="Normal 3" xfId="3" xr:uid="{58C53BFB-C6AC-435C-81E7-7902A0FA628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EE3ED-6947-4E25-BD76-1813487A3E54}">
  <dimension ref="A1:AK10"/>
  <sheetViews>
    <sheetView topLeftCell="T1" workbookViewId="0">
      <selection activeCell="AF10" sqref="AF10:AH10"/>
    </sheetView>
  </sheetViews>
  <sheetFormatPr defaultRowHeight="14.4" x14ac:dyDescent="0.3"/>
  <cols>
    <col min="1" max="1" width="11.77734375" bestFit="1" customWidth="1"/>
    <col min="2" max="2" width="9" bestFit="1" customWidth="1"/>
    <col min="3" max="3" width="31.77734375" bestFit="1" customWidth="1"/>
    <col min="4" max="4" width="15" bestFit="1" customWidth="1"/>
    <col min="5" max="5" width="8.5546875" bestFit="1" customWidth="1"/>
    <col min="6" max="6" width="11" bestFit="1" customWidth="1"/>
    <col min="7" max="7" width="10.44140625" bestFit="1" customWidth="1"/>
    <col min="8" max="8" width="11.5546875" bestFit="1" customWidth="1"/>
    <col min="9" max="9" width="19.21875" bestFit="1" customWidth="1"/>
    <col min="10" max="10" width="16.21875" bestFit="1" customWidth="1"/>
    <col min="11" max="11" width="21.77734375" bestFit="1" customWidth="1"/>
    <col min="12" max="12" width="14.21875" bestFit="1" customWidth="1"/>
    <col min="13" max="13" width="11.77734375" bestFit="1" customWidth="1"/>
    <col min="14" max="14" width="35.21875" bestFit="1" customWidth="1"/>
    <col min="15" max="15" width="10.77734375" bestFit="1" customWidth="1"/>
    <col min="16" max="16" width="8.21875" bestFit="1" customWidth="1"/>
    <col min="17" max="17" width="12.5546875" bestFit="1" customWidth="1"/>
    <col min="18" max="18" width="12.77734375" bestFit="1" customWidth="1"/>
    <col min="19" max="19" width="14.44140625" bestFit="1" customWidth="1"/>
    <col min="20" max="20" width="3.77734375" bestFit="1" customWidth="1"/>
    <col min="21" max="21" width="12.21875" bestFit="1" customWidth="1"/>
    <col min="22" max="22" width="11.77734375" bestFit="1" customWidth="1"/>
    <col min="23" max="23" width="17.5546875" bestFit="1" customWidth="1"/>
    <col min="24" max="24" width="27.77734375" bestFit="1" customWidth="1"/>
    <col min="25" max="25" width="20.21875" bestFit="1" customWidth="1"/>
    <col min="26" max="26" width="14.77734375" bestFit="1" customWidth="1"/>
    <col min="27" max="27" width="33.77734375" bestFit="1" customWidth="1"/>
    <col min="28" max="28" width="18.44140625" style="6" bestFit="1" customWidth="1"/>
    <col min="29" max="29" width="12.77734375" style="6" bestFit="1" customWidth="1"/>
    <col min="30" max="30" width="8" style="6" bestFit="1" customWidth="1"/>
    <col min="31" max="31" width="14.21875" style="6" bestFit="1" customWidth="1"/>
    <col min="32" max="32" width="19.77734375" style="6" bestFit="1" customWidth="1"/>
    <col min="33" max="34" width="19.77734375" style="6" customWidth="1"/>
    <col min="35" max="35" width="8.77734375" bestFit="1" customWidth="1"/>
    <col min="36" max="36" width="25.77734375" bestFit="1" customWidth="1"/>
    <col min="37" max="37" width="18.21875" customWidth="1"/>
  </cols>
  <sheetData>
    <row r="1" spans="1:37" x14ac:dyDescent="0.3">
      <c r="A1" s="1" t="s">
        <v>110</v>
      </c>
      <c r="B1" s="1" t="s">
        <v>111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  <c r="W1" s="1" t="s">
        <v>98</v>
      </c>
      <c r="X1" s="1" t="s">
        <v>99</v>
      </c>
      <c r="Y1" s="1" t="s">
        <v>100</v>
      </c>
      <c r="Z1" s="1" t="s">
        <v>101</v>
      </c>
      <c r="AA1" s="1" t="s">
        <v>102</v>
      </c>
      <c r="AB1" s="4" t="s">
        <v>103</v>
      </c>
      <c r="AC1" s="4" t="s">
        <v>104</v>
      </c>
      <c r="AD1" s="4" t="s">
        <v>105</v>
      </c>
      <c r="AE1" s="4" t="s">
        <v>106</v>
      </c>
      <c r="AF1" s="4" t="s">
        <v>107</v>
      </c>
      <c r="AG1" s="1" t="s">
        <v>112</v>
      </c>
      <c r="AH1" s="8" t="s">
        <v>113</v>
      </c>
      <c r="AI1" s="1" t="s">
        <v>108</v>
      </c>
      <c r="AJ1" s="1" t="s">
        <v>109</v>
      </c>
    </row>
    <row r="2" spans="1:37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46256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8</v>
      </c>
      <c r="M2" s="2" t="s">
        <v>8</v>
      </c>
      <c r="N2" s="2" t="s">
        <v>10</v>
      </c>
      <c r="O2" s="2" t="s">
        <v>8</v>
      </c>
      <c r="P2" s="2" t="s">
        <v>11</v>
      </c>
      <c r="Q2" s="3">
        <v>46247</v>
      </c>
      <c r="R2" s="2" t="s">
        <v>12</v>
      </c>
      <c r="S2" s="2" t="s">
        <v>12</v>
      </c>
      <c r="T2" s="2" t="s">
        <v>13</v>
      </c>
      <c r="U2" s="2" t="s">
        <v>8</v>
      </c>
      <c r="V2" s="2" t="s">
        <v>8</v>
      </c>
      <c r="W2" s="2" t="s">
        <v>14</v>
      </c>
      <c r="X2" s="2" t="s">
        <v>15</v>
      </c>
      <c r="Y2" s="2" t="s">
        <v>16</v>
      </c>
      <c r="Z2" s="2" t="s">
        <v>8</v>
      </c>
      <c r="AA2" s="2" t="s">
        <v>17</v>
      </c>
      <c r="AB2" s="5">
        <v>481.38</v>
      </c>
      <c r="AC2" s="5">
        <v>0</v>
      </c>
      <c r="AD2" s="5">
        <v>0</v>
      </c>
      <c r="AE2" s="5" t="s">
        <v>18</v>
      </c>
      <c r="AF2" s="5">
        <v>481.38</v>
      </c>
      <c r="AG2" s="5">
        <f>IF(AND(LEFT($AJ2)="A",SUM($AB2)&gt;=1),$AB2*0.03,IF(LEFT($AJ2)="H",$AB2*0.05,0))*1.15</f>
        <v>16.607609999999998</v>
      </c>
      <c r="AH2" s="5">
        <f>AF2-AG2</f>
        <v>464.77238999999997</v>
      </c>
      <c r="AI2" s="2" t="s">
        <v>19</v>
      </c>
      <c r="AJ2" s="2" t="s">
        <v>20</v>
      </c>
      <c r="AK2" s="9" t="s">
        <v>229</v>
      </c>
    </row>
    <row r="3" spans="1:37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21</v>
      </c>
      <c r="F3" s="2" t="s">
        <v>5</v>
      </c>
      <c r="G3" s="3">
        <v>46256</v>
      </c>
      <c r="H3" s="2" t="s">
        <v>6</v>
      </c>
      <c r="I3" s="2" t="s">
        <v>22</v>
      </c>
      <c r="J3" s="2" t="s">
        <v>8</v>
      </c>
      <c r="K3" s="2" t="s">
        <v>9</v>
      </c>
      <c r="L3" s="2" t="s">
        <v>8</v>
      </c>
      <c r="M3" s="2" t="s">
        <v>8</v>
      </c>
      <c r="N3" s="2" t="s">
        <v>10</v>
      </c>
      <c r="O3" s="2" t="s">
        <v>8</v>
      </c>
      <c r="P3" s="2" t="s">
        <v>23</v>
      </c>
      <c r="Q3" s="3">
        <v>46247</v>
      </c>
      <c r="R3" s="2" t="s">
        <v>24</v>
      </c>
      <c r="S3" s="2" t="s">
        <v>24</v>
      </c>
      <c r="T3" s="2" t="s">
        <v>13</v>
      </c>
      <c r="U3" s="2" t="s">
        <v>8</v>
      </c>
      <c r="V3" s="2" t="s">
        <v>8</v>
      </c>
      <c r="W3" s="2" t="s">
        <v>14</v>
      </c>
      <c r="X3" s="2" t="s">
        <v>25</v>
      </c>
      <c r="Y3" s="2" t="s">
        <v>26</v>
      </c>
      <c r="Z3" s="2" t="s">
        <v>8</v>
      </c>
      <c r="AA3" s="2" t="s">
        <v>17</v>
      </c>
      <c r="AB3" s="5">
        <v>477.41</v>
      </c>
      <c r="AC3" s="5">
        <v>0</v>
      </c>
      <c r="AD3" s="5">
        <v>0</v>
      </c>
      <c r="AE3" s="5" t="s">
        <v>18</v>
      </c>
      <c r="AF3" s="5">
        <v>477.41</v>
      </c>
      <c r="AG3" s="5">
        <f t="shared" ref="AG3:AG9" si="0">IF(AND(LEFT($AJ3)="A",SUM($AB3)&gt;=1),$AB3*0.03,IF(LEFT($AJ3)="H",$AB3*0.05,0))*1.15</f>
        <v>16.470644999999998</v>
      </c>
      <c r="AH3" s="5">
        <f t="shared" ref="AH3:AH9" si="1">AF3-AG3</f>
        <v>460.93935500000003</v>
      </c>
      <c r="AI3" s="2" t="s">
        <v>19</v>
      </c>
      <c r="AJ3" s="2" t="s">
        <v>20</v>
      </c>
      <c r="AK3" s="9" t="s">
        <v>239</v>
      </c>
    </row>
    <row r="4" spans="1:37" x14ac:dyDescent="0.3">
      <c r="A4" s="2" t="s">
        <v>0</v>
      </c>
      <c r="B4" s="2" t="s">
        <v>1</v>
      </c>
      <c r="C4" s="2" t="s">
        <v>2</v>
      </c>
      <c r="D4" s="2" t="s">
        <v>27</v>
      </c>
      <c r="E4" s="2" t="s">
        <v>4</v>
      </c>
      <c r="F4" s="2" t="s">
        <v>5</v>
      </c>
      <c r="G4" s="3">
        <v>46251</v>
      </c>
      <c r="H4" s="2" t="s">
        <v>6</v>
      </c>
      <c r="I4" s="2" t="s">
        <v>28</v>
      </c>
      <c r="J4" s="2" t="s">
        <v>29</v>
      </c>
      <c r="K4" s="2" t="s">
        <v>9</v>
      </c>
      <c r="L4" s="2" t="s">
        <v>8</v>
      </c>
      <c r="M4" s="2" t="s">
        <v>8</v>
      </c>
      <c r="N4" s="2" t="s">
        <v>10</v>
      </c>
      <c r="O4" s="2" t="s">
        <v>8</v>
      </c>
      <c r="P4" s="2" t="s">
        <v>30</v>
      </c>
      <c r="Q4" s="3">
        <v>46251</v>
      </c>
      <c r="R4" s="2" t="s">
        <v>24</v>
      </c>
      <c r="S4" s="2" t="s">
        <v>24</v>
      </c>
      <c r="T4" s="2" t="s">
        <v>13</v>
      </c>
      <c r="U4" s="2" t="s">
        <v>8</v>
      </c>
      <c r="V4" s="2" t="s">
        <v>8</v>
      </c>
      <c r="W4" s="2" t="s">
        <v>31</v>
      </c>
      <c r="X4" s="2" t="s">
        <v>32</v>
      </c>
      <c r="Y4" s="2" t="s">
        <v>33</v>
      </c>
      <c r="Z4" s="2" t="s">
        <v>8</v>
      </c>
      <c r="AA4" s="2" t="s">
        <v>34</v>
      </c>
      <c r="AB4" s="5">
        <v>1324.08</v>
      </c>
      <c r="AC4" s="5">
        <v>0</v>
      </c>
      <c r="AD4" s="5">
        <v>0</v>
      </c>
      <c r="AE4" s="5" t="s">
        <v>18</v>
      </c>
      <c r="AF4" s="5">
        <v>1324.08</v>
      </c>
      <c r="AG4" s="5">
        <f t="shared" si="0"/>
        <v>45.680759999999992</v>
      </c>
      <c r="AH4" s="5">
        <f t="shared" si="1"/>
        <v>1278.39924</v>
      </c>
      <c r="AI4" s="2" t="s">
        <v>19</v>
      </c>
      <c r="AJ4" s="2" t="s">
        <v>35</v>
      </c>
      <c r="AK4" s="9" t="s">
        <v>224</v>
      </c>
    </row>
    <row r="5" spans="1:37" x14ac:dyDescent="0.3">
      <c r="A5" s="2" t="s">
        <v>0</v>
      </c>
      <c r="B5" s="2" t="s">
        <v>36</v>
      </c>
      <c r="C5" s="2" t="s">
        <v>2</v>
      </c>
      <c r="D5" s="2" t="s">
        <v>37</v>
      </c>
      <c r="E5" s="2" t="s">
        <v>4</v>
      </c>
      <c r="F5" s="2" t="s">
        <v>5</v>
      </c>
      <c r="G5" s="3">
        <v>46251</v>
      </c>
      <c r="H5" s="2" t="s">
        <v>6</v>
      </c>
      <c r="I5" s="2" t="s">
        <v>38</v>
      </c>
      <c r="J5" s="2" t="s">
        <v>8</v>
      </c>
      <c r="K5" s="2" t="s">
        <v>9</v>
      </c>
      <c r="L5" s="2" t="s">
        <v>8</v>
      </c>
      <c r="M5" s="2" t="s">
        <v>8</v>
      </c>
      <c r="N5" s="2" t="s">
        <v>10</v>
      </c>
      <c r="O5" s="2" t="s">
        <v>8</v>
      </c>
      <c r="P5" s="2" t="s">
        <v>39</v>
      </c>
      <c r="Q5" s="3">
        <v>46251</v>
      </c>
      <c r="R5" s="2" t="s">
        <v>40</v>
      </c>
      <c r="S5" s="2" t="s">
        <v>40</v>
      </c>
      <c r="T5" s="2" t="s">
        <v>13</v>
      </c>
      <c r="U5" s="2" t="s">
        <v>8</v>
      </c>
      <c r="V5" s="2" t="s">
        <v>8</v>
      </c>
      <c r="W5" s="2" t="s">
        <v>41</v>
      </c>
      <c r="X5" s="2" t="s">
        <v>42</v>
      </c>
      <c r="Y5" s="2" t="s">
        <v>43</v>
      </c>
      <c r="Z5" s="2" t="s">
        <v>8</v>
      </c>
      <c r="AA5" s="2" t="s">
        <v>17</v>
      </c>
      <c r="AB5" s="5">
        <v>384.38</v>
      </c>
      <c r="AC5" s="5">
        <v>15</v>
      </c>
      <c r="AD5" s="5">
        <v>57.66</v>
      </c>
      <c r="AE5" s="5" t="s">
        <v>18</v>
      </c>
      <c r="AF5" s="5">
        <v>442.04</v>
      </c>
      <c r="AG5" s="5">
        <f t="shared" si="0"/>
        <v>13.261109999999999</v>
      </c>
      <c r="AH5" s="5">
        <f t="shared" si="1"/>
        <v>428.77889000000005</v>
      </c>
      <c r="AI5" s="2" t="s">
        <v>19</v>
      </c>
      <c r="AJ5" s="2" t="s">
        <v>44</v>
      </c>
      <c r="AK5" s="9" t="s">
        <v>219</v>
      </c>
    </row>
    <row r="6" spans="1:37" x14ac:dyDescent="0.3">
      <c r="A6" s="2" t="s">
        <v>0</v>
      </c>
      <c r="B6" s="2" t="s">
        <v>1</v>
      </c>
      <c r="C6" s="2" t="s">
        <v>2</v>
      </c>
      <c r="D6" s="2" t="s">
        <v>45</v>
      </c>
      <c r="E6" s="2" t="s">
        <v>4</v>
      </c>
      <c r="F6" s="2" t="s">
        <v>5</v>
      </c>
      <c r="G6" s="3">
        <v>46253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  <c r="M6" s="2" t="s">
        <v>8</v>
      </c>
      <c r="N6" s="2" t="s">
        <v>10</v>
      </c>
      <c r="O6" s="2" t="s">
        <v>8</v>
      </c>
      <c r="P6" s="2" t="s">
        <v>8</v>
      </c>
      <c r="Q6" s="3">
        <v>46253</v>
      </c>
      <c r="R6" s="2" t="s">
        <v>51</v>
      </c>
      <c r="S6" s="2" t="s">
        <v>52</v>
      </c>
      <c r="T6" s="2" t="s">
        <v>13</v>
      </c>
      <c r="U6" s="2" t="s">
        <v>13</v>
      </c>
      <c r="V6" s="2" t="s">
        <v>13</v>
      </c>
      <c r="W6" s="2" t="s">
        <v>53</v>
      </c>
      <c r="X6" s="2" t="s">
        <v>54</v>
      </c>
      <c r="Y6" s="2" t="s">
        <v>8</v>
      </c>
      <c r="Z6" s="2" t="s">
        <v>55</v>
      </c>
      <c r="AA6" s="2" t="s">
        <v>56</v>
      </c>
      <c r="AB6" s="5">
        <v>1162.76</v>
      </c>
      <c r="AC6" s="5">
        <v>0</v>
      </c>
      <c r="AD6" s="5">
        <v>0</v>
      </c>
      <c r="AE6" s="5" t="s">
        <v>18</v>
      </c>
      <c r="AF6" s="5">
        <v>1162.76</v>
      </c>
      <c r="AG6" s="5">
        <f t="shared" si="0"/>
        <v>66.858699999999999</v>
      </c>
      <c r="AH6" s="5">
        <f t="shared" si="1"/>
        <v>1095.9013</v>
      </c>
      <c r="AI6" s="2" t="s">
        <v>19</v>
      </c>
      <c r="AJ6" s="2" t="s">
        <v>57</v>
      </c>
      <c r="AK6" s="9" t="s">
        <v>53</v>
      </c>
    </row>
    <row r="7" spans="1:37" x14ac:dyDescent="0.3">
      <c r="A7" s="2" t="s">
        <v>0</v>
      </c>
      <c r="B7" s="2" t="s">
        <v>1</v>
      </c>
      <c r="C7" s="2" t="s">
        <v>2</v>
      </c>
      <c r="D7" s="2" t="s">
        <v>58</v>
      </c>
      <c r="E7" s="2" t="s">
        <v>4</v>
      </c>
      <c r="F7" s="2" t="s">
        <v>5</v>
      </c>
      <c r="G7" s="3">
        <v>46254</v>
      </c>
      <c r="H7" s="2" t="s">
        <v>6</v>
      </c>
      <c r="I7" s="2" t="s">
        <v>22</v>
      </c>
      <c r="J7" s="2" t="s">
        <v>8</v>
      </c>
      <c r="K7" s="2" t="s">
        <v>9</v>
      </c>
      <c r="L7" s="2" t="s">
        <v>8</v>
      </c>
      <c r="M7" s="2" t="s">
        <v>8</v>
      </c>
      <c r="N7" s="2" t="s">
        <v>10</v>
      </c>
      <c r="O7" s="2" t="s">
        <v>8</v>
      </c>
      <c r="P7" s="2" t="s">
        <v>59</v>
      </c>
      <c r="Q7" s="3">
        <v>46254</v>
      </c>
      <c r="R7" s="2" t="s">
        <v>60</v>
      </c>
      <c r="S7" s="2" t="s">
        <v>60</v>
      </c>
      <c r="T7" s="2" t="s">
        <v>13</v>
      </c>
      <c r="U7" s="2" t="s">
        <v>8</v>
      </c>
      <c r="V7" s="2" t="s">
        <v>8</v>
      </c>
      <c r="W7" s="2" t="s">
        <v>61</v>
      </c>
      <c r="X7" s="2" t="s">
        <v>62</v>
      </c>
      <c r="Y7" s="2" t="s">
        <v>63</v>
      </c>
      <c r="Z7" s="2" t="s">
        <v>8</v>
      </c>
      <c r="AA7" s="2" t="s">
        <v>17</v>
      </c>
      <c r="AB7" s="5">
        <v>754.27</v>
      </c>
      <c r="AC7" s="5">
        <v>0</v>
      </c>
      <c r="AD7" s="5">
        <v>0</v>
      </c>
      <c r="AE7" s="5" t="s">
        <v>18</v>
      </c>
      <c r="AF7" s="5">
        <v>754.27</v>
      </c>
      <c r="AG7" s="5">
        <f t="shared" si="0"/>
        <v>26.022314999999999</v>
      </c>
      <c r="AH7" s="5">
        <f t="shared" si="1"/>
        <v>728.24768499999993</v>
      </c>
      <c r="AI7" s="2" t="s">
        <v>19</v>
      </c>
      <c r="AJ7" s="2" t="s">
        <v>64</v>
      </c>
      <c r="AK7" s="9" t="s">
        <v>197</v>
      </c>
    </row>
    <row r="8" spans="1:37" x14ac:dyDescent="0.3">
      <c r="A8" s="2" t="s">
        <v>0</v>
      </c>
      <c r="B8" s="2" t="s">
        <v>36</v>
      </c>
      <c r="C8" s="2" t="s">
        <v>2</v>
      </c>
      <c r="D8" s="2" t="s">
        <v>65</v>
      </c>
      <c r="E8" s="2" t="s">
        <v>4</v>
      </c>
      <c r="F8" s="2" t="s">
        <v>5</v>
      </c>
      <c r="G8" s="3">
        <v>46254</v>
      </c>
      <c r="H8" s="2" t="s">
        <v>6</v>
      </c>
      <c r="I8" s="2" t="s">
        <v>22</v>
      </c>
      <c r="J8" s="2" t="s">
        <v>8</v>
      </c>
      <c r="K8" s="2" t="s">
        <v>9</v>
      </c>
      <c r="L8" s="2" t="s">
        <v>8</v>
      </c>
      <c r="M8" s="2" t="s">
        <v>8</v>
      </c>
      <c r="N8" s="2" t="s">
        <v>10</v>
      </c>
      <c r="O8" s="2" t="s">
        <v>8</v>
      </c>
      <c r="P8" s="2" t="s">
        <v>66</v>
      </c>
      <c r="Q8" s="3">
        <v>46254</v>
      </c>
      <c r="R8" s="2" t="s">
        <v>67</v>
      </c>
      <c r="S8" s="2" t="s">
        <v>60</v>
      </c>
      <c r="T8" s="2" t="s">
        <v>13</v>
      </c>
      <c r="U8" s="2" t="s">
        <v>8</v>
      </c>
      <c r="V8" s="2" t="s">
        <v>8</v>
      </c>
      <c r="W8" s="2" t="s">
        <v>68</v>
      </c>
      <c r="X8" s="2" t="s">
        <v>8</v>
      </c>
      <c r="Y8" s="2" t="s">
        <v>69</v>
      </c>
      <c r="Z8" s="2" t="s">
        <v>8</v>
      </c>
      <c r="AA8" s="2" t="s">
        <v>17</v>
      </c>
      <c r="AB8" s="5">
        <v>1224.43</v>
      </c>
      <c r="AC8" s="5">
        <v>15</v>
      </c>
      <c r="AD8" s="5">
        <v>183.67</v>
      </c>
      <c r="AE8" s="5" t="s">
        <v>18</v>
      </c>
      <c r="AF8" s="5">
        <v>1408.1</v>
      </c>
      <c r="AG8" s="5">
        <f t="shared" si="0"/>
        <v>42.242834999999999</v>
      </c>
      <c r="AH8" s="5">
        <f t="shared" si="1"/>
        <v>1365.8571649999999</v>
      </c>
      <c r="AI8" s="2" t="s">
        <v>19</v>
      </c>
      <c r="AJ8" s="2" t="s">
        <v>70</v>
      </c>
      <c r="AK8" s="9" t="s">
        <v>193</v>
      </c>
    </row>
    <row r="9" spans="1:37" x14ac:dyDescent="0.3">
      <c r="A9" s="2" t="s">
        <v>0</v>
      </c>
      <c r="B9" s="2" t="s">
        <v>36</v>
      </c>
      <c r="C9" s="2" t="s">
        <v>2</v>
      </c>
      <c r="D9" s="2" t="s">
        <v>71</v>
      </c>
      <c r="E9" s="2" t="s">
        <v>4</v>
      </c>
      <c r="F9" s="2" t="s">
        <v>5</v>
      </c>
      <c r="G9" s="3">
        <v>46255</v>
      </c>
      <c r="H9" s="2" t="s">
        <v>6</v>
      </c>
      <c r="I9" s="2" t="s">
        <v>38</v>
      </c>
      <c r="J9" s="2" t="s">
        <v>8</v>
      </c>
      <c r="K9" s="2" t="s">
        <v>9</v>
      </c>
      <c r="L9" s="2" t="s">
        <v>8</v>
      </c>
      <c r="M9" s="2" t="s">
        <v>8</v>
      </c>
      <c r="N9" s="2" t="s">
        <v>10</v>
      </c>
      <c r="O9" s="2" t="s">
        <v>8</v>
      </c>
      <c r="P9" s="2" t="s">
        <v>72</v>
      </c>
      <c r="Q9" s="3">
        <v>46255</v>
      </c>
      <c r="R9" s="2" t="s">
        <v>73</v>
      </c>
      <c r="S9" s="2" t="s">
        <v>73</v>
      </c>
      <c r="T9" s="2" t="s">
        <v>13</v>
      </c>
      <c r="U9" s="2" t="s">
        <v>8</v>
      </c>
      <c r="V9" s="2" t="s">
        <v>8</v>
      </c>
      <c r="W9" s="2" t="s">
        <v>74</v>
      </c>
      <c r="X9" s="2" t="s">
        <v>75</v>
      </c>
      <c r="Y9" s="2" t="s">
        <v>76</v>
      </c>
      <c r="Z9" s="2" t="s">
        <v>8</v>
      </c>
      <c r="AA9" s="2" t="s">
        <v>17</v>
      </c>
      <c r="AB9" s="5">
        <v>813.15</v>
      </c>
      <c r="AC9" s="5">
        <v>15</v>
      </c>
      <c r="AD9" s="5">
        <v>121.97</v>
      </c>
      <c r="AE9" s="5" t="s">
        <v>18</v>
      </c>
      <c r="AF9" s="5">
        <v>935.12</v>
      </c>
      <c r="AG9" s="5">
        <f t="shared" si="0"/>
        <v>28.053674999999995</v>
      </c>
      <c r="AH9" s="5">
        <f t="shared" si="1"/>
        <v>907.06632500000001</v>
      </c>
      <c r="AI9" s="2" t="s">
        <v>19</v>
      </c>
      <c r="AJ9" s="2" t="s">
        <v>77</v>
      </c>
      <c r="AK9" s="9" t="s">
        <v>188</v>
      </c>
    </row>
    <row r="10" spans="1:37" x14ac:dyDescent="0.3">
      <c r="AF10" s="7">
        <f>SUM(DATA40)</f>
        <v>6985.1600000000008</v>
      </c>
      <c r="AG10" s="7">
        <f>SUM(AG2:AG9)</f>
        <v>255.19765000000001</v>
      </c>
      <c r="AH10" s="7">
        <f>SUM(AH2:AH9)</f>
        <v>6729.9623499999998</v>
      </c>
      <c r="AK1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A5EAE-0E75-4DF8-B244-AA4E4DA5D4B6}">
  <dimension ref="A1:J5"/>
  <sheetViews>
    <sheetView workbookViewId="0">
      <selection activeCell="G4" sqref="G4"/>
    </sheetView>
  </sheetViews>
  <sheetFormatPr defaultRowHeight="14.4" x14ac:dyDescent="0.3"/>
  <cols>
    <col min="1" max="1" width="22.5546875" bestFit="1" customWidth="1"/>
    <col min="2" max="2" width="8.77734375" bestFit="1" customWidth="1"/>
    <col min="3" max="3" width="21" bestFit="1" customWidth="1"/>
    <col min="4" max="4" width="15.21875" bestFit="1" customWidth="1"/>
    <col min="5" max="5" width="9.77734375" bestFit="1" customWidth="1"/>
    <col min="6" max="6" width="11.77734375" bestFit="1" customWidth="1"/>
    <col min="7" max="7" width="23.21875" bestFit="1" customWidth="1"/>
  </cols>
  <sheetData>
    <row r="1" spans="1:10" x14ac:dyDescent="0.3">
      <c r="A1" s="10" t="s">
        <v>114</v>
      </c>
      <c r="B1" s="10" t="s">
        <v>115</v>
      </c>
      <c r="C1" s="11" t="s">
        <v>116</v>
      </c>
      <c r="D1" s="12" t="s">
        <v>117</v>
      </c>
      <c r="E1" s="10" t="s">
        <v>118</v>
      </c>
      <c r="F1" s="13" t="s">
        <v>119</v>
      </c>
      <c r="G1" s="14" t="s">
        <v>120</v>
      </c>
    </row>
    <row r="2" spans="1:10" x14ac:dyDescent="0.3">
      <c r="A2" s="15" t="s">
        <v>121</v>
      </c>
      <c r="B2" s="16">
        <v>1739.96</v>
      </c>
      <c r="C2" s="17">
        <v>63.13</v>
      </c>
      <c r="D2" s="18">
        <f>B2-C2</f>
        <v>1676.83</v>
      </c>
      <c r="E2" s="16">
        <v>0</v>
      </c>
      <c r="F2" s="19">
        <f>D2</f>
        <v>1676.83</v>
      </c>
      <c r="G2" s="20"/>
      <c r="J2" s="21"/>
    </row>
    <row r="3" spans="1:10" x14ac:dyDescent="0.3">
      <c r="A3" s="15" t="s">
        <v>122</v>
      </c>
      <c r="B3" s="15">
        <v>9334.869999999999</v>
      </c>
      <c r="C3" s="22">
        <v>298.66770999999994</v>
      </c>
      <c r="D3" s="18">
        <f>B3-C3</f>
        <v>9036.2022899999993</v>
      </c>
      <c r="E3" s="23"/>
      <c r="F3" s="19">
        <f>D3</f>
        <v>9036.2022899999993</v>
      </c>
      <c r="G3" s="20">
        <f>C3</f>
        <v>298.66770999999994</v>
      </c>
    </row>
    <row r="4" spans="1:10" x14ac:dyDescent="0.3">
      <c r="A4" s="15" t="s">
        <v>123</v>
      </c>
      <c r="B4" s="30">
        <v>6985.1600000000008</v>
      </c>
      <c r="C4" s="22">
        <v>255.19765000000001</v>
      </c>
      <c r="D4" s="18">
        <f>B4-C4</f>
        <v>6729.9623500000007</v>
      </c>
      <c r="E4" s="23"/>
      <c r="F4" s="19">
        <f>D4</f>
        <v>6729.9623500000007</v>
      </c>
      <c r="G4" s="20">
        <f>C4</f>
        <v>255.19765000000001</v>
      </c>
    </row>
    <row r="5" spans="1:10" ht="15" thickBot="1" x14ac:dyDescent="0.35">
      <c r="A5" s="24"/>
      <c r="B5" s="25">
        <f>SUM(B2:B4)</f>
        <v>18059.989999999998</v>
      </c>
      <c r="C5" s="26">
        <f>SUM(C2:C4)</f>
        <v>616.99535999999989</v>
      </c>
      <c r="D5" s="27">
        <f>SUM(D2:D4)</f>
        <v>17442.994640000001</v>
      </c>
      <c r="E5" s="25">
        <f t="shared" ref="E5" si="0">SUM(E2:E3)</f>
        <v>0</v>
      </c>
      <c r="F5" s="28">
        <f>SUM(F2:F4)</f>
        <v>17442.994640000001</v>
      </c>
      <c r="G5" s="29">
        <f>SUM(G3:G4)</f>
        <v>553.86536000000001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3BCBA-E940-4967-870C-5F682E7E8CD8}">
  <dimension ref="A1:AL6"/>
  <sheetViews>
    <sheetView topLeftCell="V1" workbookViewId="0">
      <selection activeCell="A5" sqref="A5:AL5"/>
    </sheetView>
  </sheetViews>
  <sheetFormatPr defaultColWidth="8.77734375" defaultRowHeight="14.4" x14ac:dyDescent="0.3"/>
  <cols>
    <col min="1" max="2" width="13.44140625" style="32" customWidth="1"/>
    <col min="3" max="5" width="10.77734375" style="32" customWidth="1"/>
    <col min="6" max="6" width="14.77734375" style="32" customWidth="1"/>
    <col min="7" max="7" width="21.6640625" style="32" customWidth="1"/>
    <col min="8" max="8" width="10.77734375" style="32" customWidth="1"/>
    <col min="9" max="9" width="17.5546875" style="32" customWidth="1"/>
    <col min="10" max="10" width="20.21875" style="32" customWidth="1"/>
    <col min="11" max="11" width="31" style="32" customWidth="1"/>
    <col min="12" max="12" width="20.21875" style="32" customWidth="1"/>
    <col min="13" max="13" width="48.6640625" style="32" customWidth="1"/>
    <col min="14" max="14" width="16.21875" style="32" customWidth="1"/>
    <col min="15" max="16" width="18.88671875" style="32" customWidth="1"/>
    <col min="17" max="18" width="12.21875" style="32" customWidth="1"/>
    <col min="19" max="19" width="32.33203125" style="32" customWidth="1"/>
    <col min="20" max="20" width="25.6640625" style="32" customWidth="1"/>
    <col min="21" max="21" width="6.77734375" style="32" customWidth="1"/>
    <col min="22" max="22" width="14.77734375" style="32" customWidth="1"/>
    <col min="23" max="23" width="16.21875" style="32" customWidth="1"/>
    <col min="24" max="24" width="31" style="32" customWidth="1"/>
    <col min="25" max="25" width="18.88671875" style="32" customWidth="1"/>
    <col min="26" max="26" width="22.88671875" style="32" customWidth="1"/>
    <col min="27" max="27" width="18.88671875" style="32" customWidth="1"/>
    <col min="28" max="28" width="8.109375" style="32" customWidth="1"/>
    <col min="29" max="29" width="25.6640625" style="32" customWidth="1"/>
    <col min="30" max="30" width="32.33203125" style="32" customWidth="1"/>
    <col min="31" max="31" width="24.21875" style="32" customWidth="1"/>
    <col min="32" max="32" width="35.109375" style="32" customWidth="1"/>
    <col min="33" max="33" width="17.5546875" style="32" customWidth="1"/>
    <col min="34" max="34" width="27" style="32" customWidth="1"/>
    <col min="35" max="35" width="24.21875" style="32" customWidth="1"/>
    <col min="36" max="36" width="17.5546875" style="32" customWidth="1"/>
    <col min="37" max="37" width="25.6640625" style="32" customWidth="1"/>
    <col min="38" max="38" width="39.21875" style="32" customWidth="1"/>
    <col min="39" max="16384" width="8.77734375" style="32"/>
  </cols>
  <sheetData>
    <row r="1" spans="1:38" x14ac:dyDescent="0.3">
      <c r="A1" s="31" t="s">
        <v>124</v>
      </c>
      <c r="B1" s="31" t="s">
        <v>125</v>
      </c>
      <c r="C1" s="31" t="s">
        <v>126</v>
      </c>
      <c r="D1" s="31" t="s">
        <v>126</v>
      </c>
      <c r="E1" s="31" t="s">
        <v>126</v>
      </c>
      <c r="F1" s="31" t="s">
        <v>127</v>
      </c>
      <c r="G1" s="31" t="s">
        <v>128</v>
      </c>
      <c r="H1" s="31" t="s">
        <v>129</v>
      </c>
      <c r="I1" s="31" t="s">
        <v>130</v>
      </c>
      <c r="J1" s="31" t="s">
        <v>131</v>
      </c>
      <c r="K1" s="31" t="s">
        <v>132</v>
      </c>
      <c r="L1" s="31" t="s">
        <v>133</v>
      </c>
      <c r="M1" s="31" t="s">
        <v>134</v>
      </c>
      <c r="N1" s="31" t="s">
        <v>135</v>
      </c>
      <c r="O1" s="31" t="s">
        <v>136</v>
      </c>
      <c r="P1" s="31" t="s">
        <v>137</v>
      </c>
      <c r="Q1" s="31" t="s">
        <v>138</v>
      </c>
      <c r="R1" s="31" t="s">
        <v>139</v>
      </c>
      <c r="S1" s="31" t="s">
        <v>140</v>
      </c>
      <c r="T1" s="31" t="s">
        <v>141</v>
      </c>
      <c r="U1" s="31" t="s">
        <v>105</v>
      </c>
      <c r="V1" s="31" t="s">
        <v>142</v>
      </c>
      <c r="W1" s="31" t="s">
        <v>143</v>
      </c>
      <c r="X1" s="31" t="s">
        <v>144</v>
      </c>
      <c r="Y1" s="31" t="s">
        <v>145</v>
      </c>
      <c r="Z1" s="31" t="s">
        <v>146</v>
      </c>
      <c r="AA1" s="31" t="s">
        <v>147</v>
      </c>
      <c r="AB1" s="31" t="s">
        <v>148</v>
      </c>
      <c r="AC1" s="31" t="s">
        <v>149</v>
      </c>
      <c r="AD1" s="31" t="s">
        <v>150</v>
      </c>
      <c r="AE1" s="31" t="s">
        <v>151</v>
      </c>
      <c r="AF1" s="31" t="s">
        <v>152</v>
      </c>
      <c r="AG1" s="31" t="s">
        <v>153</v>
      </c>
      <c r="AH1" s="31" t="s">
        <v>154</v>
      </c>
      <c r="AI1" s="31" t="s">
        <v>155</v>
      </c>
      <c r="AJ1" s="31" t="s">
        <v>156</v>
      </c>
      <c r="AK1" s="31" t="s">
        <v>157</v>
      </c>
      <c r="AL1" s="31" t="s">
        <v>158</v>
      </c>
    </row>
    <row r="2" spans="1:38" x14ac:dyDescent="0.3">
      <c r="A2" s="33">
        <v>46254</v>
      </c>
      <c r="B2" s="32" t="s">
        <v>159</v>
      </c>
      <c r="C2" s="34">
        <v>45841</v>
      </c>
      <c r="F2" s="34">
        <v>124</v>
      </c>
      <c r="G2" s="32" t="s">
        <v>160</v>
      </c>
      <c r="H2" s="32" t="s">
        <v>161</v>
      </c>
      <c r="I2" s="32" t="s">
        <v>162</v>
      </c>
      <c r="J2" s="32" t="s">
        <v>160</v>
      </c>
      <c r="K2" s="32" t="s">
        <v>160</v>
      </c>
      <c r="L2" s="32" t="s">
        <v>160</v>
      </c>
      <c r="M2" s="32" t="s">
        <v>163</v>
      </c>
      <c r="N2" s="32" t="s">
        <v>164</v>
      </c>
      <c r="O2" s="32" t="s">
        <v>164</v>
      </c>
      <c r="P2" s="32" t="s">
        <v>165</v>
      </c>
      <c r="Q2" s="35">
        <v>226.45</v>
      </c>
      <c r="R2" s="32" t="s">
        <v>160</v>
      </c>
      <c r="S2" s="32" t="s">
        <v>160</v>
      </c>
      <c r="T2" s="32" t="s">
        <v>160</v>
      </c>
      <c r="U2" s="35">
        <v>0</v>
      </c>
      <c r="V2" s="35">
        <v>226.45</v>
      </c>
      <c r="W2" s="35">
        <v>226.45</v>
      </c>
      <c r="X2" s="32" t="s">
        <v>160</v>
      </c>
      <c r="Y2" s="32" t="s">
        <v>160</v>
      </c>
      <c r="Z2" s="35">
        <v>0</v>
      </c>
      <c r="AA2" s="35">
        <v>0</v>
      </c>
      <c r="AB2" s="35">
        <v>0</v>
      </c>
      <c r="AC2" s="32" t="s">
        <v>160</v>
      </c>
      <c r="AD2" s="35">
        <v>0</v>
      </c>
      <c r="AE2" s="35">
        <v>0</v>
      </c>
      <c r="AF2" s="35">
        <v>0</v>
      </c>
      <c r="AG2" s="35">
        <v>0</v>
      </c>
      <c r="AH2" s="35">
        <v>226.45</v>
      </c>
      <c r="AI2" s="35">
        <v>0</v>
      </c>
      <c r="AJ2" s="35">
        <v>0</v>
      </c>
      <c r="AK2" s="32" t="s">
        <v>160</v>
      </c>
      <c r="AL2" s="35">
        <v>226.45</v>
      </c>
    </row>
    <row r="3" spans="1:38" x14ac:dyDescent="0.3">
      <c r="A3" s="33">
        <v>46254</v>
      </c>
      <c r="B3" s="32" t="s">
        <v>166</v>
      </c>
      <c r="C3" s="34">
        <v>62725</v>
      </c>
      <c r="F3" s="34">
        <v>123</v>
      </c>
      <c r="G3" s="32" t="s">
        <v>160</v>
      </c>
      <c r="H3" s="32" t="s">
        <v>161</v>
      </c>
      <c r="I3" s="32" t="s">
        <v>162</v>
      </c>
      <c r="J3" s="32" t="s">
        <v>160</v>
      </c>
      <c r="K3" s="32" t="s">
        <v>160</v>
      </c>
      <c r="L3" s="32" t="s">
        <v>160</v>
      </c>
      <c r="M3" s="32" t="s">
        <v>160</v>
      </c>
      <c r="N3" s="32" t="s">
        <v>167</v>
      </c>
      <c r="O3" s="32" t="s">
        <v>160</v>
      </c>
      <c r="P3" s="32" t="s">
        <v>168</v>
      </c>
      <c r="Q3" s="35">
        <v>125.61</v>
      </c>
      <c r="R3" s="32" t="s">
        <v>160</v>
      </c>
      <c r="S3" s="32" t="s">
        <v>160</v>
      </c>
      <c r="T3" s="32" t="s">
        <v>160</v>
      </c>
      <c r="U3" s="35">
        <v>16.38</v>
      </c>
      <c r="V3" s="35">
        <v>125.61</v>
      </c>
      <c r="W3" s="35">
        <v>125.61</v>
      </c>
      <c r="X3" s="32" t="s">
        <v>160</v>
      </c>
      <c r="Y3" s="32" t="s">
        <v>160</v>
      </c>
      <c r="Z3" s="35">
        <v>0</v>
      </c>
      <c r="AA3" s="35">
        <v>0</v>
      </c>
      <c r="AB3" s="35">
        <v>0</v>
      </c>
      <c r="AC3" s="32" t="s">
        <v>160</v>
      </c>
      <c r="AD3" s="35">
        <v>0</v>
      </c>
      <c r="AE3" s="35">
        <v>0</v>
      </c>
      <c r="AF3" s="35">
        <v>0</v>
      </c>
      <c r="AG3" s="35">
        <v>0</v>
      </c>
      <c r="AH3" s="35">
        <v>125.61</v>
      </c>
      <c r="AI3" s="35">
        <v>0</v>
      </c>
      <c r="AJ3" s="35">
        <v>0</v>
      </c>
      <c r="AK3" s="32" t="s">
        <v>160</v>
      </c>
      <c r="AL3" s="35">
        <v>125.61</v>
      </c>
    </row>
    <row r="4" spans="1:38" x14ac:dyDescent="0.3">
      <c r="A4" s="33">
        <v>46254</v>
      </c>
      <c r="B4" s="32" t="s">
        <v>169</v>
      </c>
      <c r="C4" s="34">
        <v>64510</v>
      </c>
      <c r="F4" s="34">
        <v>122</v>
      </c>
      <c r="G4" s="32" t="s">
        <v>160</v>
      </c>
      <c r="H4" s="32" t="s">
        <v>161</v>
      </c>
      <c r="I4" s="32" t="s">
        <v>162</v>
      </c>
      <c r="J4" s="32" t="s">
        <v>160</v>
      </c>
      <c r="K4" s="32" t="s">
        <v>160</v>
      </c>
      <c r="L4" s="32" t="s">
        <v>160</v>
      </c>
      <c r="M4" s="32" t="s">
        <v>160</v>
      </c>
      <c r="N4" s="32" t="s">
        <v>164</v>
      </c>
      <c r="O4" s="32" t="s">
        <v>160</v>
      </c>
      <c r="P4" s="32" t="s">
        <v>168</v>
      </c>
      <c r="Q4" s="35">
        <v>7056.88</v>
      </c>
      <c r="R4" s="32" t="s">
        <v>160</v>
      </c>
      <c r="S4" s="32" t="s">
        <v>160</v>
      </c>
      <c r="T4" s="32" t="s">
        <v>160</v>
      </c>
      <c r="U4" s="35">
        <v>0</v>
      </c>
      <c r="V4" s="35">
        <v>7056.88</v>
      </c>
      <c r="W4" s="35">
        <v>7056.88</v>
      </c>
      <c r="X4" s="32" t="s">
        <v>160</v>
      </c>
      <c r="Y4" s="32" t="s">
        <v>160</v>
      </c>
      <c r="Z4" s="35">
        <v>0</v>
      </c>
      <c r="AA4" s="35">
        <v>0</v>
      </c>
      <c r="AB4" s="35">
        <v>0</v>
      </c>
      <c r="AC4" s="32" t="s">
        <v>160</v>
      </c>
      <c r="AD4" s="35">
        <v>0</v>
      </c>
      <c r="AE4" s="35">
        <v>0</v>
      </c>
      <c r="AF4" s="35">
        <v>0</v>
      </c>
      <c r="AG4" s="35">
        <v>0</v>
      </c>
      <c r="AH4" s="35">
        <v>7056.88</v>
      </c>
      <c r="AI4" s="35">
        <v>0</v>
      </c>
      <c r="AJ4" s="35">
        <v>0</v>
      </c>
      <c r="AK4" s="32" t="s">
        <v>160</v>
      </c>
      <c r="AL4" s="35">
        <v>7056.88</v>
      </c>
    </row>
    <row r="5" spans="1:38" x14ac:dyDescent="0.3">
      <c r="A5" s="33">
        <v>46253</v>
      </c>
      <c r="B5" s="32" t="s">
        <v>170</v>
      </c>
      <c r="C5" s="34">
        <v>51981</v>
      </c>
      <c r="D5" s="32" t="s">
        <v>171</v>
      </c>
      <c r="F5" s="34">
        <v>121</v>
      </c>
      <c r="G5" s="32" t="s">
        <v>53</v>
      </c>
      <c r="H5" s="32" t="s">
        <v>161</v>
      </c>
      <c r="I5" s="32" t="s">
        <v>162</v>
      </c>
      <c r="J5" s="32" t="s">
        <v>160</v>
      </c>
      <c r="K5" s="32" t="s">
        <v>160</v>
      </c>
      <c r="L5" s="32" t="s">
        <v>160</v>
      </c>
      <c r="M5" s="32" t="s">
        <v>172</v>
      </c>
      <c r="N5" s="32" t="s">
        <v>173</v>
      </c>
      <c r="O5" s="32" t="s">
        <v>174</v>
      </c>
      <c r="P5" s="32" t="s">
        <v>175</v>
      </c>
      <c r="Q5" s="35">
        <v>1161.7</v>
      </c>
      <c r="R5" s="32" t="s">
        <v>160</v>
      </c>
      <c r="S5" s="32" t="s">
        <v>160</v>
      </c>
      <c r="T5" s="32" t="s">
        <v>160</v>
      </c>
      <c r="U5" s="35">
        <v>0</v>
      </c>
      <c r="V5" s="35">
        <v>1161.7</v>
      </c>
      <c r="W5" s="35">
        <v>1161.7</v>
      </c>
      <c r="X5" s="32" t="s">
        <v>160</v>
      </c>
      <c r="Y5" s="32" t="s">
        <v>160</v>
      </c>
      <c r="Z5" s="35">
        <v>0</v>
      </c>
      <c r="AA5" s="35">
        <v>1103.6199999999999</v>
      </c>
      <c r="AB5" s="35">
        <v>0</v>
      </c>
      <c r="AC5" s="32" t="s">
        <v>160</v>
      </c>
      <c r="AD5" s="35">
        <v>0</v>
      </c>
      <c r="AE5" s="35">
        <v>58.09</v>
      </c>
      <c r="AF5" s="35">
        <v>0</v>
      </c>
      <c r="AG5" s="35">
        <v>0</v>
      </c>
      <c r="AH5" s="35">
        <v>1161.7</v>
      </c>
      <c r="AI5" s="35">
        <v>58.09</v>
      </c>
      <c r="AJ5" s="35">
        <v>0</v>
      </c>
      <c r="AK5" s="32" t="s">
        <v>160</v>
      </c>
      <c r="AL5" s="35">
        <v>1103.6099999999999</v>
      </c>
    </row>
    <row r="6" spans="1:38" x14ac:dyDescent="0.3">
      <c r="A6" s="33">
        <v>46252</v>
      </c>
      <c r="B6" s="32" t="s">
        <v>176</v>
      </c>
      <c r="C6" s="34">
        <v>48424</v>
      </c>
      <c r="F6" s="34">
        <v>120</v>
      </c>
      <c r="G6" s="32" t="s">
        <v>160</v>
      </c>
      <c r="H6" s="32" t="s">
        <v>161</v>
      </c>
      <c r="I6" s="32" t="s">
        <v>162</v>
      </c>
      <c r="J6" s="32" t="s">
        <v>160</v>
      </c>
      <c r="K6" s="32" t="s">
        <v>160</v>
      </c>
      <c r="L6" s="32" t="s">
        <v>160</v>
      </c>
      <c r="M6" s="32" t="s">
        <v>160</v>
      </c>
      <c r="N6" s="32" t="s">
        <v>167</v>
      </c>
      <c r="O6" s="32" t="s">
        <v>160</v>
      </c>
      <c r="P6" s="32" t="s">
        <v>168</v>
      </c>
      <c r="Q6" s="35">
        <v>449</v>
      </c>
      <c r="R6" s="32" t="s">
        <v>160</v>
      </c>
      <c r="S6" s="32" t="s">
        <v>160</v>
      </c>
      <c r="T6" s="32" t="s">
        <v>160</v>
      </c>
      <c r="U6" s="35">
        <v>0</v>
      </c>
      <c r="V6" s="35">
        <v>449</v>
      </c>
      <c r="W6" s="35">
        <v>449</v>
      </c>
      <c r="X6" s="32" t="s">
        <v>160</v>
      </c>
      <c r="Y6" s="32" t="s">
        <v>160</v>
      </c>
      <c r="Z6" s="35">
        <v>0</v>
      </c>
      <c r="AA6" s="35">
        <v>0</v>
      </c>
      <c r="AB6" s="35">
        <v>0</v>
      </c>
      <c r="AC6" s="32" t="s">
        <v>160</v>
      </c>
      <c r="AD6" s="35">
        <v>0</v>
      </c>
      <c r="AE6" s="35">
        <v>0</v>
      </c>
      <c r="AF6" s="35">
        <v>0</v>
      </c>
      <c r="AG6" s="35">
        <v>0</v>
      </c>
      <c r="AH6" s="35">
        <v>449</v>
      </c>
      <c r="AI6" s="35">
        <v>0</v>
      </c>
      <c r="AJ6" s="35">
        <v>0</v>
      </c>
      <c r="AK6" s="32" t="s">
        <v>160</v>
      </c>
      <c r="AL6" s="35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CB8-7FB4-49F0-BC9B-736E3C4C2FD0}">
  <dimension ref="A1:AL39"/>
  <sheetViews>
    <sheetView topLeftCell="M1" workbookViewId="0">
      <selection activeCell="AQ2" sqref="AQ2"/>
    </sheetView>
  </sheetViews>
  <sheetFormatPr defaultColWidth="8.77734375" defaultRowHeight="14.4" x14ac:dyDescent="0.3"/>
  <cols>
    <col min="1" max="2" width="13.44140625" style="32" customWidth="1"/>
    <col min="3" max="3" width="10.77734375" style="32" customWidth="1"/>
    <col min="4" max="4" width="17.5546875" style="32" customWidth="1"/>
    <col min="5" max="5" width="10.77734375" style="32" customWidth="1"/>
    <col min="6" max="6" width="14.77734375" style="32" customWidth="1"/>
    <col min="7" max="7" width="21.6640625" style="32" customWidth="1"/>
    <col min="8" max="8" width="10.77734375" style="32" customWidth="1"/>
    <col min="9" max="9" width="17.5546875" style="32" customWidth="1"/>
    <col min="10" max="10" width="20.21875" style="32" hidden="1" customWidth="1"/>
    <col min="11" max="11" width="31" style="32" hidden="1" customWidth="1"/>
    <col min="12" max="12" width="20.21875" style="32" hidden="1" customWidth="1"/>
    <col min="13" max="13" width="48.6640625" style="32" customWidth="1"/>
    <col min="14" max="14" width="16.21875" style="32" customWidth="1"/>
    <col min="15" max="15" width="18.88671875" style="32" customWidth="1"/>
    <col min="16" max="16" width="24.21875" style="32" customWidth="1"/>
    <col min="17" max="18" width="12.21875" style="32" customWidth="1"/>
    <col min="19" max="19" width="32.33203125" style="32" hidden="1" customWidth="1"/>
    <col min="20" max="20" width="25.6640625" style="32" hidden="1" customWidth="1"/>
    <col min="21" max="21" width="8.109375" style="32" customWidth="1"/>
    <col min="22" max="22" width="14.77734375" style="32" customWidth="1"/>
    <col min="23" max="23" width="16.21875" style="32" customWidth="1"/>
    <col min="24" max="24" width="31" style="32" hidden="1" customWidth="1"/>
    <col min="25" max="25" width="18.88671875" style="32" hidden="1" customWidth="1"/>
    <col min="26" max="26" width="22.88671875" style="32" customWidth="1"/>
    <col min="27" max="27" width="18.88671875" style="32" hidden="1" customWidth="1"/>
    <col min="28" max="28" width="8.109375" style="32" hidden="1" customWidth="1"/>
    <col min="29" max="29" width="25.6640625" style="32" hidden="1" customWidth="1"/>
    <col min="30" max="30" width="32.33203125" style="32" hidden="1" customWidth="1"/>
    <col min="31" max="31" width="24.21875" style="32" hidden="1" customWidth="1"/>
    <col min="32" max="32" width="35.109375" style="32" hidden="1" customWidth="1"/>
    <col min="33" max="33" width="17.5546875" style="32" customWidth="1"/>
    <col min="34" max="34" width="27" style="32" customWidth="1"/>
    <col min="35" max="35" width="24.21875" style="32" customWidth="1"/>
    <col min="36" max="36" width="17.5546875" style="32" customWidth="1"/>
    <col min="37" max="37" width="25.6640625" style="32" customWidth="1"/>
    <col min="38" max="38" width="39.21875" style="32" customWidth="1"/>
    <col min="39" max="16384" width="8.77734375" style="32"/>
  </cols>
  <sheetData>
    <row r="1" spans="1:38" x14ac:dyDescent="0.3">
      <c r="A1" s="31" t="s">
        <v>124</v>
      </c>
      <c r="B1" s="31" t="s">
        <v>125</v>
      </c>
      <c r="C1" s="31" t="s">
        <v>126</v>
      </c>
      <c r="D1" s="31" t="s">
        <v>126</v>
      </c>
      <c r="E1" s="31" t="s">
        <v>126</v>
      </c>
      <c r="F1" s="31" t="s">
        <v>127</v>
      </c>
      <c r="G1" s="31" t="s">
        <v>128</v>
      </c>
      <c r="H1" s="31" t="s">
        <v>129</v>
      </c>
      <c r="I1" s="31" t="s">
        <v>130</v>
      </c>
      <c r="J1" s="31" t="s">
        <v>131</v>
      </c>
      <c r="K1" s="31" t="s">
        <v>132</v>
      </c>
      <c r="L1" s="31" t="s">
        <v>133</v>
      </c>
      <c r="M1" s="31" t="s">
        <v>134</v>
      </c>
      <c r="N1" s="31" t="s">
        <v>135</v>
      </c>
      <c r="O1" s="31" t="s">
        <v>136</v>
      </c>
      <c r="P1" s="31" t="s">
        <v>137</v>
      </c>
      <c r="Q1" s="31" t="s">
        <v>138</v>
      </c>
      <c r="R1" s="31" t="s">
        <v>139</v>
      </c>
      <c r="S1" s="31" t="s">
        <v>140</v>
      </c>
      <c r="T1" s="31" t="s">
        <v>141</v>
      </c>
      <c r="U1" s="31" t="s">
        <v>105</v>
      </c>
      <c r="V1" s="31" t="s">
        <v>142</v>
      </c>
      <c r="W1" s="31" t="s">
        <v>143</v>
      </c>
      <c r="X1" s="31" t="s">
        <v>144</v>
      </c>
      <c r="Y1" s="31" t="s">
        <v>145</v>
      </c>
      <c r="Z1" s="31" t="s">
        <v>146</v>
      </c>
      <c r="AA1" s="31" t="s">
        <v>147</v>
      </c>
      <c r="AB1" s="31" t="s">
        <v>148</v>
      </c>
      <c r="AC1" s="31" t="s">
        <v>149</v>
      </c>
      <c r="AD1" s="31" t="s">
        <v>150</v>
      </c>
      <c r="AE1" s="31" t="s">
        <v>151</v>
      </c>
      <c r="AF1" s="31" t="s">
        <v>152</v>
      </c>
      <c r="AG1" s="31" t="s">
        <v>153</v>
      </c>
      <c r="AH1" s="31" t="s">
        <v>154</v>
      </c>
      <c r="AI1" s="31" t="s">
        <v>155</v>
      </c>
      <c r="AJ1" s="31" t="s">
        <v>156</v>
      </c>
      <c r="AK1" s="31" t="s">
        <v>157</v>
      </c>
      <c r="AL1" s="31" t="s">
        <v>158</v>
      </c>
    </row>
    <row r="2" spans="1:38" x14ac:dyDescent="0.3">
      <c r="A2" s="33">
        <v>46256</v>
      </c>
      <c r="B2" s="32" t="s">
        <v>177</v>
      </c>
      <c r="C2" s="34">
        <v>53336</v>
      </c>
      <c r="F2" s="34">
        <v>372</v>
      </c>
      <c r="G2" s="32" t="s">
        <v>160</v>
      </c>
      <c r="H2" s="32" t="s">
        <v>178</v>
      </c>
      <c r="I2" s="32" t="s">
        <v>162</v>
      </c>
      <c r="J2" s="32" t="s">
        <v>160</v>
      </c>
      <c r="K2" s="32" t="s">
        <v>160</v>
      </c>
      <c r="L2" s="32" t="s">
        <v>160</v>
      </c>
      <c r="M2" s="32" t="s">
        <v>179</v>
      </c>
      <c r="N2" s="32" t="s">
        <v>164</v>
      </c>
      <c r="O2" s="32" t="s">
        <v>164</v>
      </c>
      <c r="P2" s="32" t="s">
        <v>165</v>
      </c>
      <c r="Q2" s="35">
        <v>1833.24</v>
      </c>
      <c r="R2" s="32" t="s">
        <v>160</v>
      </c>
      <c r="S2" s="32" t="s">
        <v>160</v>
      </c>
      <c r="T2" s="32" t="s">
        <v>160</v>
      </c>
      <c r="U2" s="35">
        <v>0</v>
      </c>
      <c r="V2" s="35">
        <v>1833.24</v>
      </c>
      <c r="W2" s="35">
        <v>1833.24</v>
      </c>
      <c r="X2" s="32" t="s">
        <v>160</v>
      </c>
      <c r="Y2" s="32" t="s">
        <v>160</v>
      </c>
      <c r="Z2" s="35">
        <v>55</v>
      </c>
      <c r="AA2" s="32" t="s">
        <v>160</v>
      </c>
      <c r="AB2" s="35">
        <v>55</v>
      </c>
      <c r="AC2" s="32" t="s">
        <v>160</v>
      </c>
      <c r="AD2" s="35">
        <v>0</v>
      </c>
      <c r="AE2" s="35">
        <v>55</v>
      </c>
      <c r="AF2" s="35">
        <v>55</v>
      </c>
      <c r="AG2" s="32" t="s">
        <v>160</v>
      </c>
      <c r="AH2" s="35">
        <v>1833.24</v>
      </c>
      <c r="AI2" s="35">
        <v>55</v>
      </c>
      <c r="AJ2" s="32" t="s">
        <v>160</v>
      </c>
      <c r="AK2" s="32" t="s">
        <v>160</v>
      </c>
      <c r="AL2" s="35">
        <v>1778.24</v>
      </c>
    </row>
    <row r="3" spans="1:38" x14ac:dyDescent="0.3">
      <c r="A3" s="33">
        <v>46256</v>
      </c>
      <c r="B3" s="32" t="s">
        <v>180</v>
      </c>
      <c r="C3" s="34">
        <v>53336</v>
      </c>
      <c r="F3" s="34">
        <v>371</v>
      </c>
      <c r="G3" s="32" t="s">
        <v>160</v>
      </c>
      <c r="H3" s="32" t="s">
        <v>178</v>
      </c>
      <c r="I3" s="32" t="s">
        <v>162</v>
      </c>
      <c r="J3" s="32" t="s">
        <v>160</v>
      </c>
      <c r="K3" s="32" t="s">
        <v>160</v>
      </c>
      <c r="L3" s="32" t="s">
        <v>160</v>
      </c>
      <c r="M3" s="32" t="s">
        <v>181</v>
      </c>
      <c r="N3" s="32" t="s">
        <v>167</v>
      </c>
      <c r="O3" s="32" t="s">
        <v>164</v>
      </c>
      <c r="P3" s="32" t="s">
        <v>165</v>
      </c>
      <c r="Q3" s="35">
        <v>1336.23</v>
      </c>
      <c r="R3" s="32" t="s">
        <v>160</v>
      </c>
      <c r="S3" s="32" t="s">
        <v>160</v>
      </c>
      <c r="T3" s="32" t="s">
        <v>160</v>
      </c>
      <c r="U3" s="35">
        <v>0</v>
      </c>
      <c r="V3" s="35">
        <v>1336.23</v>
      </c>
      <c r="W3" s="35">
        <v>1336.23</v>
      </c>
      <c r="X3" s="32" t="s">
        <v>160</v>
      </c>
      <c r="Y3" s="32" t="s">
        <v>160</v>
      </c>
      <c r="Z3" s="35">
        <v>40.090000000000003</v>
      </c>
      <c r="AA3" s="32" t="s">
        <v>160</v>
      </c>
      <c r="AB3" s="35">
        <v>40.090000000000003</v>
      </c>
      <c r="AC3" s="32" t="s">
        <v>160</v>
      </c>
      <c r="AD3" s="35">
        <v>0</v>
      </c>
      <c r="AE3" s="35">
        <v>40.090000000000003</v>
      </c>
      <c r="AF3" s="35">
        <v>40.090000000000003</v>
      </c>
      <c r="AG3" s="32" t="s">
        <v>160</v>
      </c>
      <c r="AH3" s="35">
        <v>1336.23</v>
      </c>
      <c r="AI3" s="35">
        <v>40.090000000000003</v>
      </c>
      <c r="AJ3" s="32" t="s">
        <v>160</v>
      </c>
      <c r="AK3" s="32" t="s">
        <v>160</v>
      </c>
      <c r="AL3" s="35">
        <v>1296.1400000000001</v>
      </c>
    </row>
    <row r="4" spans="1:38" x14ac:dyDescent="0.3">
      <c r="A4" s="33">
        <v>46256</v>
      </c>
      <c r="B4" s="32" t="s">
        <v>182</v>
      </c>
      <c r="C4" s="34">
        <v>53336</v>
      </c>
      <c r="F4" s="34">
        <v>370</v>
      </c>
      <c r="G4" s="32" t="s">
        <v>160</v>
      </c>
      <c r="H4" s="32" t="s">
        <v>178</v>
      </c>
      <c r="I4" s="32" t="s">
        <v>162</v>
      </c>
      <c r="J4" s="32" t="s">
        <v>160</v>
      </c>
      <c r="K4" s="32" t="s">
        <v>160</v>
      </c>
      <c r="L4" s="32" t="s">
        <v>160</v>
      </c>
      <c r="M4" s="32" t="s">
        <v>183</v>
      </c>
      <c r="N4" s="32" t="s">
        <v>167</v>
      </c>
      <c r="O4" s="32" t="s">
        <v>164</v>
      </c>
      <c r="P4" s="32" t="s">
        <v>165</v>
      </c>
      <c r="Q4" s="35">
        <v>2227.06</v>
      </c>
      <c r="R4" s="32" t="s">
        <v>160</v>
      </c>
      <c r="S4" s="32" t="s">
        <v>160</v>
      </c>
      <c r="T4" s="32" t="s">
        <v>160</v>
      </c>
      <c r="U4" s="35">
        <v>0</v>
      </c>
      <c r="V4" s="35">
        <v>2227.06</v>
      </c>
      <c r="W4" s="35">
        <v>2227.06</v>
      </c>
      <c r="X4" s="32" t="s">
        <v>160</v>
      </c>
      <c r="Y4" s="32" t="s">
        <v>160</v>
      </c>
      <c r="Z4" s="35">
        <v>66.81</v>
      </c>
      <c r="AA4" s="32" t="s">
        <v>160</v>
      </c>
      <c r="AB4" s="35">
        <v>66.81</v>
      </c>
      <c r="AC4" s="32" t="s">
        <v>160</v>
      </c>
      <c r="AD4" s="35">
        <v>0</v>
      </c>
      <c r="AE4" s="35">
        <v>66.81</v>
      </c>
      <c r="AF4" s="35">
        <v>66.81</v>
      </c>
      <c r="AG4" s="32" t="s">
        <v>160</v>
      </c>
      <c r="AH4" s="35">
        <v>2227.06</v>
      </c>
      <c r="AI4" s="35">
        <v>66.81</v>
      </c>
      <c r="AJ4" s="32" t="s">
        <v>160</v>
      </c>
      <c r="AK4" s="32" t="s">
        <v>160</v>
      </c>
      <c r="AL4" s="35">
        <v>2160.25</v>
      </c>
    </row>
    <row r="5" spans="1:38" x14ac:dyDescent="0.3">
      <c r="A5" s="33">
        <v>46256</v>
      </c>
      <c r="B5" s="32" t="s">
        <v>182</v>
      </c>
      <c r="C5" s="34">
        <v>53336</v>
      </c>
      <c r="F5" s="34">
        <v>369</v>
      </c>
      <c r="G5" s="32" t="s">
        <v>160</v>
      </c>
      <c r="H5" s="32" t="s">
        <v>178</v>
      </c>
      <c r="I5" s="32" t="s">
        <v>162</v>
      </c>
      <c r="J5" s="32" t="s">
        <v>160</v>
      </c>
      <c r="K5" s="32" t="s">
        <v>160</v>
      </c>
      <c r="L5" s="32" t="s">
        <v>160</v>
      </c>
      <c r="M5" s="32" t="s">
        <v>183</v>
      </c>
      <c r="N5" s="32" t="s">
        <v>167</v>
      </c>
      <c r="O5" s="32" t="s">
        <v>164</v>
      </c>
      <c r="P5" s="32" t="s">
        <v>165</v>
      </c>
      <c r="Q5" s="35">
        <v>2227.06</v>
      </c>
      <c r="R5" s="32" t="s">
        <v>160</v>
      </c>
      <c r="S5" s="32" t="s">
        <v>160</v>
      </c>
      <c r="T5" s="32" t="s">
        <v>160</v>
      </c>
      <c r="U5" s="35">
        <v>0</v>
      </c>
      <c r="V5" s="35">
        <v>2227.06</v>
      </c>
      <c r="W5" s="35">
        <v>2227.06</v>
      </c>
      <c r="X5" s="32" t="s">
        <v>160</v>
      </c>
      <c r="Y5" s="32" t="s">
        <v>160</v>
      </c>
      <c r="Z5" s="35">
        <v>66.81</v>
      </c>
      <c r="AA5" s="32" t="s">
        <v>160</v>
      </c>
      <c r="AB5" s="35">
        <v>66.81</v>
      </c>
      <c r="AC5" s="32" t="s">
        <v>160</v>
      </c>
      <c r="AD5" s="35">
        <v>0</v>
      </c>
      <c r="AE5" s="35">
        <v>66.81</v>
      </c>
      <c r="AF5" s="35">
        <v>66.81</v>
      </c>
      <c r="AG5" s="32" t="s">
        <v>160</v>
      </c>
      <c r="AH5" s="35">
        <v>2227.06</v>
      </c>
      <c r="AI5" s="35">
        <v>66.81</v>
      </c>
      <c r="AJ5" s="32" t="s">
        <v>160</v>
      </c>
      <c r="AK5" s="32" t="s">
        <v>160</v>
      </c>
      <c r="AL5" s="35">
        <v>2160.25</v>
      </c>
    </row>
    <row r="6" spans="1:38" x14ac:dyDescent="0.3">
      <c r="A6" s="33">
        <v>46256</v>
      </c>
      <c r="B6" s="32" t="s">
        <v>184</v>
      </c>
      <c r="C6" s="34">
        <v>53336</v>
      </c>
      <c r="F6" s="34">
        <v>368</v>
      </c>
      <c r="G6" s="32" t="s">
        <v>160</v>
      </c>
      <c r="H6" s="32" t="s">
        <v>178</v>
      </c>
      <c r="I6" s="32" t="s">
        <v>162</v>
      </c>
      <c r="J6" s="32" t="s">
        <v>160</v>
      </c>
      <c r="K6" s="32" t="s">
        <v>160</v>
      </c>
      <c r="L6" s="32" t="s">
        <v>160</v>
      </c>
      <c r="M6" s="32" t="s">
        <v>185</v>
      </c>
      <c r="N6" s="32" t="s">
        <v>167</v>
      </c>
      <c r="O6" s="32" t="s">
        <v>164</v>
      </c>
      <c r="P6" s="32" t="s">
        <v>165</v>
      </c>
      <c r="Q6" s="35">
        <v>3180.14</v>
      </c>
      <c r="R6" s="32" t="s">
        <v>160</v>
      </c>
      <c r="S6" s="32" t="s">
        <v>160</v>
      </c>
      <c r="T6" s="32" t="s">
        <v>160</v>
      </c>
      <c r="U6" s="35">
        <v>0</v>
      </c>
      <c r="V6" s="35">
        <v>3180.14</v>
      </c>
      <c r="W6" s="35">
        <v>3180.14</v>
      </c>
      <c r="X6" s="32" t="s">
        <v>160</v>
      </c>
      <c r="Y6" s="32" t="s">
        <v>160</v>
      </c>
      <c r="Z6" s="35">
        <v>95.4</v>
      </c>
      <c r="AA6" s="32" t="s">
        <v>160</v>
      </c>
      <c r="AB6" s="35">
        <v>95.4</v>
      </c>
      <c r="AC6" s="32" t="s">
        <v>160</v>
      </c>
      <c r="AD6" s="35">
        <v>0</v>
      </c>
      <c r="AE6" s="35">
        <v>95.4</v>
      </c>
      <c r="AF6" s="35">
        <v>95.4</v>
      </c>
      <c r="AG6" s="32" t="s">
        <v>160</v>
      </c>
      <c r="AH6" s="35">
        <v>3180.14</v>
      </c>
      <c r="AI6" s="35">
        <v>95.4</v>
      </c>
      <c r="AJ6" s="32" t="s">
        <v>160</v>
      </c>
      <c r="AK6" s="32" t="s">
        <v>160</v>
      </c>
      <c r="AL6" s="35">
        <v>3084.74</v>
      </c>
    </row>
    <row r="7" spans="1:38" x14ac:dyDescent="0.3">
      <c r="A7" s="33">
        <v>46256</v>
      </c>
      <c r="B7" s="32" t="s">
        <v>184</v>
      </c>
      <c r="C7" s="34">
        <v>53336</v>
      </c>
      <c r="F7" s="34">
        <v>367</v>
      </c>
      <c r="G7" s="32" t="s">
        <v>160</v>
      </c>
      <c r="H7" s="32" t="s">
        <v>178</v>
      </c>
      <c r="I7" s="32" t="s">
        <v>162</v>
      </c>
      <c r="J7" s="32" t="s">
        <v>160</v>
      </c>
      <c r="K7" s="32" t="s">
        <v>160</v>
      </c>
      <c r="L7" s="32" t="s">
        <v>160</v>
      </c>
      <c r="M7" s="32" t="s">
        <v>185</v>
      </c>
      <c r="N7" s="32" t="s">
        <v>167</v>
      </c>
      <c r="O7" s="32" t="s">
        <v>164</v>
      </c>
      <c r="P7" s="32" t="s">
        <v>165</v>
      </c>
      <c r="Q7" s="35">
        <v>3180.14</v>
      </c>
      <c r="R7" s="32" t="s">
        <v>160</v>
      </c>
      <c r="S7" s="32" t="s">
        <v>160</v>
      </c>
      <c r="T7" s="32" t="s">
        <v>160</v>
      </c>
      <c r="U7" s="35">
        <v>0</v>
      </c>
      <c r="V7" s="35">
        <v>3180.14</v>
      </c>
      <c r="W7" s="35">
        <v>3180.14</v>
      </c>
      <c r="X7" s="32" t="s">
        <v>160</v>
      </c>
      <c r="Y7" s="32" t="s">
        <v>160</v>
      </c>
      <c r="Z7" s="35">
        <v>95.4</v>
      </c>
      <c r="AA7" s="32" t="s">
        <v>160</v>
      </c>
      <c r="AB7" s="35">
        <v>95.4</v>
      </c>
      <c r="AC7" s="32" t="s">
        <v>160</v>
      </c>
      <c r="AD7" s="35">
        <v>0</v>
      </c>
      <c r="AE7" s="35">
        <v>95.4</v>
      </c>
      <c r="AF7" s="35">
        <v>95.4</v>
      </c>
      <c r="AG7" s="32" t="s">
        <v>160</v>
      </c>
      <c r="AH7" s="35">
        <v>3180.14</v>
      </c>
      <c r="AI7" s="35">
        <v>95.4</v>
      </c>
      <c r="AJ7" s="32" t="s">
        <v>160</v>
      </c>
      <c r="AK7" s="32" t="s">
        <v>160</v>
      </c>
      <c r="AL7" s="35">
        <v>3084.74</v>
      </c>
    </row>
    <row r="8" spans="1:38" x14ac:dyDescent="0.3">
      <c r="A8" s="33">
        <v>46256</v>
      </c>
      <c r="B8" s="32" t="s">
        <v>186</v>
      </c>
      <c r="C8" s="34">
        <v>52182</v>
      </c>
      <c r="F8" s="34">
        <v>366</v>
      </c>
      <c r="G8" s="32" t="s">
        <v>160</v>
      </c>
      <c r="H8" s="32" t="s">
        <v>178</v>
      </c>
      <c r="I8" s="32" t="s">
        <v>162</v>
      </c>
      <c r="J8" s="32" t="s">
        <v>160</v>
      </c>
      <c r="K8" s="32" t="s">
        <v>160</v>
      </c>
      <c r="L8" s="32" t="s">
        <v>160</v>
      </c>
      <c r="M8" s="32" t="s">
        <v>160</v>
      </c>
      <c r="N8" s="32" t="s">
        <v>164</v>
      </c>
      <c r="O8" s="32" t="s">
        <v>160</v>
      </c>
      <c r="P8" s="32" t="s">
        <v>168</v>
      </c>
      <c r="Q8" s="35">
        <v>1379.08</v>
      </c>
      <c r="R8" s="32" t="s">
        <v>160</v>
      </c>
      <c r="S8" s="32" t="s">
        <v>160</v>
      </c>
      <c r="T8" s="32" t="s">
        <v>160</v>
      </c>
      <c r="U8" s="35">
        <v>0</v>
      </c>
      <c r="V8" s="35">
        <v>1379.08</v>
      </c>
      <c r="W8" s="35">
        <v>1379.08</v>
      </c>
      <c r="X8" s="32" t="s">
        <v>160</v>
      </c>
      <c r="Y8" s="32" t="s">
        <v>160</v>
      </c>
      <c r="Z8" s="35">
        <v>41.37</v>
      </c>
      <c r="AA8" s="32" t="s">
        <v>160</v>
      </c>
      <c r="AB8" s="35">
        <v>41.37</v>
      </c>
      <c r="AC8" s="32" t="s">
        <v>160</v>
      </c>
      <c r="AD8" s="35">
        <v>0</v>
      </c>
      <c r="AE8" s="35">
        <v>41.37</v>
      </c>
      <c r="AF8" s="35">
        <v>41.37</v>
      </c>
      <c r="AG8" s="32" t="s">
        <v>160</v>
      </c>
      <c r="AH8" s="35">
        <v>1379.08</v>
      </c>
      <c r="AI8" s="35">
        <v>41.37</v>
      </c>
      <c r="AJ8" s="32" t="s">
        <v>160</v>
      </c>
      <c r="AK8" s="32" t="s">
        <v>160</v>
      </c>
      <c r="AL8" s="35">
        <v>1337.71</v>
      </c>
    </row>
    <row r="9" spans="1:38" x14ac:dyDescent="0.3">
      <c r="A9" s="33">
        <v>46256</v>
      </c>
      <c r="B9" s="32" t="s">
        <v>186</v>
      </c>
      <c r="C9" s="34">
        <v>52182</v>
      </c>
      <c r="F9" s="34">
        <v>365</v>
      </c>
      <c r="G9" s="32" t="s">
        <v>160</v>
      </c>
      <c r="H9" s="32" t="s">
        <v>178</v>
      </c>
      <c r="I9" s="32" t="s">
        <v>162</v>
      </c>
      <c r="J9" s="32" t="s">
        <v>160</v>
      </c>
      <c r="K9" s="32" t="s">
        <v>160</v>
      </c>
      <c r="L9" s="32" t="s">
        <v>160</v>
      </c>
      <c r="M9" s="32" t="s">
        <v>160</v>
      </c>
      <c r="N9" s="32" t="s">
        <v>164</v>
      </c>
      <c r="O9" s="32" t="s">
        <v>160</v>
      </c>
      <c r="P9" s="32" t="s">
        <v>168</v>
      </c>
      <c r="Q9" s="35">
        <v>1379.08</v>
      </c>
      <c r="R9" s="32" t="s">
        <v>160</v>
      </c>
      <c r="S9" s="32" t="s">
        <v>160</v>
      </c>
      <c r="T9" s="32" t="s">
        <v>160</v>
      </c>
      <c r="U9" s="35">
        <v>0</v>
      </c>
      <c r="V9" s="35">
        <v>1379.08</v>
      </c>
      <c r="W9" s="35">
        <v>1379.08</v>
      </c>
      <c r="X9" s="32" t="s">
        <v>160</v>
      </c>
      <c r="Y9" s="32" t="s">
        <v>160</v>
      </c>
      <c r="Z9" s="35">
        <v>41.37</v>
      </c>
      <c r="AA9" s="32" t="s">
        <v>160</v>
      </c>
      <c r="AB9" s="35">
        <v>41.37</v>
      </c>
      <c r="AC9" s="32" t="s">
        <v>160</v>
      </c>
      <c r="AD9" s="35">
        <v>0</v>
      </c>
      <c r="AE9" s="35">
        <v>41.37</v>
      </c>
      <c r="AF9" s="35">
        <v>41.37</v>
      </c>
      <c r="AG9" s="32" t="s">
        <v>160</v>
      </c>
      <c r="AH9" s="35">
        <v>1379.08</v>
      </c>
      <c r="AI9" s="35">
        <v>41.37</v>
      </c>
      <c r="AJ9" s="32" t="s">
        <v>160</v>
      </c>
      <c r="AK9" s="32" t="s">
        <v>160</v>
      </c>
      <c r="AL9" s="35">
        <v>1337.71</v>
      </c>
    </row>
    <row r="10" spans="1:38" x14ac:dyDescent="0.3">
      <c r="A10" s="33">
        <v>46255</v>
      </c>
      <c r="B10" s="32" t="s">
        <v>187</v>
      </c>
      <c r="C10" s="34">
        <v>7435</v>
      </c>
      <c r="F10" s="34">
        <v>364</v>
      </c>
      <c r="G10" s="32" t="s">
        <v>188</v>
      </c>
      <c r="H10" s="32" t="s">
        <v>178</v>
      </c>
      <c r="I10" s="32" t="s">
        <v>162</v>
      </c>
      <c r="J10" s="32" t="s">
        <v>160</v>
      </c>
      <c r="K10" s="32" t="s">
        <v>160</v>
      </c>
      <c r="L10" s="32" t="s">
        <v>160</v>
      </c>
      <c r="M10" s="32" t="s">
        <v>189</v>
      </c>
      <c r="N10" s="32" t="s">
        <v>173</v>
      </c>
      <c r="O10" s="32" t="s">
        <v>190</v>
      </c>
      <c r="P10" s="32" t="s">
        <v>175</v>
      </c>
      <c r="Q10" s="35">
        <v>935.12</v>
      </c>
      <c r="R10" s="32" t="s">
        <v>160</v>
      </c>
      <c r="S10" s="32" t="s">
        <v>160</v>
      </c>
      <c r="T10" s="32" t="s">
        <v>160</v>
      </c>
      <c r="U10" s="35">
        <v>121.97</v>
      </c>
      <c r="V10" s="35">
        <v>935.12</v>
      </c>
      <c r="W10" s="35">
        <v>935.12</v>
      </c>
      <c r="X10" s="32" t="s">
        <v>160</v>
      </c>
      <c r="Y10" s="32" t="s">
        <v>160</v>
      </c>
      <c r="Z10" s="35">
        <v>28.05</v>
      </c>
      <c r="AA10" s="32" t="s">
        <v>160</v>
      </c>
      <c r="AB10" s="35">
        <v>28.05</v>
      </c>
      <c r="AC10" s="32" t="s">
        <v>160</v>
      </c>
      <c r="AD10" s="35">
        <v>0</v>
      </c>
      <c r="AE10" s="35">
        <v>28.05</v>
      </c>
      <c r="AF10" s="35">
        <v>28.05</v>
      </c>
      <c r="AG10" s="32" t="s">
        <v>160</v>
      </c>
      <c r="AH10" s="35">
        <v>935.12</v>
      </c>
      <c r="AI10" s="35">
        <v>28.05</v>
      </c>
      <c r="AJ10" s="32" t="s">
        <v>160</v>
      </c>
      <c r="AK10" s="32" t="s">
        <v>160</v>
      </c>
      <c r="AL10" s="35">
        <v>907.07</v>
      </c>
    </row>
    <row r="11" spans="1:38" x14ac:dyDescent="0.3">
      <c r="A11" s="33">
        <v>46255</v>
      </c>
      <c r="B11" s="32" t="s">
        <v>191</v>
      </c>
      <c r="C11" s="34">
        <v>45760</v>
      </c>
      <c r="F11" s="34">
        <v>363</v>
      </c>
      <c r="G11" s="32" t="s">
        <v>160</v>
      </c>
      <c r="H11" s="32" t="s">
        <v>178</v>
      </c>
      <c r="I11" s="32" t="s">
        <v>162</v>
      </c>
      <c r="J11" s="32" t="s">
        <v>160</v>
      </c>
      <c r="K11" s="32" t="s">
        <v>160</v>
      </c>
      <c r="L11" s="32" t="s">
        <v>160</v>
      </c>
      <c r="M11" s="32" t="s">
        <v>160</v>
      </c>
      <c r="N11" s="32" t="s">
        <v>167</v>
      </c>
      <c r="O11" s="32" t="s">
        <v>160</v>
      </c>
      <c r="P11" s="32" t="s">
        <v>168</v>
      </c>
      <c r="Q11" s="35">
        <v>297.51</v>
      </c>
      <c r="R11" s="32" t="s">
        <v>160</v>
      </c>
      <c r="S11" s="32" t="s">
        <v>160</v>
      </c>
      <c r="T11" s="32" t="s">
        <v>160</v>
      </c>
      <c r="U11" s="35">
        <v>0</v>
      </c>
      <c r="V11" s="35">
        <v>297.51</v>
      </c>
      <c r="W11" s="35">
        <v>297.51</v>
      </c>
      <c r="X11" s="32" t="s">
        <v>160</v>
      </c>
      <c r="Y11" s="32" t="s">
        <v>160</v>
      </c>
      <c r="Z11" s="35">
        <v>8.93</v>
      </c>
      <c r="AA11" s="32" t="s">
        <v>160</v>
      </c>
      <c r="AB11" s="35">
        <v>8.93</v>
      </c>
      <c r="AC11" s="32" t="s">
        <v>160</v>
      </c>
      <c r="AD11" s="35">
        <v>0</v>
      </c>
      <c r="AE11" s="35">
        <v>8.93</v>
      </c>
      <c r="AF11" s="35">
        <v>8.93</v>
      </c>
      <c r="AG11" s="32" t="s">
        <v>160</v>
      </c>
      <c r="AH11" s="35">
        <v>297.51</v>
      </c>
      <c r="AI11" s="35">
        <v>8.93</v>
      </c>
      <c r="AJ11" s="32" t="s">
        <v>160</v>
      </c>
      <c r="AK11" s="32" t="s">
        <v>160</v>
      </c>
      <c r="AL11" s="35">
        <v>288.58</v>
      </c>
    </row>
    <row r="12" spans="1:38" x14ac:dyDescent="0.3">
      <c r="A12" s="33">
        <v>46255</v>
      </c>
      <c r="B12" s="32" t="s">
        <v>192</v>
      </c>
      <c r="C12" s="34">
        <v>52652</v>
      </c>
      <c r="F12" s="34">
        <v>362</v>
      </c>
      <c r="G12" s="32" t="s">
        <v>193</v>
      </c>
      <c r="H12" s="32" t="s">
        <v>178</v>
      </c>
      <c r="I12" s="32" t="s">
        <v>162</v>
      </c>
      <c r="J12" s="32" t="s">
        <v>160</v>
      </c>
      <c r="K12" s="32" t="s">
        <v>160</v>
      </c>
      <c r="L12" s="32" t="s">
        <v>160</v>
      </c>
      <c r="M12" s="32" t="s">
        <v>194</v>
      </c>
      <c r="N12" s="32" t="s">
        <v>173</v>
      </c>
      <c r="O12" s="32" t="s">
        <v>190</v>
      </c>
      <c r="P12" s="32" t="s">
        <v>195</v>
      </c>
      <c r="Q12" s="35">
        <v>1408.1</v>
      </c>
      <c r="R12" s="32" t="s">
        <v>160</v>
      </c>
      <c r="S12" s="32" t="s">
        <v>160</v>
      </c>
      <c r="T12" s="32" t="s">
        <v>160</v>
      </c>
      <c r="U12" s="35">
        <v>183.67</v>
      </c>
      <c r="V12" s="35">
        <v>1408.1</v>
      </c>
      <c r="W12" s="35">
        <v>1408.1</v>
      </c>
      <c r="X12" s="32" t="s">
        <v>160</v>
      </c>
      <c r="Y12" s="32" t="s">
        <v>160</v>
      </c>
      <c r="Z12" s="35">
        <v>42.24</v>
      </c>
      <c r="AA12" s="32" t="s">
        <v>160</v>
      </c>
      <c r="AB12" s="35">
        <v>42.24</v>
      </c>
      <c r="AC12" s="32" t="s">
        <v>160</v>
      </c>
      <c r="AD12" s="35">
        <v>0</v>
      </c>
      <c r="AE12" s="35">
        <v>42.24</v>
      </c>
      <c r="AF12" s="35">
        <v>42.24</v>
      </c>
      <c r="AG12" s="34">
        <v>2</v>
      </c>
      <c r="AH12" s="32">
        <v>1406.1</v>
      </c>
      <c r="AI12" s="35">
        <v>42.24</v>
      </c>
      <c r="AJ12" s="32" t="s">
        <v>160</v>
      </c>
      <c r="AK12" s="32" t="s">
        <v>160</v>
      </c>
      <c r="AL12" s="35">
        <v>1365.86</v>
      </c>
    </row>
    <row r="13" spans="1:38" x14ac:dyDescent="0.3">
      <c r="A13" s="33">
        <v>46255</v>
      </c>
      <c r="B13" s="32" t="s">
        <v>192</v>
      </c>
      <c r="C13" s="34">
        <v>52652</v>
      </c>
      <c r="F13" s="34">
        <v>361</v>
      </c>
      <c r="G13" s="32" t="s">
        <v>193</v>
      </c>
      <c r="H13" s="32" t="s">
        <v>178</v>
      </c>
      <c r="I13" s="32" t="s">
        <v>162</v>
      </c>
      <c r="J13" s="32" t="s">
        <v>160</v>
      </c>
      <c r="K13" s="32" t="s">
        <v>160</v>
      </c>
      <c r="L13" s="32" t="s">
        <v>160</v>
      </c>
      <c r="M13" s="32" t="s">
        <v>194</v>
      </c>
      <c r="N13" s="32" t="s">
        <v>173</v>
      </c>
      <c r="O13" s="32" t="s">
        <v>190</v>
      </c>
      <c r="P13" s="32" t="s">
        <v>195</v>
      </c>
      <c r="Q13" s="35">
        <v>1408.1</v>
      </c>
      <c r="R13" s="32" t="s">
        <v>160</v>
      </c>
      <c r="S13" s="32" t="s">
        <v>160</v>
      </c>
      <c r="T13" s="32" t="s">
        <v>160</v>
      </c>
      <c r="U13" s="35">
        <v>183.67</v>
      </c>
      <c r="V13" s="35">
        <v>1408.1</v>
      </c>
      <c r="W13" s="35">
        <v>1408.1</v>
      </c>
      <c r="X13" s="32" t="s">
        <v>160</v>
      </c>
      <c r="Y13" s="32" t="s">
        <v>160</v>
      </c>
      <c r="Z13" s="35">
        <v>42.24</v>
      </c>
      <c r="AA13" s="32" t="s">
        <v>160</v>
      </c>
      <c r="AB13" s="35">
        <v>42.24</v>
      </c>
      <c r="AC13" s="32" t="s">
        <v>160</v>
      </c>
      <c r="AD13" s="35">
        <v>0</v>
      </c>
      <c r="AE13" s="35">
        <v>42.24</v>
      </c>
      <c r="AF13" s="35">
        <v>42.24</v>
      </c>
      <c r="AG13" s="34">
        <v>2</v>
      </c>
      <c r="AH13" s="32">
        <v>1406.1</v>
      </c>
      <c r="AI13" s="35">
        <v>42.24</v>
      </c>
      <c r="AJ13" s="32" t="s">
        <v>160</v>
      </c>
      <c r="AK13" s="32" t="s">
        <v>160</v>
      </c>
      <c r="AL13" s="35">
        <v>1365.86</v>
      </c>
    </row>
    <row r="14" spans="1:38" x14ac:dyDescent="0.3">
      <c r="A14" s="33">
        <v>46254</v>
      </c>
      <c r="B14" s="32" t="s">
        <v>196</v>
      </c>
      <c r="C14" s="34">
        <v>53917</v>
      </c>
      <c r="F14" s="34">
        <v>360</v>
      </c>
      <c r="G14" s="32" t="s">
        <v>197</v>
      </c>
      <c r="H14" s="32" t="s">
        <v>178</v>
      </c>
      <c r="I14" s="32" t="s">
        <v>162</v>
      </c>
      <c r="J14" s="32" t="s">
        <v>160</v>
      </c>
      <c r="K14" s="32" t="s">
        <v>160</v>
      </c>
      <c r="L14" s="32" t="s">
        <v>160</v>
      </c>
      <c r="M14" s="32" t="s">
        <v>160</v>
      </c>
      <c r="N14" s="32" t="s">
        <v>173</v>
      </c>
      <c r="O14" s="32" t="s">
        <v>190</v>
      </c>
      <c r="P14" s="32" t="s">
        <v>198</v>
      </c>
      <c r="Q14" s="35">
        <v>754.27</v>
      </c>
      <c r="R14" s="32" t="s">
        <v>160</v>
      </c>
      <c r="S14" s="32" t="s">
        <v>160</v>
      </c>
      <c r="T14" s="32" t="s">
        <v>160</v>
      </c>
      <c r="U14" s="35">
        <v>0</v>
      </c>
      <c r="V14" s="35">
        <v>754.27</v>
      </c>
      <c r="W14" s="35">
        <v>754.27</v>
      </c>
      <c r="X14" s="32" t="s">
        <v>160</v>
      </c>
      <c r="Y14" s="32" t="s">
        <v>160</v>
      </c>
      <c r="Z14" s="35">
        <v>22.63</v>
      </c>
      <c r="AA14" s="32" t="s">
        <v>160</v>
      </c>
      <c r="AB14" s="35">
        <v>22.63</v>
      </c>
      <c r="AC14" s="32" t="s">
        <v>160</v>
      </c>
      <c r="AD14" s="35">
        <v>0</v>
      </c>
      <c r="AE14" s="35">
        <v>22.63</v>
      </c>
      <c r="AF14" s="35">
        <v>22.63</v>
      </c>
      <c r="AG14" s="35">
        <v>754.27</v>
      </c>
      <c r="AH14" s="32" t="s">
        <v>160</v>
      </c>
      <c r="AI14" s="35">
        <v>22.63</v>
      </c>
      <c r="AJ14" s="32" t="s">
        <v>160</v>
      </c>
      <c r="AK14" s="32" t="s">
        <v>160</v>
      </c>
      <c r="AL14" s="35">
        <v>731.64</v>
      </c>
    </row>
    <row r="15" spans="1:38" x14ac:dyDescent="0.3">
      <c r="A15" s="33">
        <v>46254</v>
      </c>
      <c r="B15" s="32" t="s">
        <v>199</v>
      </c>
      <c r="C15" s="34">
        <v>51918</v>
      </c>
      <c r="F15" s="34">
        <v>359</v>
      </c>
      <c r="G15" s="32" t="s">
        <v>160</v>
      </c>
      <c r="H15" s="32" t="s">
        <v>178</v>
      </c>
      <c r="I15" s="32" t="s">
        <v>162</v>
      </c>
      <c r="J15" s="32" t="s">
        <v>160</v>
      </c>
      <c r="K15" s="32" t="s">
        <v>160</v>
      </c>
      <c r="L15" s="32" t="s">
        <v>160</v>
      </c>
      <c r="M15" s="32" t="s">
        <v>160</v>
      </c>
      <c r="N15" s="32" t="s">
        <v>167</v>
      </c>
      <c r="O15" s="32" t="s">
        <v>160</v>
      </c>
      <c r="P15" s="32" t="s">
        <v>168</v>
      </c>
      <c r="Q15" s="35">
        <v>420.95</v>
      </c>
      <c r="R15" s="32" t="s">
        <v>160</v>
      </c>
      <c r="S15" s="32" t="s">
        <v>160</v>
      </c>
      <c r="T15" s="32" t="s">
        <v>160</v>
      </c>
      <c r="U15" s="35">
        <v>54.91</v>
      </c>
      <c r="V15" s="35">
        <v>420.95</v>
      </c>
      <c r="W15" s="35">
        <v>420.95</v>
      </c>
      <c r="X15" s="32" t="s">
        <v>160</v>
      </c>
      <c r="Y15" s="32" t="s">
        <v>160</v>
      </c>
      <c r="Z15" s="35">
        <v>12.63</v>
      </c>
      <c r="AA15" s="32" t="s">
        <v>160</v>
      </c>
      <c r="AB15" s="35">
        <v>12.63</v>
      </c>
      <c r="AC15" s="32" t="s">
        <v>160</v>
      </c>
      <c r="AD15" s="35">
        <v>0</v>
      </c>
      <c r="AE15" s="35">
        <v>12.63</v>
      </c>
      <c r="AF15" s="35">
        <v>12.63</v>
      </c>
      <c r="AG15" s="32" t="s">
        <v>160</v>
      </c>
      <c r="AH15" s="35">
        <v>420.95</v>
      </c>
      <c r="AI15" s="35">
        <v>12.63</v>
      </c>
      <c r="AJ15" s="32" t="s">
        <v>160</v>
      </c>
      <c r="AK15" s="32" t="s">
        <v>160</v>
      </c>
      <c r="AL15" s="35">
        <v>408.32</v>
      </c>
    </row>
    <row r="16" spans="1:38" x14ac:dyDescent="0.3">
      <c r="A16" s="33">
        <v>46254</v>
      </c>
      <c r="B16" s="32" t="s">
        <v>200</v>
      </c>
      <c r="C16" s="34">
        <v>8003</v>
      </c>
      <c r="D16" s="32" t="s">
        <v>201</v>
      </c>
      <c r="F16" s="34">
        <v>357</v>
      </c>
      <c r="G16" s="32" t="s">
        <v>160</v>
      </c>
      <c r="H16" s="32" t="s">
        <v>178</v>
      </c>
      <c r="I16" s="32" t="s">
        <v>162</v>
      </c>
      <c r="J16" s="32" t="s">
        <v>160</v>
      </c>
      <c r="K16" s="32" t="s">
        <v>160</v>
      </c>
      <c r="L16" s="32" t="s">
        <v>160</v>
      </c>
      <c r="M16" s="32" t="s">
        <v>160</v>
      </c>
      <c r="N16" s="32" t="s">
        <v>167</v>
      </c>
      <c r="O16" s="32" t="s">
        <v>160</v>
      </c>
      <c r="P16" s="32" t="s">
        <v>168</v>
      </c>
      <c r="Q16" s="35">
        <v>958.32</v>
      </c>
      <c r="R16" s="32" t="s">
        <v>160</v>
      </c>
      <c r="S16" s="32" t="s">
        <v>160</v>
      </c>
      <c r="T16" s="32" t="s">
        <v>160</v>
      </c>
      <c r="U16" s="35">
        <v>0</v>
      </c>
      <c r="V16" s="35">
        <v>958.32</v>
      </c>
      <c r="W16" s="35">
        <v>958.32</v>
      </c>
      <c r="X16" s="32" t="s">
        <v>160</v>
      </c>
      <c r="Y16" s="32" t="s">
        <v>160</v>
      </c>
      <c r="Z16" s="35">
        <v>28.75</v>
      </c>
      <c r="AA16" s="32" t="s">
        <v>160</v>
      </c>
      <c r="AB16" s="35">
        <v>28.75</v>
      </c>
      <c r="AC16" s="32" t="s">
        <v>160</v>
      </c>
      <c r="AD16" s="35">
        <v>0</v>
      </c>
      <c r="AE16" s="35">
        <v>28.75</v>
      </c>
      <c r="AF16" s="35">
        <v>28.75</v>
      </c>
      <c r="AG16" s="32" t="s">
        <v>160</v>
      </c>
      <c r="AH16" s="35">
        <v>958.32</v>
      </c>
      <c r="AI16" s="35">
        <v>28.75</v>
      </c>
      <c r="AJ16" s="32" t="s">
        <v>160</v>
      </c>
      <c r="AK16" s="32" t="s">
        <v>160</v>
      </c>
      <c r="AL16" s="35">
        <v>929.57</v>
      </c>
    </row>
    <row r="17" spans="1:38" x14ac:dyDescent="0.3">
      <c r="A17" s="33">
        <v>46254</v>
      </c>
      <c r="B17" s="32" t="s">
        <v>200</v>
      </c>
      <c r="C17" s="34">
        <v>8003</v>
      </c>
      <c r="D17" s="32" t="s">
        <v>201</v>
      </c>
      <c r="F17" s="34">
        <v>358</v>
      </c>
      <c r="G17" s="32" t="s">
        <v>160</v>
      </c>
      <c r="H17" s="32" t="s">
        <v>178</v>
      </c>
      <c r="I17" s="32" t="s">
        <v>162</v>
      </c>
      <c r="J17" s="32" t="s">
        <v>160</v>
      </c>
      <c r="K17" s="32" t="s">
        <v>160</v>
      </c>
      <c r="L17" s="32" t="s">
        <v>160</v>
      </c>
      <c r="M17" s="32" t="s">
        <v>160</v>
      </c>
      <c r="N17" s="32" t="s">
        <v>167</v>
      </c>
      <c r="O17" s="32" t="s">
        <v>160</v>
      </c>
      <c r="P17" s="32" t="s">
        <v>168</v>
      </c>
      <c r="Q17" s="35">
        <v>958.32</v>
      </c>
      <c r="R17" s="32" t="s">
        <v>160</v>
      </c>
      <c r="S17" s="32" t="s">
        <v>160</v>
      </c>
      <c r="T17" s="32" t="s">
        <v>160</v>
      </c>
      <c r="U17" s="35">
        <v>0</v>
      </c>
      <c r="V17" s="35">
        <v>958.32</v>
      </c>
      <c r="W17" s="35">
        <v>958.32</v>
      </c>
      <c r="X17" s="32" t="s">
        <v>160</v>
      </c>
      <c r="Y17" s="32" t="s">
        <v>160</v>
      </c>
      <c r="Z17" s="35">
        <v>28.75</v>
      </c>
      <c r="AA17" s="32" t="s">
        <v>160</v>
      </c>
      <c r="AB17" s="35">
        <v>28.75</v>
      </c>
      <c r="AC17" s="32" t="s">
        <v>160</v>
      </c>
      <c r="AD17" s="35">
        <v>0</v>
      </c>
      <c r="AE17" s="35">
        <v>28.75</v>
      </c>
      <c r="AF17" s="35">
        <v>28.75</v>
      </c>
      <c r="AG17" s="32" t="s">
        <v>160</v>
      </c>
      <c r="AH17" s="35">
        <v>958.32</v>
      </c>
      <c r="AI17" s="35">
        <v>28.75</v>
      </c>
      <c r="AJ17" s="32" t="s">
        <v>160</v>
      </c>
      <c r="AK17" s="32" t="s">
        <v>160</v>
      </c>
      <c r="AL17" s="35">
        <v>929.57</v>
      </c>
    </row>
    <row r="18" spans="1:38" x14ac:dyDescent="0.3">
      <c r="A18" s="33">
        <v>46254</v>
      </c>
      <c r="B18" s="32" t="s">
        <v>202</v>
      </c>
      <c r="C18" s="34">
        <v>51918</v>
      </c>
      <c r="F18" s="34">
        <v>356</v>
      </c>
      <c r="G18" s="32" t="s">
        <v>160</v>
      </c>
      <c r="H18" s="32" t="s">
        <v>178</v>
      </c>
      <c r="I18" s="32" t="s">
        <v>162</v>
      </c>
      <c r="J18" s="32" t="s">
        <v>160</v>
      </c>
      <c r="K18" s="32" t="s">
        <v>160</v>
      </c>
      <c r="L18" s="32" t="s">
        <v>160</v>
      </c>
      <c r="M18" s="32" t="s">
        <v>160</v>
      </c>
      <c r="N18" s="32" t="s">
        <v>167</v>
      </c>
      <c r="O18" s="32" t="s">
        <v>160</v>
      </c>
      <c r="P18" s="32" t="s">
        <v>168</v>
      </c>
      <c r="Q18" s="35">
        <v>336.55</v>
      </c>
      <c r="R18" s="32" t="s">
        <v>160</v>
      </c>
      <c r="S18" s="32" t="s">
        <v>160</v>
      </c>
      <c r="T18" s="32" t="s">
        <v>160</v>
      </c>
      <c r="U18" s="35">
        <v>43.9</v>
      </c>
      <c r="V18" s="35">
        <v>336.55</v>
      </c>
      <c r="W18" s="35">
        <v>336.55</v>
      </c>
      <c r="X18" s="32" t="s">
        <v>160</v>
      </c>
      <c r="Y18" s="32" t="s">
        <v>160</v>
      </c>
      <c r="Z18" s="35">
        <v>10.1</v>
      </c>
      <c r="AA18" s="32" t="s">
        <v>160</v>
      </c>
      <c r="AB18" s="35">
        <v>10.1</v>
      </c>
      <c r="AC18" s="32" t="s">
        <v>160</v>
      </c>
      <c r="AD18" s="35">
        <v>0</v>
      </c>
      <c r="AE18" s="35">
        <v>10.1</v>
      </c>
      <c r="AF18" s="35">
        <v>10.1</v>
      </c>
      <c r="AG18" s="32" t="s">
        <v>160</v>
      </c>
      <c r="AH18" s="35">
        <v>336.55</v>
      </c>
      <c r="AI18" s="35">
        <v>10.1</v>
      </c>
      <c r="AJ18" s="32" t="s">
        <v>160</v>
      </c>
      <c r="AK18" s="32" t="s">
        <v>160</v>
      </c>
      <c r="AL18" s="35">
        <v>326.45</v>
      </c>
    </row>
    <row r="19" spans="1:38" x14ac:dyDescent="0.3">
      <c r="A19" s="33">
        <v>46254</v>
      </c>
      <c r="B19" s="32" t="s">
        <v>203</v>
      </c>
      <c r="C19" s="34">
        <v>22768</v>
      </c>
      <c r="D19" s="32" t="s">
        <v>204</v>
      </c>
      <c r="F19" s="34">
        <v>355</v>
      </c>
      <c r="G19" s="32" t="s">
        <v>160</v>
      </c>
      <c r="H19" s="32" t="s">
        <v>178</v>
      </c>
      <c r="I19" s="32" t="s">
        <v>162</v>
      </c>
      <c r="J19" s="32" t="s">
        <v>160</v>
      </c>
      <c r="K19" s="32" t="s">
        <v>160</v>
      </c>
      <c r="L19" s="32" t="s">
        <v>160</v>
      </c>
      <c r="M19" s="32" t="s">
        <v>205</v>
      </c>
      <c r="N19" s="32" t="s">
        <v>164</v>
      </c>
      <c r="O19" s="32" t="s">
        <v>164</v>
      </c>
      <c r="P19" s="32" t="s">
        <v>165</v>
      </c>
      <c r="Q19" s="35">
        <v>4949.79</v>
      </c>
      <c r="R19" s="32" t="s">
        <v>160</v>
      </c>
      <c r="S19" s="32" t="s">
        <v>160</v>
      </c>
      <c r="T19" s="32" t="s">
        <v>160</v>
      </c>
      <c r="U19" s="35">
        <v>0</v>
      </c>
      <c r="V19" s="35">
        <v>4949.79</v>
      </c>
      <c r="W19" s="35">
        <v>4949.79</v>
      </c>
      <c r="X19" s="32" t="s">
        <v>160</v>
      </c>
      <c r="Y19" s="32" t="s">
        <v>160</v>
      </c>
      <c r="Z19" s="35">
        <v>148.49</v>
      </c>
      <c r="AA19" s="32" t="s">
        <v>160</v>
      </c>
      <c r="AB19" s="35">
        <v>148.49</v>
      </c>
      <c r="AC19" s="32" t="s">
        <v>160</v>
      </c>
      <c r="AD19" s="35">
        <v>0</v>
      </c>
      <c r="AE19" s="35">
        <v>148.49</v>
      </c>
      <c r="AF19" s="35">
        <v>148.49</v>
      </c>
      <c r="AG19" s="32" t="s">
        <v>160</v>
      </c>
      <c r="AH19" s="35">
        <v>4949.79</v>
      </c>
      <c r="AI19" s="35">
        <v>148.49</v>
      </c>
      <c r="AJ19" s="32" t="s">
        <v>160</v>
      </c>
      <c r="AK19" s="32" t="s">
        <v>160</v>
      </c>
      <c r="AL19" s="35">
        <v>4801.3</v>
      </c>
    </row>
    <row r="20" spans="1:38" x14ac:dyDescent="0.3">
      <c r="A20" s="33">
        <v>46254</v>
      </c>
      <c r="B20" s="32" t="s">
        <v>203</v>
      </c>
      <c r="C20" s="34">
        <v>22768</v>
      </c>
      <c r="D20" s="32" t="s">
        <v>204</v>
      </c>
      <c r="F20" s="34">
        <v>354</v>
      </c>
      <c r="G20" s="32" t="s">
        <v>160</v>
      </c>
      <c r="H20" s="32" t="s">
        <v>178</v>
      </c>
      <c r="I20" s="32" t="s">
        <v>162</v>
      </c>
      <c r="J20" s="32" t="s">
        <v>160</v>
      </c>
      <c r="K20" s="32" t="s">
        <v>160</v>
      </c>
      <c r="L20" s="32" t="s">
        <v>160</v>
      </c>
      <c r="M20" s="32" t="s">
        <v>205</v>
      </c>
      <c r="N20" s="32" t="s">
        <v>164</v>
      </c>
      <c r="O20" s="32" t="s">
        <v>164</v>
      </c>
      <c r="P20" s="32" t="s">
        <v>165</v>
      </c>
      <c r="Q20" s="35">
        <v>4949.79</v>
      </c>
      <c r="R20" s="32" t="s">
        <v>160</v>
      </c>
      <c r="S20" s="32" t="s">
        <v>160</v>
      </c>
      <c r="T20" s="32" t="s">
        <v>160</v>
      </c>
      <c r="U20" s="35">
        <v>0</v>
      </c>
      <c r="V20" s="35">
        <v>4949.79</v>
      </c>
      <c r="W20" s="35">
        <v>4949.79</v>
      </c>
      <c r="X20" s="32" t="s">
        <v>160</v>
      </c>
      <c r="Y20" s="32" t="s">
        <v>160</v>
      </c>
      <c r="Z20" s="35">
        <v>148.49</v>
      </c>
      <c r="AA20" s="32" t="s">
        <v>160</v>
      </c>
      <c r="AB20" s="35">
        <v>148.49</v>
      </c>
      <c r="AC20" s="32" t="s">
        <v>160</v>
      </c>
      <c r="AD20" s="35">
        <v>0</v>
      </c>
      <c r="AE20" s="35">
        <v>148.49</v>
      </c>
      <c r="AF20" s="35">
        <v>148.49</v>
      </c>
      <c r="AG20" s="32" t="s">
        <v>160</v>
      </c>
      <c r="AH20" s="35">
        <v>4949.79</v>
      </c>
      <c r="AI20" s="35">
        <v>148.49</v>
      </c>
      <c r="AJ20" s="32" t="s">
        <v>160</v>
      </c>
      <c r="AK20" s="32" t="s">
        <v>160</v>
      </c>
      <c r="AL20" s="35">
        <v>4801.3</v>
      </c>
    </row>
    <row r="21" spans="1:38" x14ac:dyDescent="0.3">
      <c r="A21" s="33">
        <v>46254</v>
      </c>
      <c r="B21" s="32" t="s">
        <v>206</v>
      </c>
      <c r="C21" s="34">
        <v>53601</v>
      </c>
      <c r="F21" s="34">
        <v>353</v>
      </c>
      <c r="G21" s="32" t="s">
        <v>160</v>
      </c>
      <c r="H21" s="32" t="s">
        <v>178</v>
      </c>
      <c r="I21" s="32" t="s">
        <v>162</v>
      </c>
      <c r="J21" s="32" t="s">
        <v>160</v>
      </c>
      <c r="K21" s="32" t="s">
        <v>160</v>
      </c>
      <c r="L21" s="32" t="s">
        <v>160</v>
      </c>
      <c r="M21" s="32" t="s">
        <v>160</v>
      </c>
      <c r="N21" s="32" t="s">
        <v>167</v>
      </c>
      <c r="O21" s="32" t="s">
        <v>207</v>
      </c>
      <c r="P21" s="32" t="s">
        <v>168</v>
      </c>
      <c r="Q21" s="35">
        <v>2579.4299999999998</v>
      </c>
      <c r="R21" s="32" t="s">
        <v>160</v>
      </c>
      <c r="S21" s="32" t="s">
        <v>160</v>
      </c>
      <c r="T21" s="32" t="s">
        <v>160</v>
      </c>
      <c r="U21" s="35">
        <v>0</v>
      </c>
      <c r="V21" s="35">
        <v>2579.4299999999998</v>
      </c>
      <c r="W21" s="35">
        <v>2579.4299999999998</v>
      </c>
      <c r="X21" s="32" t="s">
        <v>160</v>
      </c>
      <c r="Y21" s="32" t="s">
        <v>160</v>
      </c>
      <c r="Z21" s="35">
        <v>77.38</v>
      </c>
      <c r="AA21" s="32" t="s">
        <v>160</v>
      </c>
      <c r="AB21" s="35">
        <v>77.38</v>
      </c>
      <c r="AC21" s="32" t="s">
        <v>160</v>
      </c>
      <c r="AD21" s="35">
        <v>0</v>
      </c>
      <c r="AE21" s="35">
        <v>77.38</v>
      </c>
      <c r="AF21" s="35">
        <v>77.38</v>
      </c>
      <c r="AG21" s="32" t="s">
        <v>160</v>
      </c>
      <c r="AH21" s="35">
        <v>2579.4299999999998</v>
      </c>
      <c r="AI21" s="35">
        <v>77.38</v>
      </c>
      <c r="AJ21" s="32" t="s">
        <v>160</v>
      </c>
      <c r="AK21" s="32" t="s">
        <v>160</v>
      </c>
      <c r="AL21" s="35">
        <v>2502.0500000000002</v>
      </c>
    </row>
    <row r="22" spans="1:38" x14ac:dyDescent="0.3">
      <c r="A22" s="33">
        <v>46254</v>
      </c>
      <c r="B22" s="32" t="s">
        <v>208</v>
      </c>
      <c r="C22" s="34">
        <v>53601</v>
      </c>
      <c r="F22" s="34">
        <v>352</v>
      </c>
      <c r="G22" s="32" t="s">
        <v>160</v>
      </c>
      <c r="H22" s="32" t="s">
        <v>178</v>
      </c>
      <c r="I22" s="32" t="s">
        <v>162</v>
      </c>
      <c r="J22" s="32" t="s">
        <v>160</v>
      </c>
      <c r="K22" s="32" t="s">
        <v>160</v>
      </c>
      <c r="L22" s="32" t="s">
        <v>160</v>
      </c>
      <c r="M22" s="32" t="s">
        <v>160</v>
      </c>
      <c r="N22" s="32" t="s">
        <v>167</v>
      </c>
      <c r="O22" s="32" t="s">
        <v>160</v>
      </c>
      <c r="P22" s="32" t="s">
        <v>168</v>
      </c>
      <c r="Q22" s="35">
        <v>2579.4299999999998</v>
      </c>
      <c r="R22" s="32" t="s">
        <v>160</v>
      </c>
      <c r="S22" s="32" t="s">
        <v>160</v>
      </c>
      <c r="T22" s="32" t="s">
        <v>160</v>
      </c>
      <c r="U22" s="35">
        <v>0</v>
      </c>
      <c r="V22" s="35">
        <v>2579.4299999999998</v>
      </c>
      <c r="W22" s="35">
        <v>2579.4299999999998</v>
      </c>
      <c r="X22" s="32" t="s">
        <v>160</v>
      </c>
      <c r="Y22" s="32" t="s">
        <v>160</v>
      </c>
      <c r="Z22" s="35">
        <v>77.38</v>
      </c>
      <c r="AA22" s="32" t="s">
        <v>160</v>
      </c>
      <c r="AB22" s="35">
        <v>77.38</v>
      </c>
      <c r="AC22" s="32" t="s">
        <v>160</v>
      </c>
      <c r="AD22" s="35">
        <v>0</v>
      </c>
      <c r="AE22" s="35">
        <v>77.38</v>
      </c>
      <c r="AF22" s="35">
        <v>77.38</v>
      </c>
      <c r="AG22" s="32" t="s">
        <v>160</v>
      </c>
      <c r="AH22" s="35">
        <v>2579.4299999999998</v>
      </c>
      <c r="AI22" s="35">
        <v>77.38</v>
      </c>
      <c r="AJ22" s="32" t="s">
        <v>160</v>
      </c>
      <c r="AK22" s="32" t="s">
        <v>160</v>
      </c>
      <c r="AL22" s="35">
        <v>2502.0500000000002</v>
      </c>
    </row>
    <row r="23" spans="1:38" x14ac:dyDescent="0.3">
      <c r="A23" s="33">
        <v>46254</v>
      </c>
      <c r="B23" s="32" t="s">
        <v>209</v>
      </c>
      <c r="C23" s="34">
        <v>53601</v>
      </c>
      <c r="F23" s="34">
        <v>351</v>
      </c>
      <c r="G23" s="32" t="s">
        <v>160</v>
      </c>
      <c r="H23" s="32" t="s">
        <v>178</v>
      </c>
      <c r="I23" s="32" t="s">
        <v>162</v>
      </c>
      <c r="J23" s="32" t="s">
        <v>160</v>
      </c>
      <c r="K23" s="32" t="s">
        <v>160</v>
      </c>
      <c r="L23" s="32" t="s">
        <v>160</v>
      </c>
      <c r="M23" s="32" t="s">
        <v>160</v>
      </c>
      <c r="N23" s="32" t="s">
        <v>167</v>
      </c>
      <c r="O23" s="32" t="s">
        <v>160</v>
      </c>
      <c r="P23" s="32" t="s">
        <v>168</v>
      </c>
      <c r="Q23" s="35">
        <v>2962.83</v>
      </c>
      <c r="R23" s="32" t="s">
        <v>160</v>
      </c>
      <c r="S23" s="32" t="s">
        <v>160</v>
      </c>
      <c r="T23" s="32" t="s">
        <v>160</v>
      </c>
      <c r="U23" s="35">
        <v>0</v>
      </c>
      <c r="V23" s="35">
        <v>2962.83</v>
      </c>
      <c r="W23" s="35">
        <v>2962.83</v>
      </c>
      <c r="X23" s="32" t="s">
        <v>160</v>
      </c>
      <c r="Y23" s="32" t="s">
        <v>160</v>
      </c>
      <c r="Z23" s="35">
        <v>88.88</v>
      </c>
      <c r="AA23" s="32" t="s">
        <v>160</v>
      </c>
      <c r="AB23" s="35">
        <v>88.88</v>
      </c>
      <c r="AC23" s="32" t="s">
        <v>160</v>
      </c>
      <c r="AD23" s="35">
        <v>0</v>
      </c>
      <c r="AE23" s="35">
        <v>88.88</v>
      </c>
      <c r="AF23" s="35">
        <v>88.88</v>
      </c>
      <c r="AG23" s="32" t="s">
        <v>160</v>
      </c>
      <c r="AH23" s="35">
        <v>2962.83</v>
      </c>
      <c r="AI23" s="35">
        <v>88.88</v>
      </c>
      <c r="AJ23" s="32" t="s">
        <v>160</v>
      </c>
      <c r="AK23" s="32" t="s">
        <v>160</v>
      </c>
      <c r="AL23" s="35">
        <v>2873.95</v>
      </c>
    </row>
    <row r="24" spans="1:38" x14ac:dyDescent="0.3">
      <c r="A24" s="33">
        <v>46253</v>
      </c>
      <c r="B24" s="32" t="s">
        <v>210</v>
      </c>
      <c r="C24" s="34">
        <v>53917</v>
      </c>
      <c r="F24" s="34">
        <v>350</v>
      </c>
      <c r="G24" s="32" t="s">
        <v>160</v>
      </c>
      <c r="H24" s="32" t="s">
        <v>178</v>
      </c>
      <c r="I24" s="32" t="s">
        <v>162</v>
      </c>
      <c r="J24" s="32" t="s">
        <v>160</v>
      </c>
      <c r="K24" s="32" t="s">
        <v>160</v>
      </c>
      <c r="L24" s="32" t="s">
        <v>160</v>
      </c>
      <c r="M24" s="32" t="s">
        <v>211</v>
      </c>
      <c r="N24" s="32" t="s">
        <v>167</v>
      </c>
      <c r="O24" s="32" t="s">
        <v>212</v>
      </c>
      <c r="P24" s="32" t="s">
        <v>195</v>
      </c>
      <c r="Q24" s="35">
        <v>754.27</v>
      </c>
      <c r="R24" s="32" t="s">
        <v>160</v>
      </c>
      <c r="S24" s="32" t="s">
        <v>160</v>
      </c>
      <c r="T24" s="32" t="s">
        <v>160</v>
      </c>
      <c r="U24" s="35">
        <v>0</v>
      </c>
      <c r="V24" s="35">
        <v>754.27</v>
      </c>
      <c r="W24" s="35">
        <v>754.27</v>
      </c>
      <c r="X24" s="32" t="s">
        <v>160</v>
      </c>
      <c r="Y24" s="32" t="s">
        <v>160</v>
      </c>
      <c r="Z24" s="35">
        <v>22.63</v>
      </c>
      <c r="AA24" s="32" t="s">
        <v>160</v>
      </c>
      <c r="AB24" s="35">
        <v>22.63</v>
      </c>
      <c r="AC24" s="32" t="s">
        <v>160</v>
      </c>
      <c r="AD24" s="35">
        <v>0</v>
      </c>
      <c r="AE24" s="35">
        <v>22.63</v>
      </c>
      <c r="AF24" s="35">
        <v>22.63</v>
      </c>
      <c r="AG24" s="34">
        <v>5</v>
      </c>
      <c r="AH24" s="35">
        <v>749.27</v>
      </c>
      <c r="AI24" s="35">
        <v>22.63</v>
      </c>
      <c r="AJ24" s="32" t="s">
        <v>160</v>
      </c>
      <c r="AK24" s="32" t="s">
        <v>160</v>
      </c>
      <c r="AL24" s="35">
        <v>731.64</v>
      </c>
    </row>
    <row r="25" spans="1:38" x14ac:dyDescent="0.3">
      <c r="A25" s="33">
        <v>46252</v>
      </c>
      <c r="B25" s="32" t="s">
        <v>213</v>
      </c>
      <c r="C25" s="34">
        <v>52320</v>
      </c>
      <c r="F25" s="34">
        <v>349</v>
      </c>
      <c r="G25" s="32" t="s">
        <v>160</v>
      </c>
      <c r="H25" s="32" t="s">
        <v>178</v>
      </c>
      <c r="I25" s="32" t="s">
        <v>162</v>
      </c>
      <c r="J25" s="32" t="s">
        <v>160</v>
      </c>
      <c r="K25" s="32" t="s">
        <v>160</v>
      </c>
      <c r="L25" s="32" t="s">
        <v>160</v>
      </c>
      <c r="M25" s="32" t="s">
        <v>160</v>
      </c>
      <c r="N25" s="32" t="s">
        <v>164</v>
      </c>
      <c r="O25" s="32" t="s">
        <v>160</v>
      </c>
      <c r="P25" s="32" t="s">
        <v>168</v>
      </c>
      <c r="Q25" s="35">
        <v>849.97</v>
      </c>
      <c r="R25" s="32" t="s">
        <v>160</v>
      </c>
      <c r="S25" s="32" t="s">
        <v>160</v>
      </c>
      <c r="T25" s="32" t="s">
        <v>160</v>
      </c>
      <c r="U25" s="35">
        <v>0</v>
      </c>
      <c r="V25" s="35">
        <v>849.97</v>
      </c>
      <c r="W25" s="35">
        <v>849.97</v>
      </c>
      <c r="X25" s="32" t="s">
        <v>160</v>
      </c>
      <c r="Y25" s="32" t="s">
        <v>160</v>
      </c>
      <c r="Z25" s="35">
        <v>25.5</v>
      </c>
      <c r="AA25" s="32" t="s">
        <v>160</v>
      </c>
      <c r="AB25" s="35">
        <v>25.5</v>
      </c>
      <c r="AC25" s="32" t="s">
        <v>160</v>
      </c>
      <c r="AD25" s="35">
        <v>0</v>
      </c>
      <c r="AE25" s="35">
        <v>25.5</v>
      </c>
      <c r="AF25" s="35">
        <v>25.5</v>
      </c>
      <c r="AG25" s="32" t="s">
        <v>160</v>
      </c>
      <c r="AH25" s="35">
        <v>849.97</v>
      </c>
      <c r="AI25" s="35">
        <v>25.5</v>
      </c>
      <c r="AJ25" s="32" t="s">
        <v>160</v>
      </c>
      <c r="AK25" s="32" t="s">
        <v>160</v>
      </c>
      <c r="AL25" s="35">
        <v>824.47</v>
      </c>
    </row>
    <row r="26" spans="1:38" x14ac:dyDescent="0.3">
      <c r="A26" s="33">
        <v>46252</v>
      </c>
      <c r="B26" s="32" t="s">
        <v>213</v>
      </c>
      <c r="C26" s="34">
        <v>52320</v>
      </c>
      <c r="F26" s="34">
        <v>348</v>
      </c>
      <c r="G26" s="32" t="s">
        <v>160</v>
      </c>
      <c r="H26" s="32" t="s">
        <v>178</v>
      </c>
      <c r="I26" s="32" t="s">
        <v>162</v>
      </c>
      <c r="J26" s="32" t="s">
        <v>160</v>
      </c>
      <c r="K26" s="32" t="s">
        <v>160</v>
      </c>
      <c r="L26" s="32" t="s">
        <v>160</v>
      </c>
      <c r="M26" s="32" t="s">
        <v>160</v>
      </c>
      <c r="N26" s="32" t="s">
        <v>164</v>
      </c>
      <c r="O26" s="32" t="s">
        <v>160</v>
      </c>
      <c r="P26" s="32" t="s">
        <v>168</v>
      </c>
      <c r="Q26" s="35">
        <v>849.97</v>
      </c>
      <c r="R26" s="32" t="s">
        <v>160</v>
      </c>
      <c r="S26" s="32" t="s">
        <v>160</v>
      </c>
      <c r="T26" s="32" t="s">
        <v>160</v>
      </c>
      <c r="U26" s="35">
        <v>0</v>
      </c>
      <c r="V26" s="35">
        <v>849.97</v>
      </c>
      <c r="W26" s="35">
        <v>849.97</v>
      </c>
      <c r="X26" s="32" t="s">
        <v>160</v>
      </c>
      <c r="Y26" s="32" t="s">
        <v>160</v>
      </c>
      <c r="Z26" s="35">
        <v>25.5</v>
      </c>
      <c r="AA26" s="32" t="s">
        <v>160</v>
      </c>
      <c r="AB26" s="35">
        <v>25.5</v>
      </c>
      <c r="AC26" s="32" t="s">
        <v>160</v>
      </c>
      <c r="AD26" s="35">
        <v>0</v>
      </c>
      <c r="AE26" s="35">
        <v>25.5</v>
      </c>
      <c r="AF26" s="35">
        <v>25.5</v>
      </c>
      <c r="AG26" s="32" t="s">
        <v>160</v>
      </c>
      <c r="AH26" s="35">
        <v>849.97</v>
      </c>
      <c r="AI26" s="35">
        <v>25.5</v>
      </c>
      <c r="AJ26" s="32" t="s">
        <v>160</v>
      </c>
      <c r="AK26" s="32" t="s">
        <v>160</v>
      </c>
      <c r="AL26" s="35">
        <v>824.47</v>
      </c>
    </row>
    <row r="27" spans="1:38" x14ac:dyDescent="0.3">
      <c r="A27" s="33">
        <v>46252</v>
      </c>
      <c r="B27" s="32" t="s">
        <v>214</v>
      </c>
      <c r="C27" s="34">
        <v>54133</v>
      </c>
      <c r="F27" s="34">
        <v>347</v>
      </c>
      <c r="G27" s="32" t="s">
        <v>160</v>
      </c>
      <c r="H27" s="32" t="s">
        <v>178</v>
      </c>
      <c r="I27" s="32" t="s">
        <v>162</v>
      </c>
      <c r="J27" s="32" t="s">
        <v>160</v>
      </c>
      <c r="K27" s="32" t="s">
        <v>160</v>
      </c>
      <c r="L27" s="32" t="s">
        <v>160</v>
      </c>
      <c r="M27" s="32" t="s">
        <v>160</v>
      </c>
      <c r="N27" s="32" t="s">
        <v>167</v>
      </c>
      <c r="O27" s="32" t="s">
        <v>160</v>
      </c>
      <c r="P27" s="32" t="s">
        <v>168</v>
      </c>
      <c r="Q27" s="35">
        <v>345.32</v>
      </c>
      <c r="R27" s="32" t="s">
        <v>160</v>
      </c>
      <c r="S27" s="32" t="s">
        <v>160</v>
      </c>
      <c r="T27" s="32" t="s">
        <v>160</v>
      </c>
      <c r="U27" s="35">
        <v>45.04</v>
      </c>
      <c r="V27" s="35">
        <v>345.32</v>
      </c>
      <c r="W27" s="35">
        <v>345.32</v>
      </c>
      <c r="X27" s="32" t="s">
        <v>160</v>
      </c>
      <c r="Y27" s="32" t="s">
        <v>160</v>
      </c>
      <c r="Z27" s="35">
        <v>10.36</v>
      </c>
      <c r="AA27" s="32" t="s">
        <v>160</v>
      </c>
      <c r="AB27" s="35">
        <v>10.36</v>
      </c>
      <c r="AC27" s="32" t="s">
        <v>160</v>
      </c>
      <c r="AD27" s="35">
        <v>0</v>
      </c>
      <c r="AE27" s="35">
        <v>10.36</v>
      </c>
      <c r="AF27" s="35">
        <v>10.36</v>
      </c>
      <c r="AG27" s="32" t="s">
        <v>160</v>
      </c>
      <c r="AH27" s="35">
        <v>345.32</v>
      </c>
      <c r="AI27" s="35">
        <v>10.36</v>
      </c>
      <c r="AJ27" s="32" t="s">
        <v>160</v>
      </c>
      <c r="AK27" s="32" t="s">
        <v>160</v>
      </c>
      <c r="AL27" s="35">
        <v>334.96</v>
      </c>
    </row>
    <row r="28" spans="1:38" x14ac:dyDescent="0.3">
      <c r="A28" s="33">
        <v>46252</v>
      </c>
      <c r="B28" s="32" t="s">
        <v>215</v>
      </c>
      <c r="C28" s="34">
        <v>43099</v>
      </c>
      <c r="F28" s="34">
        <v>346</v>
      </c>
      <c r="G28" s="32" t="s">
        <v>160</v>
      </c>
      <c r="H28" s="32" t="s">
        <v>178</v>
      </c>
      <c r="I28" s="32" t="s">
        <v>162</v>
      </c>
      <c r="J28" s="32" t="s">
        <v>160</v>
      </c>
      <c r="K28" s="32" t="s">
        <v>160</v>
      </c>
      <c r="L28" s="32" t="s">
        <v>160</v>
      </c>
      <c r="M28" s="32" t="s">
        <v>160</v>
      </c>
      <c r="N28" s="32" t="s">
        <v>167</v>
      </c>
      <c r="O28" s="32" t="s">
        <v>160</v>
      </c>
      <c r="P28" s="32" t="s">
        <v>168</v>
      </c>
      <c r="Q28" s="35">
        <v>358.07</v>
      </c>
      <c r="R28" s="32" t="s">
        <v>160</v>
      </c>
      <c r="S28" s="32" t="s">
        <v>160</v>
      </c>
      <c r="T28" s="32" t="s">
        <v>160</v>
      </c>
      <c r="U28" s="35">
        <v>0</v>
      </c>
      <c r="V28" s="35">
        <v>358.07</v>
      </c>
      <c r="W28" s="35">
        <v>358.07</v>
      </c>
      <c r="X28" s="32" t="s">
        <v>160</v>
      </c>
      <c r="Y28" s="32" t="s">
        <v>160</v>
      </c>
      <c r="Z28" s="35">
        <v>10.74</v>
      </c>
      <c r="AA28" s="32" t="s">
        <v>160</v>
      </c>
      <c r="AB28" s="35">
        <v>10.74</v>
      </c>
      <c r="AC28" s="32" t="s">
        <v>160</v>
      </c>
      <c r="AD28" s="35">
        <v>0</v>
      </c>
      <c r="AE28" s="35">
        <v>10.74</v>
      </c>
      <c r="AF28" s="35">
        <v>10.74</v>
      </c>
      <c r="AG28" s="32" t="s">
        <v>160</v>
      </c>
      <c r="AH28" s="35">
        <v>358.07</v>
      </c>
      <c r="AI28" s="35">
        <v>10.74</v>
      </c>
      <c r="AJ28" s="32" t="s">
        <v>160</v>
      </c>
      <c r="AK28" s="32" t="s">
        <v>160</v>
      </c>
      <c r="AL28" s="35">
        <v>347.33</v>
      </c>
    </row>
    <row r="29" spans="1:38" x14ac:dyDescent="0.3">
      <c r="A29" s="33">
        <v>46252</v>
      </c>
      <c r="B29" s="32" t="s">
        <v>216</v>
      </c>
      <c r="C29" s="34">
        <v>53917</v>
      </c>
      <c r="F29" s="34">
        <v>345</v>
      </c>
      <c r="G29" s="32" t="s">
        <v>160</v>
      </c>
      <c r="H29" s="32" t="s">
        <v>178</v>
      </c>
      <c r="I29" s="32" t="s">
        <v>162</v>
      </c>
      <c r="J29" s="32" t="s">
        <v>160</v>
      </c>
      <c r="K29" s="32" t="s">
        <v>160</v>
      </c>
      <c r="L29" s="32" t="s">
        <v>160</v>
      </c>
      <c r="M29" s="32" t="s">
        <v>217</v>
      </c>
      <c r="N29" s="32" t="s">
        <v>167</v>
      </c>
      <c r="O29" s="32" t="s">
        <v>164</v>
      </c>
      <c r="P29" s="32" t="s">
        <v>165</v>
      </c>
      <c r="Q29" s="35">
        <v>754.27</v>
      </c>
      <c r="R29" s="32" t="s">
        <v>160</v>
      </c>
      <c r="S29" s="32" t="s">
        <v>160</v>
      </c>
      <c r="T29" s="32" t="s">
        <v>160</v>
      </c>
      <c r="U29" s="35">
        <v>0</v>
      </c>
      <c r="V29" s="35">
        <v>754.27</v>
      </c>
      <c r="W29" s="35">
        <v>754.27</v>
      </c>
      <c r="X29" s="32" t="s">
        <v>160</v>
      </c>
      <c r="Y29" s="32" t="s">
        <v>160</v>
      </c>
      <c r="Z29" s="35">
        <v>22.63</v>
      </c>
      <c r="AA29" s="32" t="s">
        <v>160</v>
      </c>
      <c r="AB29" s="35">
        <v>22.63</v>
      </c>
      <c r="AC29" s="32" t="s">
        <v>160</v>
      </c>
      <c r="AD29" s="35">
        <v>0</v>
      </c>
      <c r="AE29" s="35">
        <v>22.63</v>
      </c>
      <c r="AF29" s="35">
        <v>22.63</v>
      </c>
      <c r="AG29" s="32" t="s">
        <v>160</v>
      </c>
      <c r="AH29" s="35">
        <v>754.27</v>
      </c>
      <c r="AI29" s="35">
        <v>22.63</v>
      </c>
      <c r="AJ29" s="32" t="s">
        <v>160</v>
      </c>
      <c r="AK29" s="32" t="s">
        <v>160</v>
      </c>
      <c r="AL29" s="35">
        <v>731.64</v>
      </c>
    </row>
    <row r="30" spans="1:38" x14ac:dyDescent="0.3">
      <c r="A30" s="33">
        <v>46251</v>
      </c>
      <c r="B30" s="32" t="s">
        <v>218</v>
      </c>
      <c r="C30" s="34">
        <v>54062</v>
      </c>
      <c r="F30" s="34">
        <v>344</v>
      </c>
      <c r="G30" s="32" t="s">
        <v>219</v>
      </c>
      <c r="H30" s="32" t="s">
        <v>178</v>
      </c>
      <c r="I30" s="32" t="s">
        <v>162</v>
      </c>
      <c r="J30" s="32" t="s">
        <v>160</v>
      </c>
      <c r="K30" s="32" t="s">
        <v>160</v>
      </c>
      <c r="L30" s="32" t="s">
        <v>160</v>
      </c>
      <c r="M30" s="32" t="s">
        <v>220</v>
      </c>
      <c r="N30" s="32" t="s">
        <v>173</v>
      </c>
      <c r="O30" s="32" t="s">
        <v>190</v>
      </c>
      <c r="P30" s="32" t="s">
        <v>175</v>
      </c>
      <c r="Q30" s="35">
        <v>442.04</v>
      </c>
      <c r="R30" s="32" t="s">
        <v>160</v>
      </c>
      <c r="S30" s="32" t="s">
        <v>160</v>
      </c>
      <c r="T30" s="32" t="s">
        <v>160</v>
      </c>
      <c r="U30" s="35">
        <v>57.66</v>
      </c>
      <c r="V30" s="35">
        <v>442.04</v>
      </c>
      <c r="W30" s="35">
        <v>442.04</v>
      </c>
      <c r="X30" s="32" t="s">
        <v>160</v>
      </c>
      <c r="Y30" s="32" t="s">
        <v>160</v>
      </c>
      <c r="Z30" s="35">
        <v>13.26</v>
      </c>
      <c r="AA30" s="32" t="s">
        <v>160</v>
      </c>
      <c r="AB30" s="35">
        <v>13.26</v>
      </c>
      <c r="AC30" s="32" t="s">
        <v>160</v>
      </c>
      <c r="AD30" s="35">
        <v>0</v>
      </c>
      <c r="AE30" s="35">
        <v>13.26</v>
      </c>
      <c r="AF30" s="35">
        <v>13.26</v>
      </c>
      <c r="AG30" s="32" t="s">
        <v>160</v>
      </c>
      <c r="AH30" s="35">
        <v>442.04</v>
      </c>
      <c r="AI30" s="35">
        <v>13.26</v>
      </c>
      <c r="AJ30" s="32" t="s">
        <v>160</v>
      </c>
      <c r="AK30" s="32" t="s">
        <v>160</v>
      </c>
      <c r="AL30" s="35">
        <v>428.78</v>
      </c>
    </row>
    <row r="31" spans="1:38" x14ac:dyDescent="0.3">
      <c r="A31" s="33">
        <v>46251</v>
      </c>
      <c r="B31" s="32" t="s">
        <v>221</v>
      </c>
      <c r="C31" s="34">
        <v>54012</v>
      </c>
      <c r="F31" s="34">
        <v>343</v>
      </c>
      <c r="G31" s="32" t="s">
        <v>160</v>
      </c>
      <c r="H31" s="32" t="s">
        <v>178</v>
      </c>
      <c r="I31" s="32" t="s">
        <v>162</v>
      </c>
      <c r="J31" s="32" t="s">
        <v>160</v>
      </c>
      <c r="K31" s="32" t="s">
        <v>160</v>
      </c>
      <c r="L31" s="32" t="s">
        <v>160</v>
      </c>
      <c r="M31" s="32" t="s">
        <v>160</v>
      </c>
      <c r="N31" s="32" t="s">
        <v>167</v>
      </c>
      <c r="O31" s="32" t="s">
        <v>160</v>
      </c>
      <c r="P31" s="32" t="s">
        <v>168</v>
      </c>
      <c r="Q31" s="35">
        <v>455.76</v>
      </c>
      <c r="R31" s="32" t="s">
        <v>160</v>
      </c>
      <c r="S31" s="32" t="s">
        <v>160</v>
      </c>
      <c r="T31" s="32" t="s">
        <v>160</v>
      </c>
      <c r="U31" s="35">
        <v>0</v>
      </c>
      <c r="V31" s="35">
        <v>455.76</v>
      </c>
      <c r="W31" s="35">
        <v>455.76</v>
      </c>
      <c r="X31" s="32" t="s">
        <v>160</v>
      </c>
      <c r="Y31" s="32" t="s">
        <v>160</v>
      </c>
      <c r="Z31" s="35">
        <v>13.67</v>
      </c>
      <c r="AA31" s="32" t="s">
        <v>160</v>
      </c>
      <c r="AB31" s="35">
        <v>13.67</v>
      </c>
      <c r="AC31" s="32" t="s">
        <v>160</v>
      </c>
      <c r="AD31" s="35">
        <v>0</v>
      </c>
      <c r="AE31" s="35">
        <v>13.67</v>
      </c>
      <c r="AF31" s="35">
        <v>13.67</v>
      </c>
      <c r="AG31" s="32" t="s">
        <v>160</v>
      </c>
      <c r="AH31" s="35">
        <v>455.76</v>
      </c>
      <c r="AI31" s="35">
        <v>13.67</v>
      </c>
      <c r="AJ31" s="32" t="s">
        <v>160</v>
      </c>
      <c r="AK31" s="32" t="s">
        <v>160</v>
      </c>
      <c r="AL31" s="35">
        <v>442.09</v>
      </c>
    </row>
    <row r="32" spans="1:38" x14ac:dyDescent="0.3">
      <c r="A32" s="33">
        <v>46251</v>
      </c>
      <c r="B32" s="32" t="s">
        <v>222</v>
      </c>
      <c r="C32" s="34">
        <v>22</v>
      </c>
      <c r="D32" s="32" t="s">
        <v>223</v>
      </c>
      <c r="F32" s="34">
        <v>342</v>
      </c>
      <c r="G32" s="32" t="s">
        <v>224</v>
      </c>
      <c r="H32" s="32" t="s">
        <v>178</v>
      </c>
      <c r="I32" s="32" t="s">
        <v>162</v>
      </c>
      <c r="J32" s="32" t="s">
        <v>160</v>
      </c>
      <c r="K32" s="32" t="s">
        <v>160</v>
      </c>
      <c r="L32" s="32" t="s">
        <v>160</v>
      </c>
      <c r="M32" s="32" t="s">
        <v>225</v>
      </c>
      <c r="N32" s="32" t="s">
        <v>173</v>
      </c>
      <c r="O32" s="32" t="s">
        <v>190</v>
      </c>
      <c r="P32" s="32" t="s">
        <v>226</v>
      </c>
      <c r="Q32" s="35">
        <v>1324.08</v>
      </c>
      <c r="R32" s="32" t="s">
        <v>160</v>
      </c>
      <c r="S32" s="32" t="s">
        <v>160</v>
      </c>
      <c r="T32" s="32" t="s">
        <v>160</v>
      </c>
      <c r="U32" s="35">
        <v>0</v>
      </c>
      <c r="V32" s="35">
        <v>1324.08</v>
      </c>
      <c r="W32" s="35">
        <v>1324.08</v>
      </c>
      <c r="X32" s="32" t="s">
        <v>160</v>
      </c>
      <c r="Y32" s="32" t="s">
        <v>160</v>
      </c>
      <c r="Z32" s="35">
        <v>39.72</v>
      </c>
      <c r="AA32" s="32" t="s">
        <v>160</v>
      </c>
      <c r="AB32" s="35">
        <v>39.72</v>
      </c>
      <c r="AC32" s="32" t="s">
        <v>160</v>
      </c>
      <c r="AD32" s="35">
        <v>0</v>
      </c>
      <c r="AE32" s="35">
        <v>39.72</v>
      </c>
      <c r="AF32" s="35">
        <v>39.72</v>
      </c>
      <c r="AG32" s="34">
        <v>30</v>
      </c>
      <c r="AH32" s="35">
        <v>1294.08</v>
      </c>
      <c r="AI32" s="35">
        <v>39.72</v>
      </c>
      <c r="AJ32" s="32" t="s">
        <v>160</v>
      </c>
      <c r="AK32" s="32" t="s">
        <v>160</v>
      </c>
      <c r="AL32" s="35">
        <v>1284.3599999999999</v>
      </c>
    </row>
    <row r="33" spans="1:38" x14ac:dyDescent="0.3">
      <c r="A33" s="33">
        <v>46250</v>
      </c>
      <c r="B33" s="32" t="s">
        <v>227</v>
      </c>
      <c r="C33" s="34">
        <v>46008</v>
      </c>
      <c r="F33" s="34">
        <v>340</v>
      </c>
      <c r="G33" s="32" t="s">
        <v>160</v>
      </c>
      <c r="H33" s="32" t="s">
        <v>178</v>
      </c>
      <c r="I33" s="32" t="s">
        <v>162</v>
      </c>
      <c r="J33" s="32" t="s">
        <v>160</v>
      </c>
      <c r="K33" s="32" t="s">
        <v>160</v>
      </c>
      <c r="L33" s="32" t="s">
        <v>160</v>
      </c>
      <c r="M33" s="32" t="s">
        <v>228</v>
      </c>
      <c r="N33" s="32" t="s">
        <v>167</v>
      </c>
      <c r="O33" s="32" t="s">
        <v>164</v>
      </c>
      <c r="P33" s="32" t="s">
        <v>165</v>
      </c>
      <c r="Q33" s="35">
        <v>962.85</v>
      </c>
      <c r="R33" s="32" t="s">
        <v>160</v>
      </c>
      <c r="S33" s="32" t="s">
        <v>160</v>
      </c>
      <c r="T33" s="32" t="s">
        <v>160</v>
      </c>
      <c r="U33" s="35">
        <v>0</v>
      </c>
      <c r="V33" s="35">
        <v>962.85</v>
      </c>
      <c r="W33" s="35">
        <v>962.85</v>
      </c>
      <c r="X33" s="32" t="s">
        <v>160</v>
      </c>
      <c r="Y33" s="32" t="s">
        <v>160</v>
      </c>
      <c r="Z33" s="35">
        <v>28.89</v>
      </c>
      <c r="AA33" s="32" t="s">
        <v>160</v>
      </c>
      <c r="AB33" s="35">
        <v>28.89</v>
      </c>
      <c r="AC33" s="32" t="s">
        <v>160</v>
      </c>
      <c r="AD33" s="35">
        <v>0</v>
      </c>
      <c r="AE33" s="35">
        <v>28.89</v>
      </c>
      <c r="AF33" s="35">
        <v>28.89</v>
      </c>
      <c r="AG33" s="32" t="s">
        <v>160</v>
      </c>
      <c r="AH33" s="35">
        <v>962.85</v>
      </c>
      <c r="AI33" s="35">
        <v>28.89</v>
      </c>
      <c r="AJ33" s="32" t="s">
        <v>160</v>
      </c>
      <c r="AK33" s="32" t="s">
        <v>160</v>
      </c>
      <c r="AL33" s="35">
        <v>933.96</v>
      </c>
    </row>
    <row r="34" spans="1:38" x14ac:dyDescent="0.3">
      <c r="A34" s="33">
        <v>46250</v>
      </c>
      <c r="B34" s="32" t="s">
        <v>227</v>
      </c>
      <c r="C34" s="34">
        <v>46008</v>
      </c>
      <c r="F34" s="34">
        <v>341</v>
      </c>
      <c r="G34" s="32" t="s">
        <v>160</v>
      </c>
      <c r="H34" s="32" t="s">
        <v>178</v>
      </c>
      <c r="I34" s="32" t="s">
        <v>162</v>
      </c>
      <c r="J34" s="32" t="s">
        <v>160</v>
      </c>
      <c r="K34" s="32" t="s">
        <v>160</v>
      </c>
      <c r="L34" s="32" t="s">
        <v>160</v>
      </c>
      <c r="M34" s="32" t="s">
        <v>228</v>
      </c>
      <c r="N34" s="32" t="s">
        <v>167</v>
      </c>
      <c r="O34" s="32" t="s">
        <v>164</v>
      </c>
      <c r="P34" s="32" t="s">
        <v>165</v>
      </c>
      <c r="Q34" s="35">
        <v>962.85</v>
      </c>
      <c r="R34" s="32" t="s">
        <v>160</v>
      </c>
      <c r="S34" s="32" t="s">
        <v>160</v>
      </c>
      <c r="T34" s="32" t="s">
        <v>160</v>
      </c>
      <c r="U34" s="35">
        <v>0</v>
      </c>
      <c r="V34" s="35">
        <v>962.85</v>
      </c>
      <c r="W34" s="35">
        <v>962.85</v>
      </c>
      <c r="X34" s="32" t="s">
        <v>160</v>
      </c>
      <c r="Y34" s="32" t="s">
        <v>160</v>
      </c>
      <c r="Z34" s="35">
        <v>28.89</v>
      </c>
      <c r="AA34" s="32" t="s">
        <v>160</v>
      </c>
      <c r="AB34" s="35">
        <v>28.89</v>
      </c>
      <c r="AC34" s="32" t="s">
        <v>160</v>
      </c>
      <c r="AD34" s="35">
        <v>0</v>
      </c>
      <c r="AE34" s="35">
        <v>28.89</v>
      </c>
      <c r="AF34" s="35">
        <v>28.89</v>
      </c>
      <c r="AG34" s="32" t="s">
        <v>160</v>
      </c>
      <c r="AH34" s="35">
        <v>962.85</v>
      </c>
      <c r="AI34" s="35">
        <v>28.89</v>
      </c>
      <c r="AJ34" s="32" t="s">
        <v>160</v>
      </c>
      <c r="AK34" s="32" t="s">
        <v>160</v>
      </c>
      <c r="AL34" s="35">
        <v>933.96</v>
      </c>
    </row>
    <row r="35" spans="1:38" x14ac:dyDescent="0.3">
      <c r="A35" s="33">
        <v>46254</v>
      </c>
      <c r="B35" s="32" t="s">
        <v>159</v>
      </c>
      <c r="C35" s="34">
        <v>45841</v>
      </c>
      <c r="F35" s="34">
        <v>124</v>
      </c>
      <c r="G35" s="32" t="s">
        <v>160</v>
      </c>
      <c r="H35" s="32" t="s">
        <v>161</v>
      </c>
      <c r="I35" s="32" t="s">
        <v>162</v>
      </c>
      <c r="J35" s="32" t="s">
        <v>160</v>
      </c>
      <c r="K35" s="32" t="s">
        <v>160</v>
      </c>
      <c r="L35" s="32" t="s">
        <v>160</v>
      </c>
      <c r="M35" s="32" t="s">
        <v>163</v>
      </c>
      <c r="N35" s="32" t="s">
        <v>164</v>
      </c>
      <c r="O35" s="32" t="s">
        <v>164</v>
      </c>
      <c r="P35" s="32" t="s">
        <v>165</v>
      </c>
      <c r="Q35" s="35">
        <v>226.45</v>
      </c>
      <c r="R35" s="32" t="s">
        <v>160</v>
      </c>
      <c r="S35" s="32" t="s">
        <v>160</v>
      </c>
      <c r="T35" s="32" t="s">
        <v>160</v>
      </c>
      <c r="U35" s="35">
        <v>0</v>
      </c>
      <c r="V35" s="35">
        <v>226.45</v>
      </c>
      <c r="W35" s="35">
        <v>226.45</v>
      </c>
      <c r="X35" s="32" t="s">
        <v>160</v>
      </c>
      <c r="Y35" s="32" t="s">
        <v>160</v>
      </c>
      <c r="Z35" s="35">
        <v>0</v>
      </c>
      <c r="AA35" s="35">
        <v>0</v>
      </c>
      <c r="AB35" s="35">
        <v>0</v>
      </c>
      <c r="AC35" s="32" t="s">
        <v>160</v>
      </c>
      <c r="AD35" s="35">
        <v>0</v>
      </c>
      <c r="AE35" s="35">
        <v>0</v>
      </c>
      <c r="AF35" s="35">
        <v>0</v>
      </c>
      <c r="AG35" s="35">
        <v>0</v>
      </c>
      <c r="AH35" s="35">
        <v>226.45</v>
      </c>
      <c r="AI35" s="35">
        <v>0</v>
      </c>
      <c r="AJ35" s="35">
        <v>0</v>
      </c>
      <c r="AK35" s="32" t="s">
        <v>160</v>
      </c>
      <c r="AL35" s="35">
        <v>226.45</v>
      </c>
    </row>
    <row r="36" spans="1:38" x14ac:dyDescent="0.3">
      <c r="A36" s="33">
        <v>46254</v>
      </c>
      <c r="B36" s="32" t="s">
        <v>166</v>
      </c>
      <c r="C36" s="34">
        <v>62725</v>
      </c>
      <c r="F36" s="34">
        <v>123</v>
      </c>
      <c r="G36" s="32" t="s">
        <v>160</v>
      </c>
      <c r="H36" s="32" t="s">
        <v>161</v>
      </c>
      <c r="I36" s="32" t="s">
        <v>162</v>
      </c>
      <c r="J36" s="32" t="s">
        <v>160</v>
      </c>
      <c r="K36" s="32" t="s">
        <v>160</v>
      </c>
      <c r="L36" s="32" t="s">
        <v>160</v>
      </c>
      <c r="M36" s="32" t="s">
        <v>160</v>
      </c>
      <c r="N36" s="32" t="s">
        <v>167</v>
      </c>
      <c r="O36" s="32" t="s">
        <v>160</v>
      </c>
      <c r="P36" s="32" t="s">
        <v>168</v>
      </c>
      <c r="Q36" s="35">
        <v>125.61</v>
      </c>
      <c r="R36" s="32" t="s">
        <v>160</v>
      </c>
      <c r="S36" s="32" t="s">
        <v>160</v>
      </c>
      <c r="T36" s="32" t="s">
        <v>160</v>
      </c>
      <c r="U36" s="35">
        <v>16.38</v>
      </c>
      <c r="V36" s="35">
        <v>125.61</v>
      </c>
      <c r="W36" s="35">
        <v>125.61</v>
      </c>
      <c r="X36" s="32" t="s">
        <v>160</v>
      </c>
      <c r="Y36" s="32" t="s">
        <v>160</v>
      </c>
      <c r="Z36" s="35">
        <v>0</v>
      </c>
      <c r="AA36" s="35">
        <v>0</v>
      </c>
      <c r="AB36" s="35">
        <v>0</v>
      </c>
      <c r="AC36" s="32" t="s">
        <v>160</v>
      </c>
      <c r="AD36" s="35">
        <v>0</v>
      </c>
      <c r="AE36" s="35">
        <v>0</v>
      </c>
      <c r="AF36" s="35">
        <v>0</v>
      </c>
      <c r="AG36" s="35">
        <v>0</v>
      </c>
      <c r="AH36" s="35">
        <v>125.61</v>
      </c>
      <c r="AI36" s="35">
        <v>0</v>
      </c>
      <c r="AJ36" s="35">
        <v>0</v>
      </c>
      <c r="AK36" s="32" t="s">
        <v>160</v>
      </c>
      <c r="AL36" s="35">
        <v>125.61</v>
      </c>
    </row>
    <row r="37" spans="1:38" x14ac:dyDescent="0.3">
      <c r="A37" s="33">
        <v>46254</v>
      </c>
      <c r="B37" s="32" t="s">
        <v>169</v>
      </c>
      <c r="C37" s="34">
        <v>64510</v>
      </c>
      <c r="F37" s="34">
        <v>122</v>
      </c>
      <c r="G37" s="32" t="s">
        <v>160</v>
      </c>
      <c r="H37" s="32" t="s">
        <v>161</v>
      </c>
      <c r="I37" s="32" t="s">
        <v>162</v>
      </c>
      <c r="J37" s="32" t="s">
        <v>160</v>
      </c>
      <c r="K37" s="32" t="s">
        <v>160</v>
      </c>
      <c r="L37" s="32" t="s">
        <v>160</v>
      </c>
      <c r="M37" s="32" t="s">
        <v>160</v>
      </c>
      <c r="N37" s="32" t="s">
        <v>164</v>
      </c>
      <c r="O37" s="32" t="s">
        <v>160</v>
      </c>
      <c r="P37" s="32" t="s">
        <v>168</v>
      </c>
      <c r="Q37" s="35">
        <v>7056.88</v>
      </c>
      <c r="R37" s="32" t="s">
        <v>160</v>
      </c>
      <c r="S37" s="32" t="s">
        <v>160</v>
      </c>
      <c r="T37" s="32" t="s">
        <v>160</v>
      </c>
      <c r="U37" s="35">
        <v>0</v>
      </c>
      <c r="V37" s="35">
        <v>7056.88</v>
      </c>
      <c r="W37" s="35">
        <v>7056.88</v>
      </c>
      <c r="X37" s="32" t="s">
        <v>160</v>
      </c>
      <c r="Y37" s="32" t="s">
        <v>160</v>
      </c>
      <c r="Z37" s="35">
        <v>0</v>
      </c>
      <c r="AA37" s="35">
        <v>0</v>
      </c>
      <c r="AB37" s="35">
        <v>0</v>
      </c>
      <c r="AC37" s="32" t="s">
        <v>160</v>
      </c>
      <c r="AD37" s="35">
        <v>0</v>
      </c>
      <c r="AE37" s="35">
        <v>0</v>
      </c>
      <c r="AF37" s="35">
        <v>0</v>
      </c>
      <c r="AG37" s="35">
        <v>0</v>
      </c>
      <c r="AH37" s="35">
        <v>7056.88</v>
      </c>
      <c r="AI37" s="35">
        <v>0</v>
      </c>
      <c r="AJ37" s="35">
        <v>0</v>
      </c>
      <c r="AK37" s="32" t="s">
        <v>160</v>
      </c>
      <c r="AL37" s="35">
        <v>7056.88</v>
      </c>
    </row>
    <row r="38" spans="1:38" x14ac:dyDescent="0.3">
      <c r="A38" s="33">
        <v>46253</v>
      </c>
      <c r="B38" s="32" t="s">
        <v>170</v>
      </c>
      <c r="C38" s="34">
        <v>51981</v>
      </c>
      <c r="D38" s="32" t="s">
        <v>171</v>
      </c>
      <c r="F38" s="34">
        <v>121</v>
      </c>
      <c r="G38" s="32" t="s">
        <v>53</v>
      </c>
      <c r="H38" s="32" t="s">
        <v>161</v>
      </c>
      <c r="I38" s="32" t="s">
        <v>162</v>
      </c>
      <c r="J38" s="32" t="s">
        <v>160</v>
      </c>
      <c r="K38" s="32" t="s">
        <v>160</v>
      </c>
      <c r="L38" s="32" t="s">
        <v>160</v>
      </c>
      <c r="M38" s="32" t="s">
        <v>172</v>
      </c>
      <c r="N38" s="32" t="s">
        <v>173</v>
      </c>
      <c r="O38" s="32" t="s">
        <v>174</v>
      </c>
      <c r="P38" s="32" t="s">
        <v>175</v>
      </c>
      <c r="Q38" s="35">
        <v>1161.7</v>
      </c>
      <c r="R38" s="32" t="s">
        <v>160</v>
      </c>
      <c r="S38" s="32" t="s">
        <v>160</v>
      </c>
      <c r="T38" s="32" t="s">
        <v>160</v>
      </c>
      <c r="U38" s="35">
        <v>0</v>
      </c>
      <c r="V38" s="35">
        <v>1161.7</v>
      </c>
      <c r="W38" s="35">
        <v>1161.7</v>
      </c>
      <c r="X38" s="32" t="s">
        <v>160</v>
      </c>
      <c r="Y38" s="32" t="s">
        <v>160</v>
      </c>
      <c r="Z38" s="35">
        <v>0</v>
      </c>
      <c r="AA38" s="35">
        <v>1103.6199999999999</v>
      </c>
      <c r="AB38" s="35">
        <v>0</v>
      </c>
      <c r="AC38" s="32" t="s">
        <v>160</v>
      </c>
      <c r="AD38" s="35">
        <v>0</v>
      </c>
      <c r="AE38" s="35">
        <v>58.09</v>
      </c>
      <c r="AF38" s="35">
        <v>0</v>
      </c>
      <c r="AG38" s="35">
        <v>0</v>
      </c>
      <c r="AH38" s="35">
        <v>1161.7</v>
      </c>
      <c r="AI38" s="35">
        <v>58.09</v>
      </c>
      <c r="AJ38" s="35">
        <v>0</v>
      </c>
      <c r="AK38" s="32" t="s">
        <v>160</v>
      </c>
      <c r="AL38" s="35">
        <v>1103.6099999999999</v>
      </c>
    </row>
    <row r="39" spans="1:38" x14ac:dyDescent="0.3">
      <c r="A39" s="33">
        <v>46252</v>
      </c>
      <c r="B39" s="32" t="s">
        <v>176</v>
      </c>
      <c r="C39" s="34">
        <v>48424</v>
      </c>
      <c r="F39" s="34">
        <v>120</v>
      </c>
      <c r="G39" s="32" t="s">
        <v>160</v>
      </c>
      <c r="H39" s="32" t="s">
        <v>161</v>
      </c>
      <c r="I39" s="32" t="s">
        <v>162</v>
      </c>
      <c r="J39" s="32" t="s">
        <v>160</v>
      </c>
      <c r="K39" s="32" t="s">
        <v>160</v>
      </c>
      <c r="L39" s="32" t="s">
        <v>160</v>
      </c>
      <c r="M39" s="32" t="s">
        <v>160</v>
      </c>
      <c r="N39" s="32" t="s">
        <v>167</v>
      </c>
      <c r="O39" s="32" t="s">
        <v>160</v>
      </c>
      <c r="P39" s="32" t="s">
        <v>168</v>
      </c>
      <c r="Q39" s="35">
        <v>449</v>
      </c>
      <c r="R39" s="32" t="s">
        <v>160</v>
      </c>
      <c r="S39" s="32" t="s">
        <v>160</v>
      </c>
      <c r="T39" s="32" t="s">
        <v>160</v>
      </c>
      <c r="U39" s="35">
        <v>0</v>
      </c>
      <c r="V39" s="35">
        <v>449</v>
      </c>
      <c r="W39" s="35">
        <v>449</v>
      </c>
      <c r="X39" s="32" t="s">
        <v>160</v>
      </c>
      <c r="Y39" s="32" t="s">
        <v>160</v>
      </c>
      <c r="Z39" s="35">
        <v>0</v>
      </c>
      <c r="AA39" s="35">
        <v>0</v>
      </c>
      <c r="AB39" s="35">
        <v>0</v>
      </c>
      <c r="AC39" s="32" t="s">
        <v>160</v>
      </c>
      <c r="AD39" s="35">
        <v>0</v>
      </c>
      <c r="AE39" s="35">
        <v>0</v>
      </c>
      <c r="AF39" s="35">
        <v>0</v>
      </c>
      <c r="AG39" s="35">
        <v>0</v>
      </c>
      <c r="AH39" s="35">
        <v>449</v>
      </c>
      <c r="AI39" s="35">
        <v>0</v>
      </c>
      <c r="AJ39" s="35">
        <v>0</v>
      </c>
      <c r="AK39" s="32" t="s">
        <v>160</v>
      </c>
      <c r="AL39" s="35">
        <v>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BDE9-AFB0-497E-A86B-856E890BF571}">
  <dimension ref="A1:CM41"/>
  <sheetViews>
    <sheetView topLeftCell="AN1" workbookViewId="0">
      <selection activeCell="AR24" sqref="AR24"/>
    </sheetView>
  </sheetViews>
  <sheetFormatPr defaultRowHeight="14.4" x14ac:dyDescent="0.3"/>
  <cols>
    <col min="1" max="1" width="19" customWidth="1"/>
    <col min="7" max="7" width="24" customWidth="1"/>
    <col min="38" max="38" width="27.5546875" bestFit="1" customWidth="1"/>
    <col min="39" max="39" width="17.109375" customWidth="1"/>
    <col min="40" max="40" width="16.77734375" bestFit="1" customWidth="1"/>
    <col min="41" max="41" width="19.21875" bestFit="1" customWidth="1"/>
    <col min="42" max="44" width="23.77734375" customWidth="1"/>
    <col min="51" max="51" width="9.21875" bestFit="1" customWidth="1"/>
    <col min="54" max="54" width="16.5546875" customWidth="1"/>
    <col min="74" max="74" width="12.88671875" customWidth="1"/>
    <col min="80" max="80" width="25" bestFit="1" customWidth="1"/>
    <col min="81" max="81" width="23.77734375" customWidth="1"/>
    <col min="88" max="88" width="12.6640625" customWidth="1"/>
    <col min="90" max="90" width="25.21875" bestFit="1" customWidth="1"/>
  </cols>
  <sheetData>
    <row r="1" spans="1:91" x14ac:dyDescent="0.3">
      <c r="A1" s="31" t="s">
        <v>124</v>
      </c>
      <c r="B1" s="31" t="s">
        <v>125</v>
      </c>
      <c r="C1" s="31" t="s">
        <v>126</v>
      </c>
      <c r="D1" s="31" t="s">
        <v>126</v>
      </c>
      <c r="E1" s="31" t="s">
        <v>126</v>
      </c>
      <c r="F1" s="31" t="s">
        <v>127</v>
      </c>
      <c r="G1" s="31" t="s">
        <v>128</v>
      </c>
      <c r="H1" s="31" t="s">
        <v>129</v>
      </c>
      <c r="I1" s="31" t="s">
        <v>130</v>
      </c>
      <c r="J1" s="31" t="s">
        <v>131</v>
      </c>
      <c r="K1" s="31" t="s">
        <v>132</v>
      </c>
      <c r="L1" s="31" t="s">
        <v>133</v>
      </c>
      <c r="M1" s="31" t="s">
        <v>134</v>
      </c>
      <c r="N1" s="31" t="s">
        <v>135</v>
      </c>
      <c r="O1" s="31" t="s">
        <v>136</v>
      </c>
      <c r="P1" s="31" t="s">
        <v>137</v>
      </c>
      <c r="Q1" s="31" t="s">
        <v>138</v>
      </c>
      <c r="R1" s="31" t="s">
        <v>139</v>
      </c>
      <c r="S1" s="31" t="s">
        <v>140</v>
      </c>
      <c r="T1" s="31" t="s">
        <v>141</v>
      </c>
      <c r="U1" s="31" t="s">
        <v>105</v>
      </c>
      <c r="V1" s="31" t="s">
        <v>142</v>
      </c>
      <c r="W1" s="31" t="s">
        <v>143</v>
      </c>
      <c r="X1" s="31" t="s">
        <v>144</v>
      </c>
      <c r="Y1" s="31" t="s">
        <v>145</v>
      </c>
      <c r="Z1" s="31" t="s">
        <v>146</v>
      </c>
      <c r="AA1" s="31" t="s">
        <v>147</v>
      </c>
      <c r="AB1" s="31" t="s">
        <v>148</v>
      </c>
      <c r="AC1" s="31" t="s">
        <v>149</v>
      </c>
      <c r="AD1" s="31" t="s">
        <v>150</v>
      </c>
      <c r="AE1" s="31" t="s">
        <v>151</v>
      </c>
      <c r="AF1" s="31" t="s">
        <v>152</v>
      </c>
      <c r="AG1" s="31" t="s">
        <v>153</v>
      </c>
      <c r="AH1" s="31" t="s">
        <v>154</v>
      </c>
      <c r="AI1" s="31" t="s">
        <v>155</v>
      </c>
      <c r="AJ1" s="31" t="s">
        <v>156</v>
      </c>
      <c r="AK1" s="31" t="s">
        <v>157</v>
      </c>
      <c r="AL1" s="31" t="s">
        <v>158</v>
      </c>
      <c r="AM1" s="31" t="s">
        <v>232</v>
      </c>
      <c r="AN1" s="31" t="s">
        <v>234</v>
      </c>
      <c r="AO1" s="31" t="s">
        <v>235</v>
      </c>
      <c r="AP1" s="31" t="s">
        <v>236</v>
      </c>
      <c r="AQ1" s="31" t="s">
        <v>237</v>
      </c>
      <c r="AR1" s="42" t="s">
        <v>238</v>
      </c>
      <c r="AS1" s="1" t="s">
        <v>110</v>
      </c>
      <c r="AT1" s="1" t="s">
        <v>111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  <c r="BI1" s="1" t="s">
        <v>92</v>
      </c>
      <c r="BJ1" s="1" t="s">
        <v>93</v>
      </c>
      <c r="BK1" s="1" t="s">
        <v>94</v>
      </c>
      <c r="BL1" s="1" t="s">
        <v>95</v>
      </c>
      <c r="BM1" s="1" t="s">
        <v>96</v>
      </c>
      <c r="BN1" s="1" t="s">
        <v>97</v>
      </c>
      <c r="BO1" s="1" t="s">
        <v>98</v>
      </c>
      <c r="BP1" s="1" t="s">
        <v>99</v>
      </c>
      <c r="BQ1" s="1" t="s">
        <v>100</v>
      </c>
      <c r="BR1" s="1" t="s">
        <v>101</v>
      </c>
      <c r="BS1" s="1" t="s">
        <v>102</v>
      </c>
      <c r="BT1" s="4" t="s">
        <v>103</v>
      </c>
      <c r="BU1" s="4" t="s">
        <v>104</v>
      </c>
      <c r="BV1" s="4" t="s">
        <v>105</v>
      </c>
      <c r="BW1" s="4" t="s">
        <v>106</v>
      </c>
      <c r="BX1" s="4" t="s">
        <v>107</v>
      </c>
      <c r="BY1" s="1" t="s">
        <v>112</v>
      </c>
      <c r="BZ1" s="8" t="s">
        <v>113</v>
      </c>
      <c r="CA1" s="1" t="s">
        <v>108</v>
      </c>
      <c r="CB1" s="1" t="s">
        <v>109</v>
      </c>
    </row>
    <row r="2" spans="1:91" x14ac:dyDescent="0.3">
      <c r="A2" s="33">
        <v>46255</v>
      </c>
      <c r="B2" s="32" t="s">
        <v>187</v>
      </c>
      <c r="C2" s="34">
        <v>7435</v>
      </c>
      <c r="D2" s="32"/>
      <c r="E2" s="32"/>
      <c r="F2" s="34">
        <v>364</v>
      </c>
      <c r="G2" s="32" t="s">
        <v>188</v>
      </c>
      <c r="H2" s="32" t="s">
        <v>178</v>
      </c>
      <c r="I2" s="32" t="s">
        <v>162</v>
      </c>
      <c r="J2" s="32" t="s">
        <v>160</v>
      </c>
      <c r="K2" s="32" t="s">
        <v>160</v>
      </c>
      <c r="L2" s="32" t="s">
        <v>160</v>
      </c>
      <c r="M2" s="32" t="s">
        <v>189</v>
      </c>
      <c r="N2" s="32" t="s">
        <v>173</v>
      </c>
      <c r="O2" s="32" t="s">
        <v>190</v>
      </c>
      <c r="P2" s="32" t="s">
        <v>175</v>
      </c>
      <c r="Q2" s="35">
        <v>935.12</v>
      </c>
      <c r="R2" s="32" t="s">
        <v>160</v>
      </c>
      <c r="S2" s="32" t="s">
        <v>160</v>
      </c>
      <c r="T2" s="32" t="s">
        <v>160</v>
      </c>
      <c r="U2" s="35">
        <v>121.97</v>
      </c>
      <c r="V2" s="35">
        <v>935.12</v>
      </c>
      <c r="W2" s="35">
        <v>935.12</v>
      </c>
      <c r="X2" s="32" t="s">
        <v>160</v>
      </c>
      <c r="Y2" s="32" t="s">
        <v>160</v>
      </c>
      <c r="Z2" s="35">
        <v>28.05</v>
      </c>
      <c r="AA2" s="32" t="s">
        <v>160</v>
      </c>
      <c r="AB2" s="35">
        <v>28.05</v>
      </c>
      <c r="AC2" s="32" t="s">
        <v>160</v>
      </c>
      <c r="AD2" s="35">
        <v>0</v>
      </c>
      <c r="AE2" s="35">
        <v>28.05</v>
      </c>
      <c r="AF2" s="35">
        <v>28.05</v>
      </c>
      <c r="AG2" s="32" t="s">
        <v>160</v>
      </c>
      <c r="AH2" s="35">
        <v>935.12</v>
      </c>
      <c r="AI2" s="35">
        <v>28.05</v>
      </c>
      <c r="AJ2" s="32" t="s">
        <v>160</v>
      </c>
      <c r="AK2" s="32" t="s">
        <v>160</v>
      </c>
      <c r="AL2" s="35">
        <v>907.07</v>
      </c>
      <c r="AM2" t="b">
        <f t="shared" ref="AM2:AM8" si="0">G2=CC2</f>
        <v>1</v>
      </c>
      <c r="AN2" s="40">
        <f>AI2/W2</f>
        <v>2.9996150226708873E-2</v>
      </c>
      <c r="AO2" s="40">
        <f t="shared" ref="AO2:AO8" si="1">+BY2/BX2</f>
        <v>3.0000080203610228E-2</v>
      </c>
      <c r="AP2" s="40">
        <f>+AN2-AO2</f>
        <v>-3.929976901354687E-6</v>
      </c>
      <c r="AQ2" s="38">
        <f>+AO2*W2</f>
        <v>28.053674999999995</v>
      </c>
      <c r="AR2" s="43">
        <f>+W2-AQ2</f>
        <v>907.06632500000001</v>
      </c>
      <c r="AS2" t="str" cm="1">
        <f t="array" ref="AS2:CB2">_xlfn.XLOOKUP(G2,'Vedor Report'!AK:AK,'Vedor Report'!A:AJ, "NA",0)</f>
        <v>2012559</v>
      </c>
      <c r="AT2" t="str">
        <v>DOM</v>
      </c>
      <c r="AU2" t="str">
        <v>Qtoon Raqamya Trading Company</v>
      </c>
      <c r="AV2" t="str">
        <v>2500054679</v>
      </c>
      <c r="AW2" t="str">
        <v>000001</v>
      </c>
      <c r="AX2" t="str">
        <v>Invoice</v>
      </c>
      <c r="AY2" s="36">
        <v>46255</v>
      </c>
      <c r="AZ2" t="str">
        <v>A</v>
      </c>
      <c r="BA2" t="str">
        <v>F3</v>
      </c>
      <c r="BB2" t="str">
        <v/>
      </c>
      <c r="BC2" t="str">
        <v>E-Tckt-DS-ONL</v>
      </c>
      <c r="BD2" t="str">
        <v/>
      </c>
      <c r="BE2" t="str">
        <v/>
      </c>
      <c r="BF2" t="str">
        <v>QTOON RAQAMYA TRADING COMPANY</v>
      </c>
      <c r="BG2" t="str">
        <v/>
      </c>
      <c r="BH2" t="str">
        <v>FB8Q9A</v>
      </c>
      <c r="BI2">
        <v>46255</v>
      </c>
      <c r="BJ2" t="str">
        <v>09/04/2026</v>
      </c>
      <c r="BK2" t="str">
        <v>09/04/2026</v>
      </c>
      <c r="BL2" t="str">
        <v>1</v>
      </c>
      <c r="BM2" t="str">
        <v/>
      </c>
      <c r="BN2" t="str">
        <v/>
      </c>
      <c r="BO2" t="str">
        <v>000541882</v>
      </c>
      <c r="BP2" t="str">
        <v>MS Jacqueline Ndayizeye MS S</v>
      </c>
      <c r="BQ2" t="str">
        <v>ABT-RUH</v>
      </c>
      <c r="BR2" t="str">
        <v/>
      </c>
      <c r="BS2" t="str">
        <v>ECONOMY</v>
      </c>
      <c r="BT2">
        <v>813.15</v>
      </c>
      <c r="BU2">
        <v>15</v>
      </c>
      <c r="BV2">
        <v>121.97</v>
      </c>
      <c r="BW2" t="str">
        <v>0</v>
      </c>
      <c r="BX2">
        <v>935.12</v>
      </c>
      <c r="BY2" s="38">
        <v>28.053674999999995</v>
      </c>
      <c r="BZ2" s="38">
        <v>907.06632500000001</v>
      </c>
      <c r="CA2" t="str">
        <v>SAR</v>
      </c>
      <c r="CB2" t="str">
        <v>A26082185665500_7471325</v>
      </c>
      <c r="CC2" t="s">
        <v>188</v>
      </c>
      <c r="CJ2" s="5"/>
      <c r="CK2" s="2"/>
      <c r="CL2" s="2"/>
      <c r="CM2" s="9"/>
    </row>
    <row r="3" spans="1:91" x14ac:dyDescent="0.3">
      <c r="A3" s="33">
        <v>46255</v>
      </c>
      <c r="B3" s="32" t="s">
        <v>192</v>
      </c>
      <c r="C3" s="34">
        <v>52652</v>
      </c>
      <c r="D3" s="32"/>
      <c r="E3" s="32"/>
      <c r="F3" s="34">
        <v>362</v>
      </c>
      <c r="G3" s="32" t="s">
        <v>193</v>
      </c>
      <c r="H3" s="32" t="s">
        <v>178</v>
      </c>
      <c r="I3" s="32" t="s">
        <v>162</v>
      </c>
      <c r="J3" s="32" t="s">
        <v>160</v>
      </c>
      <c r="K3" s="32" t="s">
        <v>160</v>
      </c>
      <c r="L3" s="32" t="s">
        <v>160</v>
      </c>
      <c r="M3" s="32" t="s">
        <v>194</v>
      </c>
      <c r="N3" s="32" t="s">
        <v>173</v>
      </c>
      <c r="O3" s="32" t="s">
        <v>190</v>
      </c>
      <c r="P3" s="32" t="s">
        <v>195</v>
      </c>
      <c r="Q3" s="35">
        <v>1408.1</v>
      </c>
      <c r="R3" s="32" t="s">
        <v>160</v>
      </c>
      <c r="S3" s="32" t="s">
        <v>160</v>
      </c>
      <c r="T3" s="32" t="s">
        <v>160</v>
      </c>
      <c r="U3" s="35">
        <v>183.67</v>
      </c>
      <c r="V3" s="35">
        <v>1408.1</v>
      </c>
      <c r="W3" s="35">
        <v>1408.1</v>
      </c>
      <c r="X3" s="32" t="s">
        <v>160</v>
      </c>
      <c r="Y3" s="32" t="s">
        <v>160</v>
      </c>
      <c r="Z3" s="35">
        <v>42.24</v>
      </c>
      <c r="AA3" s="32" t="s">
        <v>160</v>
      </c>
      <c r="AB3" s="35">
        <v>42.24</v>
      </c>
      <c r="AC3" s="32" t="s">
        <v>160</v>
      </c>
      <c r="AD3" s="35">
        <v>0</v>
      </c>
      <c r="AE3" s="35">
        <v>42.24</v>
      </c>
      <c r="AF3" s="35">
        <v>42.24</v>
      </c>
      <c r="AG3" s="34">
        <v>2</v>
      </c>
      <c r="AH3" s="32">
        <v>1406.1</v>
      </c>
      <c r="AI3" s="35">
        <v>42.24</v>
      </c>
      <c r="AJ3" s="32" t="s">
        <v>160</v>
      </c>
      <c r="AK3" s="32" t="s">
        <v>160</v>
      </c>
      <c r="AL3" s="35">
        <v>1365.86</v>
      </c>
      <c r="AM3" t="b">
        <f t="shared" si="0"/>
        <v>1</v>
      </c>
      <c r="AN3" s="40">
        <f t="shared" ref="AN3:AN8" si="2">AI3/W3</f>
        <v>2.9997869469497909E-2</v>
      </c>
      <c r="AO3" s="40">
        <f t="shared" si="1"/>
        <v>2.9999882820822388E-2</v>
      </c>
      <c r="AP3" s="40">
        <f t="shared" ref="AP3:AP8" si="3">+AN3-AO3</f>
        <v>-2.0133513244785517E-6</v>
      </c>
      <c r="AQ3" s="38">
        <f t="shared" ref="AQ3:AQ8" si="4">+AO3*W3</f>
        <v>42.242834999999999</v>
      </c>
      <c r="AR3" s="43">
        <f t="shared" ref="AR3:AR8" si="5">+W3-AQ3</f>
        <v>1365.8571649999999</v>
      </c>
      <c r="AS3" t="str" cm="1">
        <f t="array" ref="AS3:CB3">_xlfn.XLOOKUP(G3,'Vedor Report'!AK:AK,'Vedor Report'!A:AJ, "NA",0)</f>
        <v>2012559</v>
      </c>
      <c r="AT3" t="str">
        <v>DOM</v>
      </c>
      <c r="AU3" t="str">
        <v>Qtoon Raqamya Trading Company</v>
      </c>
      <c r="AV3" t="str">
        <v>2500054678</v>
      </c>
      <c r="AW3" t="str">
        <v>000001</v>
      </c>
      <c r="AX3" t="str">
        <v>Invoice</v>
      </c>
      <c r="AY3" s="36">
        <v>46254</v>
      </c>
      <c r="AZ3" t="str">
        <v>A</v>
      </c>
      <c r="BA3" t="str">
        <v>XY</v>
      </c>
      <c r="BB3" t="str">
        <v/>
      </c>
      <c r="BC3" t="str">
        <v>E-Tckt-DS-ONL</v>
      </c>
      <c r="BD3" t="str">
        <v/>
      </c>
      <c r="BE3" t="str">
        <v/>
      </c>
      <c r="BF3" t="str">
        <v>QTOON RAQAMYA TRADING COMPANY</v>
      </c>
      <c r="BG3" t="str">
        <v/>
      </c>
      <c r="BH3" t="str">
        <v>ZI84FX</v>
      </c>
      <c r="BI3">
        <v>46254</v>
      </c>
      <c r="BJ3" t="str">
        <v>08/26/2026</v>
      </c>
      <c r="BK3" t="str">
        <v>08/30/2026</v>
      </c>
      <c r="BL3" t="str">
        <v>1</v>
      </c>
      <c r="BM3" t="str">
        <v/>
      </c>
      <c r="BN3" t="str">
        <v/>
      </c>
      <c r="BO3" t="str">
        <v>000541686</v>
      </c>
      <c r="BP3" t="str">
        <v/>
      </c>
      <c r="BQ3" t="str">
        <v>AJF-RUH-JED-RUH-AJF</v>
      </c>
      <c r="BR3" t="str">
        <v/>
      </c>
      <c r="BS3" t="str">
        <v>ECONOMY</v>
      </c>
      <c r="BT3">
        <v>1224.43</v>
      </c>
      <c r="BU3">
        <v>15</v>
      </c>
      <c r="BV3">
        <v>183.67</v>
      </c>
      <c r="BW3" t="str">
        <v>0</v>
      </c>
      <c r="BX3">
        <v>1408.1</v>
      </c>
      <c r="BY3" s="38">
        <v>42.242834999999999</v>
      </c>
      <c r="BZ3" s="38">
        <v>1365.8571649999999</v>
      </c>
      <c r="CA3" t="str">
        <v>SAR</v>
      </c>
      <c r="CB3" t="str">
        <v>A260820198585500_841607</v>
      </c>
      <c r="CC3" t="s">
        <v>193</v>
      </c>
      <c r="CJ3" s="5"/>
      <c r="CK3" s="2"/>
      <c r="CL3" s="2"/>
      <c r="CM3" s="9"/>
    </row>
    <row r="4" spans="1:91" x14ac:dyDescent="0.3">
      <c r="A4" s="33">
        <v>46253</v>
      </c>
      <c r="B4" s="32" t="s">
        <v>170</v>
      </c>
      <c r="C4" s="34">
        <v>51981</v>
      </c>
      <c r="D4" s="32" t="s">
        <v>171</v>
      </c>
      <c r="E4" s="32"/>
      <c r="F4" s="34">
        <v>121</v>
      </c>
      <c r="G4" s="32" t="s">
        <v>53</v>
      </c>
      <c r="H4" s="32" t="s">
        <v>161</v>
      </c>
      <c r="I4" s="32" t="s">
        <v>162</v>
      </c>
      <c r="J4" s="32" t="s">
        <v>160</v>
      </c>
      <c r="K4" s="32" t="s">
        <v>160</v>
      </c>
      <c r="L4" s="32" t="s">
        <v>160</v>
      </c>
      <c r="M4" s="32" t="s">
        <v>172</v>
      </c>
      <c r="N4" s="32" t="s">
        <v>173</v>
      </c>
      <c r="O4" s="32" t="s">
        <v>174</v>
      </c>
      <c r="P4" s="32" t="s">
        <v>175</v>
      </c>
      <c r="Q4" s="35">
        <v>1161.7</v>
      </c>
      <c r="R4" s="32" t="s">
        <v>160</v>
      </c>
      <c r="S4" s="32" t="s">
        <v>160</v>
      </c>
      <c r="T4" s="32" t="s">
        <v>160</v>
      </c>
      <c r="U4" s="35">
        <v>0</v>
      </c>
      <c r="V4" s="35">
        <v>1161.7</v>
      </c>
      <c r="W4" s="35">
        <v>1161.7</v>
      </c>
      <c r="X4" s="32" t="s">
        <v>160</v>
      </c>
      <c r="Y4" s="32" t="s">
        <v>160</v>
      </c>
      <c r="Z4" s="35">
        <v>0</v>
      </c>
      <c r="AA4" s="35">
        <v>1103.6199999999999</v>
      </c>
      <c r="AB4" s="35">
        <v>0</v>
      </c>
      <c r="AC4" s="32" t="s">
        <v>160</v>
      </c>
      <c r="AD4" s="35">
        <v>0</v>
      </c>
      <c r="AE4" s="35">
        <v>58.09</v>
      </c>
      <c r="AF4" s="35">
        <v>0</v>
      </c>
      <c r="AG4" s="35">
        <v>0</v>
      </c>
      <c r="AH4" s="35">
        <v>1161.7</v>
      </c>
      <c r="AI4" s="35">
        <v>58.09</v>
      </c>
      <c r="AJ4" s="35">
        <v>0</v>
      </c>
      <c r="AK4" s="32" t="s">
        <v>160</v>
      </c>
      <c r="AL4" s="35">
        <v>1103.6099999999999</v>
      </c>
      <c r="AM4" t="b">
        <f t="shared" si="0"/>
        <v>1</v>
      </c>
      <c r="AN4" s="40">
        <f t="shared" si="2"/>
        <v>5.0004304037186885E-2</v>
      </c>
      <c r="AO4" s="40">
        <f t="shared" si="1"/>
        <v>5.7500000000000002E-2</v>
      </c>
      <c r="AP4" s="40">
        <f t="shared" si="3"/>
        <v>-7.4956959628131176E-3</v>
      </c>
      <c r="AQ4" s="38">
        <f t="shared" si="4"/>
        <v>66.797750000000008</v>
      </c>
      <c r="AR4" s="43">
        <f t="shared" si="5"/>
        <v>1094.9022500000001</v>
      </c>
      <c r="AS4" t="str" cm="1">
        <f t="array" ref="AS4:CB4">_xlfn.XLOOKUP(G4,'Vedor Report'!AK:AK,'Vedor Report'!A:AJ, "NA",0)</f>
        <v>2012559</v>
      </c>
      <c r="AT4" t="str">
        <v>INT</v>
      </c>
      <c r="AU4" t="str">
        <v>Qtoon Raqamya Trading Company</v>
      </c>
      <c r="AV4" t="str">
        <v>2500054685</v>
      </c>
      <c r="AW4" t="str">
        <v>000001</v>
      </c>
      <c r="AX4" t="str">
        <v>Invoice</v>
      </c>
      <c r="AY4" s="36">
        <v>46253</v>
      </c>
      <c r="AZ4" t="str">
        <v>H</v>
      </c>
      <c r="BA4" t="str">
        <v>HOTEL ORSO BRUNO</v>
      </c>
      <c r="BB4" t="str">
        <v>2538409917</v>
      </c>
      <c r="BC4" t="str">
        <v>Online-Accomodations</v>
      </c>
      <c r="BD4" t="str">
        <v>EXPEDIA</v>
      </c>
      <c r="BE4" t="str">
        <v/>
      </c>
      <c r="BF4" t="str">
        <v>QTOON RAQAMYA TRADING COMPANY</v>
      </c>
      <c r="BG4" t="str">
        <v/>
      </c>
      <c r="BH4" t="str">
        <v/>
      </c>
      <c r="BI4">
        <v>46253</v>
      </c>
      <c r="BJ4" t="str">
        <v>09/19/2026</v>
      </c>
      <c r="BK4" t="str">
        <v>09/20/2026</v>
      </c>
      <c r="BL4" t="str">
        <v>1</v>
      </c>
      <c r="BM4" t="str">
        <v>1</v>
      </c>
      <c r="BN4" t="str">
        <v>1</v>
      </c>
      <c r="BO4" t="str">
        <v>H260819107345500</v>
      </c>
      <c r="BP4" t="str">
        <v>Salah Faqihi</v>
      </c>
      <c r="BQ4" t="str">
        <v/>
      </c>
      <c r="BR4" t="str">
        <v>CARATE URIO</v>
      </c>
      <c r="BS4" t="str">
        <v>STANDARD ONE-BEDROOM ROOM - 2</v>
      </c>
      <c r="BT4" s="41">
        <v>1162.76</v>
      </c>
      <c r="BU4">
        <v>0</v>
      </c>
      <c r="BV4">
        <v>0</v>
      </c>
      <c r="BW4" t="str">
        <v>0</v>
      </c>
      <c r="BX4">
        <v>1162.76</v>
      </c>
      <c r="BY4" s="38">
        <v>66.858699999999999</v>
      </c>
      <c r="BZ4" s="38">
        <v>1095.9013</v>
      </c>
      <c r="CA4" t="str">
        <v>SAR</v>
      </c>
      <c r="CB4" t="str">
        <v>H260819107345500_3360174</v>
      </c>
      <c r="CC4" t="s">
        <v>53</v>
      </c>
      <c r="CJ4" s="5"/>
      <c r="CK4" s="2"/>
      <c r="CL4" s="2"/>
      <c r="CM4" s="9"/>
    </row>
    <row r="5" spans="1:91" x14ac:dyDescent="0.3">
      <c r="A5" s="33">
        <v>46254</v>
      </c>
      <c r="B5" s="32" t="s">
        <v>196</v>
      </c>
      <c r="C5" s="34">
        <v>53917</v>
      </c>
      <c r="D5" s="32"/>
      <c r="E5" s="32"/>
      <c r="F5" s="34">
        <v>360</v>
      </c>
      <c r="G5" s="32" t="s">
        <v>197</v>
      </c>
      <c r="H5" s="32" t="s">
        <v>178</v>
      </c>
      <c r="I5" s="32" t="s">
        <v>162</v>
      </c>
      <c r="J5" s="32" t="s">
        <v>160</v>
      </c>
      <c r="K5" s="32" t="s">
        <v>160</v>
      </c>
      <c r="L5" s="32" t="s">
        <v>160</v>
      </c>
      <c r="M5" s="32" t="s">
        <v>160</v>
      </c>
      <c r="N5" s="32" t="s">
        <v>173</v>
      </c>
      <c r="O5" s="32" t="s">
        <v>190</v>
      </c>
      <c r="P5" s="32" t="s">
        <v>198</v>
      </c>
      <c r="Q5" s="35">
        <v>754.27</v>
      </c>
      <c r="R5" s="32" t="s">
        <v>160</v>
      </c>
      <c r="S5" s="32" t="s">
        <v>160</v>
      </c>
      <c r="T5" s="32" t="s">
        <v>160</v>
      </c>
      <c r="U5" s="35">
        <v>0</v>
      </c>
      <c r="V5" s="35">
        <v>754.27</v>
      </c>
      <c r="W5" s="35">
        <v>754.27</v>
      </c>
      <c r="X5" s="32" t="s">
        <v>160</v>
      </c>
      <c r="Y5" s="32" t="s">
        <v>160</v>
      </c>
      <c r="Z5" s="35">
        <v>22.63</v>
      </c>
      <c r="AA5" s="32" t="s">
        <v>160</v>
      </c>
      <c r="AB5" s="35">
        <v>22.63</v>
      </c>
      <c r="AC5" s="32" t="s">
        <v>160</v>
      </c>
      <c r="AD5" s="35">
        <v>0</v>
      </c>
      <c r="AE5" s="35">
        <v>22.63</v>
      </c>
      <c r="AF5" s="35">
        <v>22.63</v>
      </c>
      <c r="AG5" s="35">
        <v>754.27</v>
      </c>
      <c r="AH5" s="32" t="s">
        <v>160</v>
      </c>
      <c r="AI5" s="35">
        <v>22.63</v>
      </c>
      <c r="AJ5" s="32" t="s">
        <v>160</v>
      </c>
      <c r="AK5" s="32" t="s">
        <v>160</v>
      </c>
      <c r="AL5" s="35">
        <v>731.64</v>
      </c>
      <c r="AM5" t="b">
        <f t="shared" si="0"/>
        <v>1</v>
      </c>
      <c r="AN5" s="40">
        <f t="shared" si="2"/>
        <v>3.0002518991872937E-2</v>
      </c>
      <c r="AO5" s="40">
        <f t="shared" si="1"/>
        <v>3.4500000000000003E-2</v>
      </c>
      <c r="AP5" s="40">
        <f t="shared" si="3"/>
        <v>-4.4974810081270661E-3</v>
      </c>
      <c r="AQ5" s="38">
        <f t="shared" si="4"/>
        <v>26.022315000000003</v>
      </c>
      <c r="AR5" s="43">
        <f t="shared" si="5"/>
        <v>728.24768499999993</v>
      </c>
      <c r="AS5" t="str" cm="1">
        <f t="array" ref="AS5:CB5">_xlfn.XLOOKUP(G5,'Vedor Report'!AK:AK,'Vedor Report'!A:AJ, "NA",0)</f>
        <v>2012559</v>
      </c>
      <c r="AT5" t="str">
        <v>INT</v>
      </c>
      <c r="AU5" t="str">
        <v>Qtoon Raqamya Trading Company</v>
      </c>
      <c r="AV5" t="str">
        <v>2500054677</v>
      </c>
      <c r="AW5" t="str">
        <v>000001</v>
      </c>
      <c r="AX5" t="str">
        <v>Invoice</v>
      </c>
      <c r="AY5" s="36">
        <v>46254</v>
      </c>
      <c r="AZ5" t="str">
        <v>A</v>
      </c>
      <c r="BA5" t="str">
        <v>XY</v>
      </c>
      <c r="BB5" t="str">
        <v/>
      </c>
      <c r="BC5" t="str">
        <v>E-Tckt-DS-ONL</v>
      </c>
      <c r="BD5" t="str">
        <v/>
      </c>
      <c r="BE5" t="str">
        <v/>
      </c>
      <c r="BF5" t="str">
        <v>QTOON RAQAMYA TRADING COMPANY</v>
      </c>
      <c r="BG5" t="str">
        <v/>
      </c>
      <c r="BH5" t="str">
        <v>GICBFE</v>
      </c>
      <c r="BI5">
        <v>46254</v>
      </c>
      <c r="BJ5" t="str">
        <v>08/30/2026</v>
      </c>
      <c r="BK5" t="str">
        <v>08/30/2026</v>
      </c>
      <c r="BL5" t="str">
        <v>1</v>
      </c>
      <c r="BM5" t="str">
        <v/>
      </c>
      <c r="BN5" t="str">
        <v/>
      </c>
      <c r="BO5" t="str">
        <v>000541488</v>
      </c>
      <c r="BP5" t="str">
        <v>Baharithah Meshari</v>
      </c>
      <c r="BQ5" t="str">
        <v>RUH-BJV</v>
      </c>
      <c r="BR5" t="str">
        <v/>
      </c>
      <c r="BS5" t="str">
        <v>ECONOMY</v>
      </c>
      <c r="BT5">
        <v>754.27</v>
      </c>
      <c r="BU5">
        <v>0</v>
      </c>
      <c r="BV5">
        <v>0</v>
      </c>
      <c r="BW5" t="str">
        <v>0</v>
      </c>
      <c r="BX5">
        <v>754.27</v>
      </c>
      <c r="BY5" s="38">
        <v>26.022314999999999</v>
      </c>
      <c r="BZ5" s="38">
        <v>728.24768499999993</v>
      </c>
      <c r="CA5" t="str">
        <v>SAR</v>
      </c>
      <c r="CB5" t="str">
        <v>A26082095495500_8209175</v>
      </c>
      <c r="CC5" t="s">
        <v>197</v>
      </c>
      <c r="CJ5" s="5"/>
      <c r="CK5" s="2"/>
      <c r="CL5" s="2"/>
      <c r="CM5" s="9"/>
    </row>
    <row r="6" spans="1:91" x14ac:dyDescent="0.3">
      <c r="A6" s="33">
        <v>46251</v>
      </c>
      <c r="B6" s="32" t="s">
        <v>218</v>
      </c>
      <c r="C6" s="34">
        <v>54062</v>
      </c>
      <c r="D6" s="32"/>
      <c r="E6" s="32"/>
      <c r="F6" s="34">
        <v>344</v>
      </c>
      <c r="G6" s="32" t="s">
        <v>219</v>
      </c>
      <c r="H6" s="32" t="s">
        <v>178</v>
      </c>
      <c r="I6" s="32" t="s">
        <v>162</v>
      </c>
      <c r="J6" s="32" t="s">
        <v>160</v>
      </c>
      <c r="K6" s="32" t="s">
        <v>160</v>
      </c>
      <c r="L6" s="32" t="s">
        <v>160</v>
      </c>
      <c r="M6" s="32" t="s">
        <v>220</v>
      </c>
      <c r="N6" s="32" t="s">
        <v>173</v>
      </c>
      <c r="O6" s="32" t="s">
        <v>190</v>
      </c>
      <c r="P6" s="32" t="s">
        <v>175</v>
      </c>
      <c r="Q6" s="35">
        <v>442.04</v>
      </c>
      <c r="R6" s="32" t="s">
        <v>160</v>
      </c>
      <c r="S6" s="32" t="s">
        <v>160</v>
      </c>
      <c r="T6" s="32" t="s">
        <v>160</v>
      </c>
      <c r="U6" s="35">
        <v>57.66</v>
      </c>
      <c r="V6" s="35">
        <v>442.04</v>
      </c>
      <c r="W6" s="35">
        <v>442.04</v>
      </c>
      <c r="X6" s="32" t="s">
        <v>160</v>
      </c>
      <c r="Y6" s="32" t="s">
        <v>160</v>
      </c>
      <c r="Z6" s="35">
        <v>13.26</v>
      </c>
      <c r="AA6" s="32" t="s">
        <v>160</v>
      </c>
      <c r="AB6" s="35">
        <v>13.26</v>
      </c>
      <c r="AC6" s="32" t="s">
        <v>160</v>
      </c>
      <c r="AD6" s="35">
        <v>0</v>
      </c>
      <c r="AE6" s="35">
        <v>13.26</v>
      </c>
      <c r="AF6" s="35">
        <v>13.26</v>
      </c>
      <c r="AG6" s="32" t="s">
        <v>160</v>
      </c>
      <c r="AH6" s="35">
        <v>442.04</v>
      </c>
      <c r="AI6" s="35">
        <v>13.26</v>
      </c>
      <c r="AJ6" s="32" t="s">
        <v>160</v>
      </c>
      <c r="AK6" s="32" t="s">
        <v>160</v>
      </c>
      <c r="AL6" s="35">
        <v>428.78</v>
      </c>
      <c r="AM6" t="b">
        <f t="shared" si="0"/>
        <v>1</v>
      </c>
      <c r="AN6" s="40">
        <f t="shared" si="2"/>
        <v>2.9997285313546285E-2</v>
      </c>
      <c r="AO6" s="40">
        <f t="shared" si="1"/>
        <v>2.9999796398515965E-2</v>
      </c>
      <c r="AP6" s="40">
        <f t="shared" si="3"/>
        <v>-2.5110849696807769E-6</v>
      </c>
      <c r="AQ6" s="38">
        <f t="shared" si="4"/>
        <v>13.261109999999999</v>
      </c>
      <c r="AR6" s="43">
        <f t="shared" si="5"/>
        <v>428.77889000000005</v>
      </c>
      <c r="AS6" t="str" cm="1">
        <f t="array" ref="AS6:CB6">_xlfn.XLOOKUP(G6,'Vedor Report'!AK:AK,'Vedor Report'!A:AJ, "NA",0)</f>
        <v>2012559</v>
      </c>
      <c r="AT6" t="str">
        <v>DOM</v>
      </c>
      <c r="AU6" t="str">
        <v>Qtoon Raqamya Trading Company</v>
      </c>
      <c r="AV6" t="str">
        <v>2500054676</v>
      </c>
      <c r="AW6" t="str">
        <v>000001</v>
      </c>
      <c r="AX6" t="str">
        <v>Invoice</v>
      </c>
      <c r="AY6" s="36">
        <v>46251</v>
      </c>
      <c r="AZ6" t="str">
        <v>A</v>
      </c>
      <c r="BA6" t="str">
        <v>F3</v>
      </c>
      <c r="BB6" t="str">
        <v/>
      </c>
      <c r="BC6" t="str">
        <v>E-Tckt-DS-ONL</v>
      </c>
      <c r="BD6" t="str">
        <v/>
      </c>
      <c r="BE6" t="str">
        <v/>
      </c>
      <c r="BF6" t="str">
        <v>QTOON RAQAMYA TRADING COMPANY</v>
      </c>
      <c r="BG6" t="str">
        <v/>
      </c>
      <c r="BH6" t="str">
        <v>W6S2MS</v>
      </c>
      <c r="BI6">
        <v>46251</v>
      </c>
      <c r="BJ6" t="str">
        <v>08/23/2026</v>
      </c>
      <c r="BK6" t="str">
        <v>08/23/2026</v>
      </c>
      <c r="BL6" t="str">
        <v>1</v>
      </c>
      <c r="BM6" t="str">
        <v/>
      </c>
      <c r="BN6" t="str">
        <v/>
      </c>
      <c r="BO6" t="str">
        <v>000539882</v>
      </c>
      <c r="BP6" t="str">
        <v>MR Abdullah Aloufi</v>
      </c>
      <c r="BQ6" t="str">
        <v>AHB-JED</v>
      </c>
      <c r="BR6" t="str">
        <v/>
      </c>
      <c r="BS6" t="str">
        <v>ECONOMY</v>
      </c>
      <c r="BT6">
        <v>384.38</v>
      </c>
      <c r="BU6">
        <v>15</v>
      </c>
      <c r="BV6">
        <v>57.66</v>
      </c>
      <c r="BW6" t="str">
        <v>0</v>
      </c>
      <c r="BX6">
        <v>442.04</v>
      </c>
      <c r="BY6" s="38">
        <v>13.261109999999999</v>
      </c>
      <c r="BZ6" s="38">
        <v>428.77889000000005</v>
      </c>
      <c r="CA6" t="str">
        <v>SAR</v>
      </c>
      <c r="CB6" t="str">
        <v>A260817163765500_865574</v>
      </c>
      <c r="CC6" t="s">
        <v>219</v>
      </c>
      <c r="CJ6" s="5"/>
      <c r="CK6" s="2"/>
      <c r="CL6" s="2"/>
      <c r="CM6" s="9"/>
    </row>
    <row r="7" spans="1:91" x14ac:dyDescent="0.3">
      <c r="A7" s="33">
        <v>46251</v>
      </c>
      <c r="B7" s="32" t="s">
        <v>222</v>
      </c>
      <c r="C7" s="34">
        <v>22</v>
      </c>
      <c r="D7" s="32" t="s">
        <v>223</v>
      </c>
      <c r="E7" s="32"/>
      <c r="F7" s="34">
        <v>342</v>
      </c>
      <c r="G7" s="32" t="s">
        <v>224</v>
      </c>
      <c r="H7" s="32" t="s">
        <v>178</v>
      </c>
      <c r="I7" s="32" t="s">
        <v>162</v>
      </c>
      <c r="J7" s="32" t="s">
        <v>160</v>
      </c>
      <c r="K7" s="32" t="s">
        <v>160</v>
      </c>
      <c r="L7" s="32" t="s">
        <v>160</v>
      </c>
      <c r="M7" s="32" t="s">
        <v>225</v>
      </c>
      <c r="N7" s="32" t="s">
        <v>173</v>
      </c>
      <c r="O7" s="32" t="s">
        <v>190</v>
      </c>
      <c r="P7" s="32" t="s">
        <v>226</v>
      </c>
      <c r="Q7" s="35">
        <v>1324.08</v>
      </c>
      <c r="R7" s="32" t="s">
        <v>160</v>
      </c>
      <c r="S7" s="32" t="s">
        <v>160</v>
      </c>
      <c r="T7" s="32" t="s">
        <v>160</v>
      </c>
      <c r="U7" s="35">
        <v>0</v>
      </c>
      <c r="V7" s="35">
        <v>1324.08</v>
      </c>
      <c r="W7" s="35">
        <v>1324.08</v>
      </c>
      <c r="X7" s="32" t="s">
        <v>160</v>
      </c>
      <c r="Y7" s="32" t="s">
        <v>160</v>
      </c>
      <c r="Z7" s="35">
        <v>39.72</v>
      </c>
      <c r="AA7" s="32" t="s">
        <v>160</v>
      </c>
      <c r="AB7" s="35">
        <v>39.72</v>
      </c>
      <c r="AC7" s="32" t="s">
        <v>160</v>
      </c>
      <c r="AD7" s="35">
        <v>0</v>
      </c>
      <c r="AE7" s="35">
        <v>39.72</v>
      </c>
      <c r="AF7" s="35">
        <v>39.72</v>
      </c>
      <c r="AG7" s="34">
        <v>30</v>
      </c>
      <c r="AH7" s="35">
        <v>1294.08</v>
      </c>
      <c r="AI7" s="35">
        <v>39.72</v>
      </c>
      <c r="AJ7" s="32" t="s">
        <v>160</v>
      </c>
      <c r="AK7" s="32" t="s">
        <v>160</v>
      </c>
      <c r="AL7" s="35">
        <v>1284.3599999999999</v>
      </c>
      <c r="AM7" t="b">
        <f t="shared" si="0"/>
        <v>1</v>
      </c>
      <c r="AN7" s="40">
        <f t="shared" si="2"/>
        <v>2.9998187420699655E-2</v>
      </c>
      <c r="AO7" s="40">
        <f t="shared" si="1"/>
        <v>3.4499999999999996E-2</v>
      </c>
      <c r="AP7" s="40">
        <f t="shared" si="3"/>
        <v>-4.5018125793003412E-3</v>
      </c>
      <c r="AQ7" s="38">
        <f t="shared" si="4"/>
        <v>45.680759999999992</v>
      </c>
      <c r="AR7" s="43">
        <f t="shared" si="5"/>
        <v>1278.39924</v>
      </c>
      <c r="AS7" t="str" cm="1">
        <f t="array" ref="AS7:CB7">_xlfn.XLOOKUP(G7,'Vedor Report'!AK:AK,'Vedor Report'!A:AJ, "NA",0)</f>
        <v>2012559</v>
      </c>
      <c r="AT7" t="str">
        <v>INT</v>
      </c>
      <c r="AU7" t="str">
        <v>Qtoon Raqamya Trading Company</v>
      </c>
      <c r="AV7" t="str">
        <v>2500054633</v>
      </c>
      <c r="AW7" t="str">
        <v>000001</v>
      </c>
      <c r="AX7" t="str">
        <v>Invoice</v>
      </c>
      <c r="AY7" s="36">
        <v>46251</v>
      </c>
      <c r="AZ7" t="str">
        <v>A</v>
      </c>
      <c r="BA7" t="str">
        <v>RJ</v>
      </c>
      <c r="BB7" t="str">
        <v>4861440457</v>
      </c>
      <c r="BC7" t="str">
        <v>E-Tckt-DS-ONL</v>
      </c>
      <c r="BD7" t="str">
        <v/>
      </c>
      <c r="BE7" t="str">
        <v/>
      </c>
      <c r="BF7" t="str">
        <v>QTOON RAQAMYA TRADING COMPANY</v>
      </c>
      <c r="BG7" t="str">
        <v/>
      </c>
      <c r="BH7" t="str">
        <v>7IDXN4</v>
      </c>
      <c r="BI7">
        <v>46251</v>
      </c>
      <c r="BJ7" t="str">
        <v>08/17/2026</v>
      </c>
      <c r="BK7" t="str">
        <v>08/17/2026</v>
      </c>
      <c r="BL7" t="str">
        <v>1</v>
      </c>
      <c r="BM7" t="str">
        <v/>
      </c>
      <c r="BN7" t="str">
        <v/>
      </c>
      <c r="BO7" t="str">
        <v>000539591</v>
      </c>
      <c r="BP7" t="str">
        <v>HUSAIN ALI</v>
      </c>
      <c r="BQ7" t="str">
        <v>AMM-DMM</v>
      </c>
      <c r="BR7" t="str">
        <v/>
      </c>
      <c r="BS7" t="str">
        <v>Q</v>
      </c>
      <c r="BT7">
        <v>1324.08</v>
      </c>
      <c r="BU7">
        <v>0</v>
      </c>
      <c r="BV7">
        <v>0</v>
      </c>
      <c r="BW7" t="str">
        <v>0</v>
      </c>
      <c r="BX7">
        <v>1324.08</v>
      </c>
      <c r="BY7" s="38">
        <v>45.680759999999992</v>
      </c>
      <c r="BZ7" s="38">
        <v>1278.39924</v>
      </c>
      <c r="CA7" t="str">
        <v>SAR</v>
      </c>
      <c r="CB7" t="str">
        <v>A26081760435500_4482019</v>
      </c>
      <c r="CC7" t="s">
        <v>224</v>
      </c>
      <c r="CJ7" s="5"/>
      <c r="CK7" s="2"/>
      <c r="CL7" s="2"/>
      <c r="CM7" s="9"/>
    </row>
    <row r="8" spans="1:91" x14ac:dyDescent="0.3">
      <c r="A8" s="36">
        <v>46247</v>
      </c>
      <c r="B8" t="s">
        <v>230</v>
      </c>
      <c r="C8" s="37">
        <v>8003</v>
      </c>
      <c r="D8" t="s">
        <v>201</v>
      </c>
      <c r="F8" s="37">
        <v>300</v>
      </c>
      <c r="G8" t="s">
        <v>229</v>
      </c>
      <c r="H8" t="s">
        <v>178</v>
      </c>
      <c r="I8" t="s">
        <v>162</v>
      </c>
      <c r="J8" t="s">
        <v>160</v>
      </c>
      <c r="K8" t="s">
        <v>160</v>
      </c>
      <c r="L8" t="s">
        <v>160</v>
      </c>
      <c r="M8" t="s">
        <v>231</v>
      </c>
      <c r="N8" t="s">
        <v>173</v>
      </c>
      <c r="O8" t="s">
        <v>190</v>
      </c>
      <c r="P8" t="s">
        <v>226</v>
      </c>
      <c r="Q8" s="38">
        <v>958.79</v>
      </c>
      <c r="R8" t="s">
        <v>160</v>
      </c>
      <c r="S8" t="s">
        <v>160</v>
      </c>
      <c r="T8" t="s">
        <v>160</v>
      </c>
      <c r="U8" s="38">
        <v>0</v>
      </c>
      <c r="V8" s="38">
        <v>958.79</v>
      </c>
      <c r="W8" s="38">
        <v>958.79</v>
      </c>
      <c r="X8" t="s">
        <v>160</v>
      </c>
      <c r="Y8" t="s">
        <v>160</v>
      </c>
      <c r="Z8" s="38">
        <v>28.76</v>
      </c>
      <c r="AA8" t="s">
        <v>160</v>
      </c>
      <c r="AB8" s="38">
        <v>28.76</v>
      </c>
      <c r="AC8" t="s">
        <v>160</v>
      </c>
      <c r="AD8" s="38">
        <v>0</v>
      </c>
      <c r="AE8" s="38">
        <v>28.76</v>
      </c>
      <c r="AF8" s="38">
        <v>28.76</v>
      </c>
      <c r="AG8" s="38">
        <v>477.15</v>
      </c>
      <c r="AH8" s="38">
        <v>481.64</v>
      </c>
      <c r="AI8" s="38">
        <v>28.76</v>
      </c>
      <c r="AJ8" t="s">
        <v>160</v>
      </c>
      <c r="AK8" t="s">
        <v>160</v>
      </c>
      <c r="AL8" s="38">
        <v>930.03</v>
      </c>
      <c r="AM8" t="b">
        <f t="shared" si="0"/>
        <v>1</v>
      </c>
      <c r="AN8" s="40">
        <f t="shared" si="2"/>
        <v>2.9996140969346784E-2</v>
      </c>
      <c r="AO8" s="40">
        <f t="shared" si="1"/>
        <v>3.4499999999999996E-2</v>
      </c>
      <c r="AP8" s="40">
        <f t="shared" si="3"/>
        <v>-4.5038590306532116E-3</v>
      </c>
      <c r="AQ8" s="38">
        <f t="shared" si="4"/>
        <v>33.078254999999992</v>
      </c>
      <c r="AR8" s="43">
        <f t="shared" si="5"/>
        <v>925.71174499999995</v>
      </c>
      <c r="AS8" t="str" cm="1">
        <f t="array" ref="AS8:CB8">_xlfn.XLOOKUP(G8,'Vedor Report'!AK:AK,'Vedor Report'!A:AJ, "NA",0)</f>
        <v>2012559</v>
      </c>
      <c r="AT8" t="str">
        <v>INT</v>
      </c>
      <c r="AU8" t="str">
        <v>Qtoon Raqamya Trading Company</v>
      </c>
      <c r="AV8" t="str">
        <v>2500054717</v>
      </c>
      <c r="AW8" t="str">
        <v>000001</v>
      </c>
      <c r="AX8" t="str">
        <v>Invoice</v>
      </c>
      <c r="AY8" s="36">
        <v>46256</v>
      </c>
      <c r="AZ8" t="str">
        <v>A</v>
      </c>
      <c r="BA8" t="str">
        <v>FZ</v>
      </c>
      <c r="BB8" t="str">
        <v/>
      </c>
      <c r="BC8" t="str">
        <v>E-Tckt-DS-ONL</v>
      </c>
      <c r="BD8" t="str">
        <v/>
      </c>
      <c r="BE8" t="str">
        <v/>
      </c>
      <c r="BF8" t="str">
        <v>QTOON RAQAMYA TRADING COMPANY</v>
      </c>
      <c r="BG8" t="str">
        <v/>
      </c>
      <c r="BH8" t="str">
        <v>7IGW84</v>
      </c>
      <c r="BI8">
        <v>46247</v>
      </c>
      <c r="BJ8" t="str">
        <v>08/14/2026</v>
      </c>
      <c r="BK8" t="str">
        <v>08/14/2026</v>
      </c>
      <c r="BL8" t="str">
        <v>1</v>
      </c>
      <c r="BM8" t="str">
        <v/>
      </c>
      <c r="BN8" t="str">
        <v/>
      </c>
      <c r="BO8" t="str">
        <v>000537832</v>
      </c>
      <c r="BP8" t="str">
        <v>MAHENDRA ASARPOTA</v>
      </c>
      <c r="BQ8" t="str">
        <v>RUH-DXB</v>
      </c>
      <c r="BR8" t="str">
        <v/>
      </c>
      <c r="BS8" t="str">
        <v>ECONOMY</v>
      </c>
      <c r="BT8">
        <v>481.38</v>
      </c>
      <c r="BU8">
        <v>0</v>
      </c>
      <c r="BV8">
        <v>0</v>
      </c>
      <c r="BW8" t="str">
        <v>0</v>
      </c>
      <c r="BX8">
        <v>481.38</v>
      </c>
      <c r="BY8" s="38">
        <v>16.607609999999998</v>
      </c>
      <c r="BZ8" s="38">
        <v>464.77238999999997</v>
      </c>
      <c r="CA8" t="str">
        <v>SAR</v>
      </c>
      <c r="CB8" t="str">
        <v>A260813120395500_5944762</v>
      </c>
      <c r="CC8" t="s">
        <v>229</v>
      </c>
      <c r="CJ8" s="5"/>
      <c r="CK8" s="2"/>
      <c r="CL8" s="2"/>
      <c r="CM8" s="9"/>
    </row>
    <row r="9" spans="1:91" x14ac:dyDescent="0.3">
      <c r="A9" s="36">
        <v>46247</v>
      </c>
      <c r="B9" t="s">
        <v>230</v>
      </c>
      <c r="C9" s="37">
        <v>8003</v>
      </c>
      <c r="D9" t="s">
        <v>201</v>
      </c>
      <c r="F9" s="37">
        <v>299</v>
      </c>
      <c r="G9" t="s">
        <v>239</v>
      </c>
      <c r="Q9" s="38"/>
      <c r="U9" s="38"/>
      <c r="V9" s="38"/>
      <c r="W9" s="38"/>
      <c r="Z9" s="38"/>
      <c r="AB9" s="38"/>
      <c r="AD9" s="38"/>
      <c r="AE9" s="38"/>
      <c r="AF9" s="38"/>
      <c r="AG9" s="38"/>
      <c r="AH9" s="38"/>
      <c r="AI9" s="38"/>
      <c r="AL9" s="38"/>
      <c r="AM9" t="s">
        <v>233</v>
      </c>
      <c r="AO9" s="39"/>
      <c r="AR9" s="44"/>
      <c r="AS9" t="str" cm="1">
        <f t="array" ref="AS9:CB9">_xlfn.XLOOKUP(G9,'Vedor Report'!AK:AK,'Vedor Report'!A:AJ, "NA",0)</f>
        <v>2012559</v>
      </c>
      <c r="AT9" t="str">
        <v>INT</v>
      </c>
      <c r="AU9" t="str">
        <v>Qtoon Raqamya Trading Company</v>
      </c>
      <c r="AV9" t="str">
        <v>2500054717</v>
      </c>
      <c r="AW9" t="str">
        <v>000002</v>
      </c>
      <c r="AX9" t="str">
        <v>Invoice</v>
      </c>
      <c r="AY9" s="36">
        <v>46256</v>
      </c>
      <c r="AZ9" t="str">
        <v>A</v>
      </c>
      <c r="BA9" t="str">
        <v>XY</v>
      </c>
      <c r="BB9" t="str">
        <v/>
      </c>
      <c r="BC9" t="str">
        <v>E-Tckt-DS-ONL</v>
      </c>
      <c r="BD9" t="str">
        <v/>
      </c>
      <c r="BE9" t="str">
        <v/>
      </c>
      <c r="BF9" t="str">
        <v>QTOON RAQAMYA TRADING COMPANY</v>
      </c>
      <c r="BG9" t="str">
        <v/>
      </c>
      <c r="BH9" t="str">
        <v>J7G92V</v>
      </c>
      <c r="BI9">
        <v>46247</v>
      </c>
      <c r="BJ9" t="str">
        <v>08/17/2026</v>
      </c>
      <c r="BK9" t="str">
        <v>08/17/2026</v>
      </c>
      <c r="BL9" t="str">
        <v>1</v>
      </c>
      <c r="BM9" t="str">
        <v/>
      </c>
      <c r="BN9" t="str">
        <v/>
      </c>
      <c r="BO9" t="str">
        <v>000537832</v>
      </c>
      <c r="BP9" t="str">
        <v>Asarpota Mahendra</v>
      </c>
      <c r="BQ9" t="str">
        <v>DXB-RUH</v>
      </c>
      <c r="BR9" t="str">
        <v/>
      </c>
      <c r="BS9" t="str">
        <v>ECONOMY</v>
      </c>
      <c r="BT9">
        <v>477.41</v>
      </c>
      <c r="BU9">
        <v>0</v>
      </c>
      <c r="BV9">
        <v>0</v>
      </c>
      <c r="BW9" t="str">
        <v>0</v>
      </c>
      <c r="BX9">
        <v>477.41</v>
      </c>
      <c r="BY9" s="38">
        <v>16.470644999999998</v>
      </c>
      <c r="BZ9" s="38">
        <v>460.93935500000003</v>
      </c>
      <c r="CA9" t="str">
        <v>SAR</v>
      </c>
      <c r="CB9" t="str">
        <v>A260813120395500_5944762</v>
      </c>
      <c r="CC9" t="s">
        <v>239</v>
      </c>
      <c r="CJ9" s="5"/>
      <c r="CK9" s="2"/>
      <c r="CL9" s="2"/>
      <c r="CM9" s="9"/>
    </row>
    <row r="10" spans="1:91" ht="40.950000000000003" customHeight="1" x14ac:dyDescent="0.3">
      <c r="AL10" s="38"/>
      <c r="AR10" s="45">
        <f>SUM(AR2:AR9)</f>
        <v>6728.9632999999994</v>
      </c>
      <c r="BY10" s="38"/>
      <c r="BZ10" s="38"/>
    </row>
    <row r="11" spans="1:91" x14ac:dyDescent="0.3">
      <c r="BC11" s="2"/>
      <c r="BD11" s="2"/>
      <c r="BE11" s="9"/>
      <c r="BW11" t="s">
        <v>245</v>
      </c>
      <c r="BX11" t="s">
        <v>246</v>
      </c>
      <c r="BY11" t="s">
        <v>236</v>
      </c>
      <c r="BZ11" s="46">
        <f>SUM(BZ2:BZ9)</f>
        <v>6729.9623500000007</v>
      </c>
    </row>
    <row r="12" spans="1:91" x14ac:dyDescent="0.3">
      <c r="AS12" s="47"/>
      <c r="AT12" s="47"/>
      <c r="BC12" s="2"/>
      <c r="BD12" s="2"/>
      <c r="BE12" s="9"/>
      <c r="BV12" t="s">
        <v>53</v>
      </c>
      <c r="BW12" s="38">
        <f>+W4</f>
        <v>1161.7</v>
      </c>
      <c r="BX12">
        <f>+BT4</f>
        <v>1162.76</v>
      </c>
      <c r="BZ12" s="38">
        <f>+BW12-BX12</f>
        <v>-1.0599999999999454</v>
      </c>
    </row>
    <row r="13" spans="1:91" x14ac:dyDescent="0.3">
      <c r="AS13" s="38"/>
      <c r="BC13" s="2"/>
      <c r="BD13" s="2"/>
      <c r="BE13" s="9"/>
      <c r="BZ13" s="38">
        <f>+BZ11+BZ12</f>
        <v>6728.9023500000003</v>
      </c>
    </row>
    <row r="14" spans="1:91" x14ac:dyDescent="0.3">
      <c r="AS14" s="38"/>
      <c r="BC14" s="2"/>
      <c r="BD14" s="2"/>
      <c r="BE14" s="9"/>
    </row>
    <row r="15" spans="1:91" x14ac:dyDescent="0.3">
      <c r="BC15" s="2"/>
      <c r="BD15" s="2"/>
      <c r="BE15" s="9"/>
    </row>
    <row r="16" spans="1:91" x14ac:dyDescent="0.3">
      <c r="AP16">
        <v>6984.1</v>
      </c>
      <c r="AQ16">
        <v>255.14</v>
      </c>
      <c r="AR16">
        <f>+AP16-AQ16</f>
        <v>6728.96</v>
      </c>
      <c r="BC16" s="2"/>
      <c r="BD16" s="2"/>
      <c r="BE16" s="9"/>
    </row>
    <row r="17" spans="42:57" x14ac:dyDescent="0.3">
      <c r="BC17" s="2"/>
      <c r="BD17" s="2"/>
      <c r="BE17" s="9"/>
    </row>
    <row r="18" spans="42:57" x14ac:dyDescent="0.3">
      <c r="BC18" s="2"/>
      <c r="BD18" s="2"/>
      <c r="BE18" s="9"/>
    </row>
    <row r="19" spans="42:57" x14ac:dyDescent="0.3">
      <c r="BE19" s="9"/>
    </row>
    <row r="21" spans="42:57" x14ac:dyDescent="0.3">
      <c r="AP21" t="s">
        <v>240</v>
      </c>
      <c r="AQ21" s="48" t="s">
        <v>243</v>
      </c>
      <c r="AR21" s="48" t="s">
        <v>244</v>
      </c>
      <c r="AS21" t="s">
        <v>247</v>
      </c>
    </row>
    <row r="22" spans="42:57" x14ac:dyDescent="0.3">
      <c r="AP22" t="s">
        <v>241</v>
      </c>
      <c r="AQ22" s="38">
        <v>9032.5690150000009</v>
      </c>
      <c r="AR22" s="38">
        <v>9036.2070650000023</v>
      </c>
      <c r="AS22" s="38">
        <f>+AQ22-AR22</f>
        <v>-3.6380500000013853</v>
      </c>
    </row>
    <row r="23" spans="42:57" x14ac:dyDescent="0.3">
      <c r="AP23" t="s">
        <v>242</v>
      </c>
      <c r="AQ23" s="38">
        <f>+AR10</f>
        <v>6728.9632999999994</v>
      </c>
      <c r="AR23" s="38">
        <v>6729.9623499999998</v>
      </c>
      <c r="AS23" s="38">
        <f>+AQ23-AR23</f>
        <v>-0.99905000000035216</v>
      </c>
    </row>
    <row r="24" spans="42:57" ht="24.45" customHeight="1" x14ac:dyDescent="0.3">
      <c r="AQ24" s="46">
        <f>+AQ22+AQ23</f>
        <v>15761.532315</v>
      </c>
      <c r="AR24" s="46">
        <f>SUM(AR22:AR23)</f>
        <v>15766.169415000002</v>
      </c>
      <c r="AS24" s="38">
        <f>+AQ24-AR24</f>
        <v>-4.6371000000017375</v>
      </c>
    </row>
    <row r="26" spans="42:57" x14ac:dyDescent="0.3">
      <c r="AP26" t="s">
        <v>241</v>
      </c>
      <c r="AQ26" t="s">
        <v>161</v>
      </c>
      <c r="AR26">
        <v>116.5</v>
      </c>
      <c r="AS26" s="38">
        <f>+AR26/1.15</f>
        <v>101.30434782608697</v>
      </c>
    </row>
    <row r="27" spans="42:57" x14ac:dyDescent="0.3">
      <c r="AQ27" t="s">
        <v>248</v>
      </c>
      <c r="AR27">
        <v>248.76</v>
      </c>
      <c r="AS27" s="38">
        <f>+AR27/1.15</f>
        <v>216.31304347826088</v>
      </c>
      <c r="AT27" s="38"/>
    </row>
    <row r="28" spans="42:57" x14ac:dyDescent="0.3">
      <c r="AP28" t="s">
        <v>242</v>
      </c>
      <c r="AQ28" t="s">
        <v>161</v>
      </c>
      <c r="AR28">
        <v>66.8</v>
      </c>
      <c r="AS28" s="38">
        <f>+AR28/1.15</f>
        <v>58.086956521739133</v>
      </c>
    </row>
    <row r="29" spans="42:57" x14ac:dyDescent="0.3">
      <c r="AQ29" t="s">
        <v>248</v>
      </c>
      <c r="AR29">
        <v>188.34</v>
      </c>
      <c r="AS29" s="38">
        <f>+AR29/1.15</f>
        <v>163.77391304347827</v>
      </c>
    </row>
    <row r="30" spans="42:57" ht="15.6" x14ac:dyDescent="0.3">
      <c r="AP30" s="49"/>
      <c r="AR30">
        <f>SUM(AR26:AR29)</f>
        <v>620.4</v>
      </c>
      <c r="AS30" s="38">
        <f>SUM(AS26:AS29)</f>
        <v>539.47826086956525</v>
      </c>
    </row>
    <row r="34" spans="20:47" x14ac:dyDescent="0.3">
      <c r="T34">
        <v>935.12</v>
      </c>
      <c r="U34">
        <v>935.12</v>
      </c>
      <c r="V34" s="39">
        <f>+T34-U34</f>
        <v>0</v>
      </c>
    </row>
    <row r="35" spans="20:47" x14ac:dyDescent="0.3">
      <c r="T35">
        <v>1408.1</v>
      </c>
      <c r="U35">
        <v>1408.1</v>
      </c>
      <c r="V35" s="39">
        <f t="shared" ref="V35:V39" si="6">+T35-U35</f>
        <v>0</v>
      </c>
    </row>
    <row r="36" spans="20:47" x14ac:dyDescent="0.3">
      <c r="T36">
        <v>1161.7</v>
      </c>
      <c r="U36">
        <v>1162.76</v>
      </c>
      <c r="V36" s="39">
        <f t="shared" si="6"/>
        <v>-1.0599999999999454</v>
      </c>
    </row>
    <row r="37" spans="20:47" x14ac:dyDescent="0.3">
      <c r="T37">
        <v>754.27</v>
      </c>
      <c r="U37">
        <v>754.27</v>
      </c>
      <c r="V37" s="39">
        <f t="shared" si="6"/>
        <v>0</v>
      </c>
    </row>
    <row r="38" spans="20:47" x14ac:dyDescent="0.3">
      <c r="T38">
        <v>442.04</v>
      </c>
      <c r="U38">
        <v>442.04</v>
      </c>
      <c r="V38" s="39">
        <f t="shared" si="6"/>
        <v>0</v>
      </c>
    </row>
    <row r="39" spans="20:47" x14ac:dyDescent="0.3">
      <c r="T39">
        <v>1324.08</v>
      </c>
      <c r="U39">
        <v>1324.08</v>
      </c>
      <c r="V39" s="39">
        <f t="shared" si="6"/>
        <v>0</v>
      </c>
      <c r="AT39">
        <v>-66.819999999999993</v>
      </c>
      <c r="AU39">
        <f>+AT39/1.15</f>
        <v>-58.104347826086958</v>
      </c>
    </row>
    <row r="40" spans="20:47" x14ac:dyDescent="0.3">
      <c r="T40">
        <v>958.79</v>
      </c>
      <c r="U40">
        <v>481.38</v>
      </c>
      <c r="V40" s="39">
        <f>+T40-U40-U41</f>
        <v>0</v>
      </c>
    </row>
    <row r="41" spans="20:47" x14ac:dyDescent="0.3">
      <c r="U41">
        <v>477.41</v>
      </c>
    </row>
  </sheetData>
  <autoFilter ref="A1:CB1" xr:uid="{10C6BDE9-AFB0-497E-A86B-856E890BF571}">
    <sortState xmlns:xlrd2="http://schemas.microsoft.com/office/spreadsheetml/2017/richdata2" ref="A2:CB36">
      <sortCondition ref="AS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1B2F-9EF9-403A-AB9F-994FA0C86B2B}">
  <dimension ref="B7:O28"/>
  <sheetViews>
    <sheetView tabSelected="1" workbookViewId="0">
      <selection activeCell="B8" sqref="B8:O13"/>
    </sheetView>
  </sheetViews>
  <sheetFormatPr defaultRowHeight="14.4" x14ac:dyDescent="0.3"/>
  <cols>
    <col min="2" max="2" width="26.109375" customWidth="1"/>
    <col min="3" max="3" width="17.5546875" customWidth="1"/>
    <col min="4" max="4" width="12" customWidth="1"/>
    <col min="5" max="5" width="10.109375" customWidth="1"/>
    <col min="6" max="6" width="10.6640625" bestFit="1" customWidth="1"/>
    <col min="7" max="7" width="1.44140625" customWidth="1"/>
    <col min="8" max="8" width="28.6640625" customWidth="1"/>
    <col min="9" max="9" width="11.33203125" customWidth="1"/>
    <col min="10" max="10" width="11.6640625" customWidth="1"/>
    <col min="11" max="11" width="11.5546875" customWidth="1"/>
    <col min="12" max="12" width="1.6640625" customWidth="1"/>
    <col min="13" max="13" width="12.6640625" customWidth="1"/>
    <col min="14" max="14" width="11.44140625" customWidth="1"/>
    <col min="15" max="15" width="10.5546875" bestFit="1" customWidth="1"/>
  </cols>
  <sheetData>
    <row r="7" spans="2:15" ht="15" thickBot="1" x14ac:dyDescent="0.35"/>
    <row r="8" spans="2:15" ht="41.4" customHeight="1" x14ac:dyDescent="0.3">
      <c r="B8" s="60"/>
      <c r="C8" s="89" t="s">
        <v>260</v>
      </c>
      <c r="D8" s="89"/>
      <c r="E8" s="89"/>
      <c r="F8" s="90"/>
      <c r="G8" s="56"/>
      <c r="H8" s="57" t="s">
        <v>261</v>
      </c>
      <c r="I8" s="58"/>
      <c r="J8" s="58"/>
      <c r="K8" s="59"/>
      <c r="L8" s="56"/>
      <c r="M8" s="57" t="s">
        <v>262</v>
      </c>
      <c r="N8" s="58"/>
      <c r="O8" s="59"/>
    </row>
    <row r="9" spans="2:15" ht="45" customHeight="1" thickBot="1" x14ac:dyDescent="0.35">
      <c r="B9" s="61" t="s">
        <v>259</v>
      </c>
      <c r="C9" s="62" t="s">
        <v>109</v>
      </c>
      <c r="D9" s="62" t="s">
        <v>249</v>
      </c>
      <c r="E9" s="62" t="s">
        <v>250</v>
      </c>
      <c r="F9" s="63" t="s">
        <v>238</v>
      </c>
      <c r="G9" s="64"/>
      <c r="H9" s="65" t="s">
        <v>109</v>
      </c>
      <c r="I9" s="62" t="s">
        <v>249</v>
      </c>
      <c r="J9" s="62" t="s">
        <v>250</v>
      </c>
      <c r="K9" s="63" t="s">
        <v>238</v>
      </c>
      <c r="L9" s="64"/>
      <c r="M9" s="65" t="s">
        <v>249</v>
      </c>
      <c r="N9" s="62" t="s">
        <v>250</v>
      </c>
      <c r="O9" s="63" t="s">
        <v>238</v>
      </c>
    </row>
    <row r="10" spans="2:15" ht="18" customHeight="1" x14ac:dyDescent="0.3">
      <c r="B10" s="66" t="s">
        <v>251</v>
      </c>
      <c r="C10" s="67" t="s">
        <v>53</v>
      </c>
      <c r="D10" s="68">
        <v>1161.7</v>
      </c>
      <c r="E10" s="69">
        <f>+D10*0.0575</f>
        <v>66.797750000000008</v>
      </c>
      <c r="F10" s="70">
        <f>+D10-E10</f>
        <v>1094.9022500000001</v>
      </c>
      <c r="G10" s="71"/>
      <c r="H10" s="72" t="s">
        <v>57</v>
      </c>
      <c r="I10" s="73">
        <v>1162.76</v>
      </c>
      <c r="J10" s="73">
        <f>+I10*0.0575</f>
        <v>66.858699999999999</v>
      </c>
      <c r="K10" s="74">
        <f t="shared" ref="K10" si="0">I10-J10</f>
        <v>1095.9013</v>
      </c>
      <c r="L10" s="71"/>
      <c r="M10" s="75">
        <f>+D10-I10</f>
        <v>-1.0599999999999454</v>
      </c>
      <c r="N10" s="76">
        <f>+E10-J10</f>
        <v>-6.0949999999991178E-2</v>
      </c>
      <c r="O10" s="77">
        <f>+F10-K10</f>
        <v>-0.99904999999989741</v>
      </c>
    </row>
    <row r="11" spans="2:15" ht="18" customHeight="1" x14ac:dyDescent="0.3">
      <c r="B11" s="66" t="s">
        <v>253</v>
      </c>
      <c r="C11" s="78" t="s">
        <v>254</v>
      </c>
      <c r="D11" s="68">
        <v>758.31</v>
      </c>
      <c r="E11" s="69">
        <f>+D11*0.0575</f>
        <v>43.602824999999996</v>
      </c>
      <c r="F11" s="70">
        <f>+D11-E11</f>
        <v>714.70717500000001</v>
      </c>
      <c r="G11" s="71"/>
      <c r="H11" s="79" t="s">
        <v>252</v>
      </c>
      <c r="I11" s="69">
        <v>760.42</v>
      </c>
      <c r="J11" s="69">
        <v>43.724149999999995</v>
      </c>
      <c r="K11" s="70">
        <v>716.69584999999995</v>
      </c>
      <c r="L11" s="71"/>
      <c r="M11" s="75">
        <f>+D11-I11</f>
        <v>-2.1100000000000136</v>
      </c>
      <c r="N11" s="76">
        <f>+E11-J11</f>
        <v>-0.12132499999999879</v>
      </c>
      <c r="O11" s="77">
        <f>+F11-K11</f>
        <v>-1.9886749999999438</v>
      </c>
    </row>
    <row r="12" spans="2:15" ht="18" customHeight="1" thickBot="1" x14ac:dyDescent="0.35">
      <c r="B12" s="66" t="s">
        <v>253</v>
      </c>
      <c r="C12" s="78" t="s">
        <v>256</v>
      </c>
      <c r="D12" s="68">
        <v>604.44000000000005</v>
      </c>
      <c r="E12" s="69">
        <f>+D12*0.0575</f>
        <v>34.755300000000005</v>
      </c>
      <c r="F12" s="70">
        <f>+D12-E12</f>
        <v>569.68470000000002</v>
      </c>
      <c r="G12" s="71"/>
      <c r="H12" s="79" t="s">
        <v>255</v>
      </c>
      <c r="I12" s="80">
        <v>606.25</v>
      </c>
      <c r="J12" s="69">
        <f>+I12*0.0575</f>
        <v>34.859375</v>
      </c>
      <c r="K12" s="81">
        <f t="shared" ref="K12" si="1">I12-J12</f>
        <v>571.390625</v>
      </c>
      <c r="L12" s="71"/>
      <c r="M12" s="75">
        <f>+D12-I12</f>
        <v>-1.8099999999999454</v>
      </c>
      <c r="N12" s="76">
        <f>+E12-J12</f>
        <v>-0.10407499999999459</v>
      </c>
      <c r="O12" s="77">
        <f>+F12-K12</f>
        <v>-1.7059249999999793</v>
      </c>
    </row>
    <row r="13" spans="2:15" s="50" customFormat="1" ht="31.8" customHeight="1" thickBot="1" x14ac:dyDescent="0.35">
      <c r="B13" s="82"/>
      <c r="C13" s="83"/>
      <c r="D13" s="84">
        <f>SUM(D10:D12)</f>
        <v>2524.4499999999998</v>
      </c>
      <c r="E13" s="84">
        <f>SUM(E10:E12)</f>
        <v>145.15587500000001</v>
      </c>
      <c r="F13" s="85">
        <f>SUM(F10:F12)</f>
        <v>2379.2941250000003</v>
      </c>
      <c r="G13" s="86"/>
      <c r="H13" s="87"/>
      <c r="I13" s="84">
        <f>SUM(I10:I12)</f>
        <v>2529.4299999999998</v>
      </c>
      <c r="J13" s="84">
        <f>SUM(J10:J12)</f>
        <v>145.44222500000001</v>
      </c>
      <c r="K13" s="85">
        <f>SUM(K10:K12)</f>
        <v>2383.9877750000001</v>
      </c>
      <c r="L13" s="86"/>
      <c r="M13" s="88">
        <f>+D13-I13</f>
        <v>-4.9800000000000182</v>
      </c>
      <c r="N13" s="84">
        <f>+E13-J13</f>
        <v>-0.28634999999999877</v>
      </c>
      <c r="O13" s="85">
        <f>+F13-K13</f>
        <v>-4.6936499999997068</v>
      </c>
    </row>
    <row r="22" spans="4:7" x14ac:dyDescent="0.3">
      <c r="D22" t="s">
        <v>251</v>
      </c>
      <c r="E22" s="51">
        <v>9334.869999999999</v>
      </c>
      <c r="F22" s="51">
        <v>298.66770999999994</v>
      </c>
      <c r="G22" s="51">
        <v>9036.2022900000011</v>
      </c>
    </row>
    <row r="23" spans="4:7" x14ac:dyDescent="0.3">
      <c r="D23" t="s">
        <v>253</v>
      </c>
      <c r="E23" s="51">
        <v>6985.1600000000008</v>
      </c>
      <c r="F23" s="51">
        <v>255.19765000000001</v>
      </c>
      <c r="G23" s="51">
        <v>6729.9623499999998</v>
      </c>
    </row>
    <row r="24" spans="4:7" ht="24" customHeight="1" x14ac:dyDescent="0.3">
      <c r="D24" s="52" t="s">
        <v>257</v>
      </c>
      <c r="E24" s="53">
        <f t="shared" ref="E24:G24" si="2">SUM(E22:E23)</f>
        <v>16320.029999999999</v>
      </c>
      <c r="F24" s="53">
        <f t="shared" si="2"/>
        <v>553.86536000000001</v>
      </c>
      <c r="G24" s="53">
        <f t="shared" si="2"/>
        <v>15766.164640000001</v>
      </c>
    </row>
    <row r="25" spans="4:7" ht="27" customHeight="1" x14ac:dyDescent="0.3">
      <c r="D25" s="52" t="s">
        <v>258</v>
      </c>
      <c r="E25" s="53">
        <f>+M13</f>
        <v>-4.9800000000000182</v>
      </c>
      <c r="F25" s="53">
        <f>+N13</f>
        <v>-0.28634999999999877</v>
      </c>
      <c r="G25" s="53">
        <f>+O13</f>
        <v>-4.6936499999997068</v>
      </c>
    </row>
    <row r="26" spans="4:7" ht="36" customHeight="1" x14ac:dyDescent="0.3">
      <c r="D26" s="54" t="s">
        <v>143</v>
      </c>
      <c r="E26" s="55">
        <f>+E24+E25</f>
        <v>16315.05</v>
      </c>
      <c r="F26" s="55">
        <f t="shared" ref="F26:G26" si="3">+F24+F25</f>
        <v>553.57901000000004</v>
      </c>
      <c r="G26" s="55">
        <f t="shared" si="3"/>
        <v>15761.470990000002</v>
      </c>
    </row>
    <row r="28" spans="4:7" x14ac:dyDescent="0.3">
      <c r="G28" s="38"/>
    </row>
  </sheetData>
  <mergeCells count="3">
    <mergeCell ref="H8:K8"/>
    <mergeCell ref="M8:O8"/>
    <mergeCell ref="C8:F8"/>
  </mergeCells>
  <conditionalFormatting sqref="H11">
    <cfRule type="duplicateValues" dxfId="1" priority="2"/>
  </conditionalFormatting>
  <conditionalFormatting sqref="H1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38</vt:i4>
      </vt:variant>
    </vt:vector>
  </HeadingPairs>
  <TitlesOfParts>
    <vt:vector size="44" baseType="lpstr">
      <vt:lpstr>Vedor Report</vt:lpstr>
      <vt:lpstr>Sheet2</vt:lpstr>
      <vt:lpstr>Hotel</vt:lpstr>
      <vt:lpstr>Flight</vt:lpstr>
      <vt:lpstr>Analysis</vt:lpstr>
      <vt:lpstr>Sheet1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DATA2</vt:lpstr>
      <vt:lpstr>DATA22</vt:lpstr>
      <vt:lpstr>DATA23</vt:lpstr>
      <vt:lpstr>DATA24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DATA36</vt:lpstr>
      <vt:lpstr>DATA37</vt:lpstr>
      <vt:lpstr>DATA38</vt:lpstr>
      <vt:lpstr>DATA39</vt:lpstr>
      <vt:lpstr>DATA4</vt:lpstr>
      <vt:lpstr>DATA40</vt:lpstr>
      <vt:lpstr>DATA41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Team7</dc:creator>
  <cp:lastModifiedBy>Ali Mirza</cp:lastModifiedBy>
  <dcterms:created xsi:type="dcterms:W3CDTF">2026-08-24T11:01:14Z</dcterms:created>
  <dcterms:modified xsi:type="dcterms:W3CDTF">2026-09-08T14:46:39Z</dcterms:modified>
</cp:coreProperties>
</file>