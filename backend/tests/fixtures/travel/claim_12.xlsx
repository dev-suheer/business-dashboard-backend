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.ahmed1\Desktop\WORK\Discover saudi\2026\AUG\week 2\"/>
    </mc:Choice>
  </mc:AlternateContent>
  <xr:revisionPtr revIDLastSave="0" documentId="13_ncr:1_{56314C63-09E3-4824-8B46-BBF3BB391E6D}" xr6:coauthVersionLast="47" xr6:coauthVersionMax="47" xr10:uidLastSave="{00000000-0000-0000-0000-000000000000}"/>
  <bookViews>
    <workbookView xWindow="-120" yWindow="-120" windowWidth="20730" windowHeight="11040" xr2:uid="{131B0F65-6E35-4F57-A8FE-19D725137543}"/>
  </bookViews>
  <sheets>
    <sheet name="Sheet1" sheetId="1" r:id="rId1"/>
    <sheet name="summary " sheetId="2" r:id="rId2"/>
  </sheets>
  <definedNames>
    <definedName name="_xlnm._FilterDatabase" localSheetId="0" hidden="1">Sheet1!$A$1:$AP$15</definedName>
    <definedName name="DATA1">Sheet1!$A$3:$A$14</definedName>
    <definedName name="DATA10">Sheet1!$J$3:$J$14</definedName>
    <definedName name="DATA11">Sheet1!$K$3:$K$14</definedName>
    <definedName name="DATA12">Sheet1!$L$3:$L$14</definedName>
    <definedName name="DATA13">Sheet1!$M$3:$M$14</definedName>
    <definedName name="DATA14">Sheet1!$N$3:$N$14</definedName>
    <definedName name="DATA15">Sheet1!$O$3:$O$14</definedName>
    <definedName name="DATA16">Sheet1!$P$3:$P$14</definedName>
    <definedName name="DATA17">Sheet1!$Q$3:$Q$14</definedName>
    <definedName name="DATA18">Sheet1!$R$3:$R$14</definedName>
    <definedName name="DATA19">Sheet1!$S$3:$S$14</definedName>
    <definedName name="DATA2">Sheet1!$B$3:$B$14</definedName>
    <definedName name="DATA20">Sheet1!$T$3:$T$14</definedName>
    <definedName name="DATA21">Sheet1!$U$3:$U$14</definedName>
    <definedName name="DATA22">Sheet1!$V$3:$V$14</definedName>
    <definedName name="DATA23">Sheet1!$W$3:$W$14</definedName>
    <definedName name="DATA24">Sheet1!$X$3:$X$14</definedName>
    <definedName name="DATA25">Sheet1!$Y$3:$Y$14</definedName>
    <definedName name="DATA26">Sheet1!$Z$3:$Z$14</definedName>
    <definedName name="DATA27">Sheet1!$AA$3:$AA$14</definedName>
    <definedName name="DATA28">Sheet1!$AB$3:$AB$14</definedName>
    <definedName name="DATA29">Sheet1!$AC$3:$AC$14</definedName>
    <definedName name="DATA3">Sheet1!$C$3:$C$14</definedName>
    <definedName name="DATA30">Sheet1!$AD$3:$AD$14</definedName>
    <definedName name="DATA31">Sheet1!$AE$3:$AE$14</definedName>
    <definedName name="DATA32">Sheet1!$AF$3:$AF$14</definedName>
    <definedName name="DATA33">Sheet1!$AG$3:$AG$14</definedName>
    <definedName name="DATA34">Sheet1!#REF!</definedName>
    <definedName name="DATA35">Sheet1!#REF!</definedName>
    <definedName name="DATA36">Sheet1!$AH$3:$AH$14</definedName>
    <definedName name="DATA37">Sheet1!$AI$3:$AI$14</definedName>
    <definedName name="DATA38">Sheet1!$AJ$3:$AJ$14</definedName>
    <definedName name="DATA39">Sheet1!$AK$3:$AK$14</definedName>
    <definedName name="DATA4">Sheet1!$D$3:$D$14</definedName>
    <definedName name="DATA40">Sheet1!$AL$3:$AL$14</definedName>
    <definedName name="DATA41">Sheet1!$AM$3:$AM$14</definedName>
    <definedName name="DATA42">Sheet1!#REF!</definedName>
    <definedName name="DATA43">Sheet1!#REF!</definedName>
    <definedName name="DATA44">Sheet1!$AN$3:$AN$14</definedName>
    <definedName name="DATA5">Sheet1!$E$3:$E$14</definedName>
    <definedName name="DATA6">Sheet1!$F$3:$F$14</definedName>
    <definedName name="DATA7">Sheet1!$G$3:$G$14</definedName>
    <definedName name="DATA8">Sheet1!$H$3:$H$14</definedName>
    <definedName name="DATA9">Sheet1!$I$3:$I$14</definedName>
    <definedName name="TEST0">Sheet1!$A$3:$AN$14</definedName>
    <definedName name="TESTHKEY">Sheet1!$C$1:$AP$1</definedName>
    <definedName name="TESTKEYS">Sheet1!$A$3:$B$14</definedName>
    <definedName name="TESTVKEY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3" i="1" l="1"/>
  <c r="AM15" i="1" s="1"/>
  <c r="B4" i="2"/>
  <c r="F4" i="2"/>
  <c r="G3" i="2"/>
  <c r="F3" i="2"/>
  <c r="D3" i="2"/>
  <c r="AN2" i="1"/>
  <c r="E4" i="2" l="1"/>
  <c r="C4" i="2"/>
  <c r="G2" i="2"/>
  <c r="D2" i="2"/>
  <c r="D4" i="2" s="1"/>
  <c r="AM12" i="1"/>
  <c r="AN12" i="1" s="1"/>
  <c r="AM4" i="1"/>
  <c r="AN4" i="1" s="1"/>
  <c r="AM5" i="1"/>
  <c r="AN5" i="1" s="1"/>
  <c r="AM6" i="1"/>
  <c r="AN6" i="1" s="1"/>
  <c r="AM7" i="1"/>
  <c r="AN7" i="1" s="1"/>
  <c r="AM8" i="1"/>
  <c r="AN8" i="1" s="1"/>
  <c r="AM9" i="1"/>
  <c r="AN9" i="1" s="1"/>
  <c r="AM10" i="1"/>
  <c r="AN10" i="1" s="1"/>
  <c r="AM11" i="1"/>
  <c r="AN11" i="1" s="1"/>
  <c r="AM13" i="1"/>
  <c r="AN13" i="1" s="1"/>
  <c r="AM14" i="1"/>
  <c r="AN14" i="1" s="1"/>
  <c r="G4" i="2" l="1"/>
  <c r="F2" i="2"/>
  <c r="AN3" i="1"/>
  <c r="AN15" i="1" s="1"/>
  <c r="AL15" i="1" l="1"/>
</calcChain>
</file>

<file path=xl/sharedStrings.xml><?xml version="1.0" encoding="utf-8"?>
<sst xmlns="http://schemas.openxmlformats.org/spreadsheetml/2006/main" count="461" uniqueCount="172">
  <si>
    <t>2012559</t>
  </si>
  <si>
    <t>INT</t>
  </si>
  <si>
    <t>Qtoon Raqamya Trading Company</t>
  </si>
  <si>
    <t>2500054637</t>
  </si>
  <si>
    <t>000001</t>
  </si>
  <si>
    <t>Invoice</t>
  </si>
  <si>
    <t>A</t>
  </si>
  <si>
    <t>RX</t>
  </si>
  <si>
    <t>2100070158</t>
  </si>
  <si>
    <t>E-Tckt-DS-ONL</t>
  </si>
  <si>
    <t/>
  </si>
  <si>
    <t>QTOON RAQAMYA TRADING COMPANY</t>
  </si>
  <si>
    <t>RX12238HQGV89</t>
  </si>
  <si>
    <t>08/05/2026</t>
  </si>
  <si>
    <t>1</t>
  </si>
  <si>
    <t>000530798</t>
  </si>
  <si>
    <t>Mr Yahya Al Yami</t>
  </si>
  <si>
    <t>RUH-MAD</t>
  </si>
  <si>
    <t>ECONOMY</t>
  </si>
  <si>
    <t>0</t>
  </si>
  <si>
    <t>SAR</t>
  </si>
  <si>
    <t>A26080175815500_2770964</t>
  </si>
  <si>
    <t>2500054553</t>
  </si>
  <si>
    <t>H</t>
  </si>
  <si>
    <t>HOTEL LA COLINE</t>
  </si>
  <si>
    <t>2530363951</t>
  </si>
  <si>
    <t>Online-Accomodations</t>
  </si>
  <si>
    <t>EXPEDIA</t>
  </si>
  <si>
    <t>08/10/2026</t>
  </si>
  <si>
    <t>08/11/2026</t>
  </si>
  <si>
    <t>H26080997265500</t>
  </si>
  <si>
    <t>Ahmed Seyed</t>
  </si>
  <si>
    <t>BENI MELLAL</t>
  </si>
  <si>
    <t>DELUXE ROOM - KING BED - CITY</t>
  </si>
  <si>
    <t>H26080997265500_4542473</t>
  </si>
  <si>
    <t>DOM</t>
  </si>
  <si>
    <t>2500054545</t>
  </si>
  <si>
    <t>SNOOD AL-DANA HOTEL</t>
  </si>
  <si>
    <t>HTL-WBD-10260486</t>
  </si>
  <si>
    <t>DTW</t>
  </si>
  <si>
    <t>08/26/2026</t>
  </si>
  <si>
    <t>08/27/2026</t>
  </si>
  <si>
    <t>H260809145945500</t>
  </si>
  <si>
    <t>Ali Ali</t>
  </si>
  <si>
    <t>MECCA</t>
  </si>
  <si>
    <t>STANDARD TRIPLE ROOM</t>
  </si>
  <si>
    <t>H260809145945500_296024</t>
  </si>
  <si>
    <t>2500054554</t>
  </si>
  <si>
    <t>APPARTEMENT À BENI M</t>
  </si>
  <si>
    <t>2530490618</t>
  </si>
  <si>
    <t>08/16/2026</t>
  </si>
  <si>
    <t>5</t>
  </si>
  <si>
    <t>H260809147315500</t>
  </si>
  <si>
    <t>Ahmed Seyad</t>
  </si>
  <si>
    <t>STANDARD APARTMENT - SINGLE BE</t>
  </si>
  <si>
    <t>H260809147315500_5278069</t>
  </si>
  <si>
    <t>2500054581</t>
  </si>
  <si>
    <t>F3</t>
  </si>
  <si>
    <t>Q9PU4G</t>
  </si>
  <si>
    <t>08/15/2026</t>
  </si>
  <si>
    <t>000536000</t>
  </si>
  <si>
    <t>MR BASEM DALLAH</t>
  </si>
  <si>
    <t>RUH-MED</t>
  </si>
  <si>
    <t>A260810161795500_97007</t>
  </si>
  <si>
    <t>2500054582</t>
  </si>
  <si>
    <t>ICKLNN</t>
  </si>
  <si>
    <t>000536267</t>
  </si>
  <si>
    <t>MR MAMDUH ALANAZI</t>
  </si>
  <si>
    <t>TUU-RUH</t>
  </si>
  <si>
    <t>A26081141015500_2129543</t>
  </si>
  <si>
    <t>2500054569</t>
  </si>
  <si>
    <t>ELEGANT ISTIRAHA WIT</t>
  </si>
  <si>
    <t>H260810138915500</t>
  </si>
  <si>
    <t>Chalet Booking- BT</t>
  </si>
  <si>
    <t>CHALETS</t>
  </si>
  <si>
    <t>08/13/2026</t>
  </si>
  <si>
    <t>08/14/2026</t>
  </si>
  <si>
    <t>ADIBAH AHMED</t>
  </si>
  <si>
    <t>RIYADH</t>
  </si>
  <si>
    <t>ELEGANCE ROOM</t>
  </si>
  <si>
    <t>H260810138915500_8318950</t>
  </si>
  <si>
    <t>2500054604</t>
  </si>
  <si>
    <t>XY</t>
  </si>
  <si>
    <t>YHNWHK</t>
  </si>
  <si>
    <t>08/29/2026</t>
  </si>
  <si>
    <t>000538012</t>
  </si>
  <si>
    <t>DAC-JED-RUH</t>
  </si>
  <si>
    <t>A260813207295500_521648</t>
  </si>
  <si>
    <t>2500054613</t>
  </si>
  <si>
    <t>MİRA BUNGALOV</t>
  </si>
  <si>
    <t>2534297778</t>
  </si>
  <si>
    <t>08/17/2026</t>
  </si>
  <si>
    <t>H26081419825500</t>
  </si>
  <si>
    <t>Aseel Alrehaili</t>
  </si>
  <si>
    <t>TRABZON</t>
  </si>
  <si>
    <t>ELITE TWO-BEDROOM BANGALOW - 2</t>
  </si>
  <si>
    <t>H26081419825500_7480138</t>
  </si>
  <si>
    <t>2500054614</t>
  </si>
  <si>
    <t>HOME LIA HOTEL APART</t>
  </si>
  <si>
    <t>6A7F2758D8A4F764</t>
  </si>
  <si>
    <t>DIRECTSTATIC</t>
  </si>
  <si>
    <t>H26081491565500</t>
  </si>
  <si>
    <t>Masfr Hbyalay</t>
  </si>
  <si>
    <t>STANDARD TWO-BEDROOM APARTMENT</t>
  </si>
  <si>
    <t>H26081491565500_4885715</t>
  </si>
  <si>
    <t>2500054605</t>
  </si>
  <si>
    <t>NP</t>
  </si>
  <si>
    <t>4860340092</t>
  </si>
  <si>
    <t>936A5S</t>
  </si>
  <si>
    <t>09/22/2026</t>
  </si>
  <si>
    <t>09/26/2026</t>
  </si>
  <si>
    <t>000538235</t>
  </si>
  <si>
    <t>ALMOHAIMEED ABDULELAH</t>
  </si>
  <si>
    <t>ELQ-CAI-ELQ</t>
  </si>
  <si>
    <t>T</t>
  </si>
  <si>
    <t>A26081491875500_2159730</t>
  </si>
  <si>
    <t>2500054626</t>
  </si>
  <si>
    <t>Credit for Returns</t>
  </si>
  <si>
    <t>Adibah Ahmed</t>
  </si>
  <si>
    <t>H260810138915500_59023_R0</t>
  </si>
  <si>
    <t>Customer Name</t>
  </si>
  <si>
    <t>Invoice Number</t>
  </si>
  <si>
    <t>line Item</t>
  </si>
  <si>
    <t>Billing Type</t>
  </si>
  <si>
    <t>Issue Date</t>
  </si>
  <si>
    <t>Service Type</t>
  </si>
  <si>
    <t>Service Provider</t>
  </si>
  <si>
    <t>Service Reference</t>
  </si>
  <si>
    <t>Description of Service</t>
  </si>
  <si>
    <t>Supplier Name</t>
  </si>
  <si>
    <t>Employee ID</t>
  </si>
  <si>
    <t>Department</t>
  </si>
  <si>
    <t>Entitlement</t>
  </si>
  <si>
    <t>PNR No</t>
  </si>
  <si>
    <t>Hotel Country</t>
  </si>
  <si>
    <t>SKU Name</t>
  </si>
  <si>
    <t>Concept</t>
  </si>
  <si>
    <t>Description</t>
  </si>
  <si>
    <t>Category</t>
  </si>
  <si>
    <t>Booking Date</t>
  </si>
  <si>
    <t>Check In Date</t>
  </si>
  <si>
    <t>Check Out Date</t>
  </si>
  <si>
    <t>Supply Date</t>
  </si>
  <si>
    <t>Qty</t>
  </si>
  <si>
    <t>No of Rooms</t>
  </si>
  <si>
    <t>No of Nights</t>
  </si>
  <si>
    <t>T/O Number</t>
  </si>
  <si>
    <t>Client Name</t>
  </si>
  <si>
    <t>Route</t>
  </si>
  <si>
    <t>Destination City</t>
  </si>
  <si>
    <t>Class/Type</t>
  </si>
  <si>
    <t>Total Price W.O VAT</t>
  </si>
  <si>
    <t>VAT %</t>
  </si>
  <si>
    <t>VAT</t>
  </si>
  <si>
    <t>Airline Can Fee</t>
  </si>
  <si>
    <t>Total Invoice Amount</t>
  </si>
  <si>
    <t>Currency</t>
  </si>
  <si>
    <t>Booking ID</t>
  </si>
  <si>
    <t>Customer ID</t>
  </si>
  <si>
    <t>DOM/INT</t>
  </si>
  <si>
    <t xml:space="preserve">commision amount </t>
  </si>
  <si>
    <t xml:space="preserve">net payable amount </t>
  </si>
  <si>
    <t xml:space="preserve">Claim period </t>
  </si>
  <si>
    <t xml:space="preserve">Commision invoices  Amount </t>
  </si>
  <si>
    <t>total Payable amount</t>
  </si>
  <si>
    <t xml:space="preserve">Paid Amount </t>
  </si>
  <si>
    <t xml:space="preserve">DIFF in payment </t>
  </si>
  <si>
    <t xml:space="preserve">unprovided Commision invoices </t>
  </si>
  <si>
    <t xml:space="preserve">Claim From 21 till 27 Jun 2026 </t>
  </si>
  <si>
    <t xml:space="preserve">claim From 09  till 15 AUG  2026 </t>
  </si>
  <si>
    <t>Total Claim</t>
  </si>
  <si>
    <t xml:space="preserve">Adjustment for booking A260629226265500  comision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</si>
</sst>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4" fontId="0" fillId="0" borderId="0" xfId="0" applyNumberFormat="1"/>
    <xf numFmtId="49" fontId="0" fillId="0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43" fontId="2" fillId="2" borderId="0" xfId="1" applyFont="1" applyFill="1"/>
    <xf numFmtId="0" fontId="0" fillId="2" borderId="0" xfId="0" applyFill="1" applyAlignment="1">
      <alignment horizontal="center" vertical="center"/>
    </xf>
    <xf numFmtId="43" fontId="0" fillId="2" borderId="0" xfId="1" applyFont="1" applyFill="1" applyAlignment="1">
      <alignment horizontal="left"/>
    </xf>
    <xf numFmtId="43" fontId="0" fillId="0" borderId="0" xfId="1" applyFont="1" applyAlignment="1">
      <alignment horizontal="center" vertical="center"/>
    </xf>
    <xf numFmtId="43" fontId="0" fillId="0" borderId="0" xfId="0" applyNumberForma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6" borderId="2" xfId="0" applyFont="1" applyFill="1" applyBorder="1"/>
    <xf numFmtId="0" fontId="4" fillId="6" borderId="1" xfId="0" applyFont="1" applyFill="1" applyBorder="1"/>
    <xf numFmtId="0" fontId="5" fillId="0" borderId="3" xfId="0" applyFont="1" applyBorder="1"/>
    <xf numFmtId="43" fontId="5" fillId="0" borderId="3" xfId="1" applyFont="1" applyBorder="1"/>
    <xf numFmtId="43" fontId="5" fillId="4" borderId="3" xfId="1" applyFont="1" applyFill="1" applyBorder="1"/>
    <xf numFmtId="43" fontId="5" fillId="5" borderId="3" xfId="1" applyFont="1" applyFill="1" applyBorder="1"/>
    <xf numFmtId="43" fontId="5" fillId="0" borderId="4" xfId="1" applyFont="1" applyBorder="1"/>
    <xf numFmtId="43" fontId="5" fillId="0" borderId="3" xfId="0" applyNumberFormat="1" applyFont="1" applyBorder="1"/>
    <xf numFmtId="43" fontId="5" fillId="0" borderId="5" xfId="1" applyFont="1" applyBorder="1"/>
    <xf numFmtId="43" fontId="5" fillId="4" borderId="5" xfId="1" applyFont="1" applyFill="1" applyBorder="1"/>
    <xf numFmtId="0" fontId="3" fillId="3" borderId="6" xfId="0" applyFont="1" applyFill="1" applyBorder="1"/>
    <xf numFmtId="43" fontId="3" fillId="4" borderId="6" xfId="0" applyNumberFormat="1" applyFont="1" applyFill="1" applyBorder="1"/>
    <xf numFmtId="43" fontId="3" fillId="5" borderId="6" xfId="0" applyNumberFormat="1" applyFont="1" applyFill="1" applyBorder="1"/>
    <xf numFmtId="43" fontId="3" fillId="3" borderId="6" xfId="0" applyNumberFormat="1" applyFont="1" applyFill="1" applyBorder="1"/>
    <xf numFmtId="43" fontId="4" fillId="6" borderId="7" xfId="0" applyNumberFormat="1" applyFont="1" applyFill="1" applyBorder="1"/>
    <xf numFmtId="43" fontId="6" fillId="6" borderId="6" xfId="0" applyNumberFormat="1" applyFont="1" applyFill="1" applyBorder="1"/>
    <xf numFmtId="0" fontId="0" fillId="0" borderId="0" xfId="0" applyFill="1" applyAlignment="1">
      <alignment horizontal="center"/>
    </xf>
    <xf numFmtId="43" fontId="0" fillId="0" borderId="0" xfId="1" applyFont="1" applyFill="1" applyAlignment="1">
      <alignment horizontal="center"/>
    </xf>
    <xf numFmtId="43" fontId="0" fillId="0" borderId="0" xfId="1" applyFont="1" applyFill="1" applyAlignment="1">
      <alignment horizontal="left"/>
    </xf>
    <xf numFmtId="0" fontId="0" fillId="0" borderId="0" xfId="0" applyFill="1"/>
    <xf numFmtId="43" fontId="0" fillId="0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372A-F976-49C6-B91A-1390A9120E61}">
  <dimension ref="A1:AQ17"/>
  <sheetViews>
    <sheetView tabSelected="1" topLeftCell="AG1" workbookViewId="0">
      <selection activeCell="AM15" sqref="AM15"/>
    </sheetView>
  </sheetViews>
  <sheetFormatPr defaultRowHeight="15" x14ac:dyDescent="0.25"/>
  <cols>
    <col min="1" max="1" width="48.85546875" bestFit="1" customWidth="1"/>
    <col min="2" max="2" width="9" bestFit="1" customWidth="1"/>
    <col min="3" max="3" width="31.7109375" bestFit="1" customWidth="1"/>
    <col min="4" max="4" width="15" bestFit="1" customWidth="1"/>
    <col min="5" max="5" width="8.5703125" bestFit="1" customWidth="1"/>
    <col min="6" max="6" width="16.28515625" bestFit="1" customWidth="1"/>
    <col min="7" max="7" width="10.42578125" bestFit="1" customWidth="1"/>
    <col min="8" max="8" width="11.5703125" bestFit="1" customWidth="1"/>
    <col min="9" max="9" width="22.28515625" bestFit="1" customWidth="1"/>
    <col min="10" max="10" width="18" bestFit="1" customWidth="1"/>
    <col min="11" max="11" width="21.85546875" bestFit="1" customWidth="1"/>
    <col min="12" max="12" width="14.140625" bestFit="1" customWidth="1"/>
    <col min="13" max="13" width="11.7109375" bestFit="1" customWidth="1"/>
    <col min="14" max="14" width="35.140625" bestFit="1" customWidth="1"/>
    <col min="15" max="15" width="10.85546875" bestFit="1" customWidth="1"/>
    <col min="16" max="16" width="15.5703125" bestFit="1" customWidth="1"/>
    <col min="17" max="17" width="12.7109375" bestFit="1" customWidth="1"/>
    <col min="18" max="18" width="10.140625" bestFit="1" customWidth="1"/>
    <col min="19" max="19" width="8.140625" bestFit="1" customWidth="1"/>
    <col min="20" max="20" width="11.140625" bestFit="1" customWidth="1"/>
    <col min="21" max="21" width="8.5703125" bestFit="1" customWidth="1"/>
    <col min="22" max="22" width="12.5703125" bestFit="1" customWidth="1"/>
    <col min="23" max="23" width="12.85546875" bestFit="1" customWidth="1"/>
    <col min="24" max="24" width="14.42578125" bestFit="1" customWidth="1"/>
    <col min="25" max="25" width="11.28515625" bestFit="1" customWidth="1"/>
    <col min="26" max="26" width="3.85546875" bestFit="1" customWidth="1"/>
    <col min="27" max="27" width="12.28515625" bestFit="1" customWidth="1"/>
    <col min="28" max="28" width="11.85546875" bestFit="1" customWidth="1"/>
    <col min="29" max="29" width="17.5703125" bestFit="1" customWidth="1"/>
    <col min="30" max="30" width="24.7109375" bestFit="1" customWidth="1"/>
    <col min="31" max="31" width="12.7109375" bestFit="1" customWidth="1"/>
    <col min="32" max="32" width="14.85546875" bestFit="1" customWidth="1"/>
    <col min="33" max="33" width="36.5703125" bestFit="1" customWidth="1"/>
    <col min="34" max="34" width="18.5703125" style="8" bestFit="1" customWidth="1"/>
    <col min="35" max="35" width="12.7109375" style="8" bestFit="1" customWidth="1"/>
    <col min="36" max="36" width="8.7109375" style="8" bestFit="1" customWidth="1"/>
    <col min="37" max="37" width="14.140625" style="8" bestFit="1" customWidth="1"/>
    <col min="38" max="38" width="19.85546875" style="8" bestFit="1" customWidth="1"/>
    <col min="39" max="39" width="19" bestFit="1" customWidth="1"/>
    <col min="40" max="40" width="26.7109375" bestFit="1" customWidth="1"/>
    <col min="42" max="42" width="26.7109375" bestFit="1" customWidth="1"/>
  </cols>
  <sheetData>
    <row r="1" spans="1:43" x14ac:dyDescent="0.25">
      <c r="A1" s="5" t="s">
        <v>158</v>
      </c>
      <c r="B1" s="5" t="s">
        <v>159</v>
      </c>
      <c r="C1" s="5" t="s">
        <v>120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128</v>
      </c>
      <c r="L1" s="5" t="s">
        <v>129</v>
      </c>
      <c r="M1" s="5" t="s">
        <v>130</v>
      </c>
      <c r="N1" s="5" t="s">
        <v>131</v>
      </c>
      <c r="O1" s="5" t="s">
        <v>132</v>
      </c>
      <c r="P1" s="5" t="s">
        <v>133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140</v>
      </c>
      <c r="X1" s="5" t="s">
        <v>141</v>
      </c>
      <c r="Y1" s="5" t="s">
        <v>142</v>
      </c>
      <c r="Z1" s="5" t="s">
        <v>143</v>
      </c>
      <c r="AA1" s="5" t="s">
        <v>144</v>
      </c>
      <c r="AB1" s="5" t="s">
        <v>145</v>
      </c>
      <c r="AC1" s="5" t="s">
        <v>146</v>
      </c>
      <c r="AD1" s="5" t="s">
        <v>147</v>
      </c>
      <c r="AE1" s="5" t="s">
        <v>148</v>
      </c>
      <c r="AF1" s="5" t="s">
        <v>149</v>
      </c>
      <c r="AG1" s="5" t="s">
        <v>150</v>
      </c>
      <c r="AH1" s="6" t="s">
        <v>151</v>
      </c>
      <c r="AI1" s="6" t="s">
        <v>152</v>
      </c>
      <c r="AJ1" s="6" t="s">
        <v>153</v>
      </c>
      <c r="AK1" s="6" t="s">
        <v>154</v>
      </c>
      <c r="AL1" s="6" t="s">
        <v>155</v>
      </c>
      <c r="AM1" s="10" t="s">
        <v>160</v>
      </c>
      <c r="AN1" s="11" t="s">
        <v>161</v>
      </c>
      <c r="AO1" s="5" t="s">
        <v>156</v>
      </c>
      <c r="AP1" s="5" t="s">
        <v>157</v>
      </c>
    </row>
    <row r="2" spans="1:43" s="36" customFormat="1" x14ac:dyDescent="0.25">
      <c r="A2" s="33" t="s">
        <v>171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4"/>
      <c r="AI2" s="34"/>
      <c r="AJ2" s="34"/>
      <c r="AK2" s="34"/>
      <c r="AL2" s="34"/>
      <c r="AM2" s="37">
        <v>-66.819999999999993</v>
      </c>
      <c r="AN2" s="35">
        <f>AL2-AM2</f>
        <v>66.819999999999993</v>
      </c>
      <c r="AO2" s="3" t="s">
        <v>20</v>
      </c>
      <c r="AP2" s="33"/>
    </row>
    <row r="3" spans="1:43" x14ac:dyDescent="0.25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>
        <v>46249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10</v>
      </c>
      <c r="N3" s="3" t="s">
        <v>11</v>
      </c>
      <c r="O3" s="3" t="s">
        <v>10</v>
      </c>
      <c r="P3" s="3" t="s">
        <v>12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4">
        <v>46235</v>
      </c>
      <c r="W3" s="3" t="s">
        <v>13</v>
      </c>
      <c r="X3" s="3" t="s">
        <v>13</v>
      </c>
      <c r="Y3" s="3" t="s">
        <v>10</v>
      </c>
      <c r="Z3" s="3" t="s">
        <v>14</v>
      </c>
      <c r="AA3" s="3" t="s">
        <v>10</v>
      </c>
      <c r="AB3" s="3" t="s">
        <v>10</v>
      </c>
      <c r="AC3" s="3" t="s">
        <v>15</v>
      </c>
      <c r="AD3" s="3" t="s">
        <v>16</v>
      </c>
      <c r="AE3" s="3" t="s">
        <v>17</v>
      </c>
      <c r="AF3" s="3" t="s">
        <v>10</v>
      </c>
      <c r="AG3" s="3" t="s">
        <v>18</v>
      </c>
      <c r="AH3" s="7">
        <v>3450.87</v>
      </c>
      <c r="AI3" s="7">
        <v>0</v>
      </c>
      <c r="AJ3" s="7">
        <v>0</v>
      </c>
      <c r="AK3" s="7" t="s">
        <v>19</v>
      </c>
      <c r="AL3" s="7">
        <v>3450.87</v>
      </c>
      <c r="AM3" s="12">
        <f>IF(AND(LEFT($AP3)="A",SUM($AH3)&gt;=1),$AH3*0.03,IF(LEFT($AP3)="H",$AH3*0.05,0))*1.15</f>
        <v>119.055015</v>
      </c>
      <c r="AN3" s="8">
        <f>AL3-AM3</f>
        <v>3331.814985</v>
      </c>
      <c r="AO3" s="3" t="s">
        <v>20</v>
      </c>
      <c r="AP3" s="3" t="s">
        <v>21</v>
      </c>
      <c r="AQ3" s="13"/>
    </row>
    <row r="4" spans="1:43" x14ac:dyDescent="0.25">
      <c r="A4" s="2" t="s">
        <v>0</v>
      </c>
      <c r="B4" s="2" t="s">
        <v>1</v>
      </c>
      <c r="C4" s="3" t="s">
        <v>2</v>
      </c>
      <c r="D4" s="3" t="s">
        <v>22</v>
      </c>
      <c r="E4" s="3" t="s">
        <v>4</v>
      </c>
      <c r="F4" s="3" t="s">
        <v>5</v>
      </c>
      <c r="G4" s="4">
        <v>46243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10</v>
      </c>
      <c r="N4" s="3" t="s">
        <v>11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4">
        <v>46243</v>
      </c>
      <c r="W4" s="3" t="s">
        <v>28</v>
      </c>
      <c r="X4" s="3" t="s">
        <v>29</v>
      </c>
      <c r="Y4" s="3" t="s">
        <v>10</v>
      </c>
      <c r="Z4" s="3" t="s">
        <v>14</v>
      </c>
      <c r="AA4" s="3" t="s">
        <v>14</v>
      </c>
      <c r="AB4" s="3" t="s">
        <v>14</v>
      </c>
      <c r="AC4" s="3" t="s">
        <v>30</v>
      </c>
      <c r="AD4" s="3" t="s">
        <v>31</v>
      </c>
      <c r="AE4" s="3" t="s">
        <v>10</v>
      </c>
      <c r="AF4" s="3" t="s">
        <v>32</v>
      </c>
      <c r="AG4" s="3" t="s">
        <v>33</v>
      </c>
      <c r="AH4" s="7">
        <v>116.14</v>
      </c>
      <c r="AI4" s="7">
        <v>0</v>
      </c>
      <c r="AJ4" s="7">
        <v>0</v>
      </c>
      <c r="AK4" s="7" t="s">
        <v>19</v>
      </c>
      <c r="AL4" s="7">
        <v>116.14</v>
      </c>
      <c r="AM4" s="12">
        <f t="shared" ref="AM4:AM14" si="0">IF(AND(LEFT($AP4)="A",SUM($AH4)&gt;=1),$AH4*0.03,IF(LEFT($AP4)="H",$AH4*0.05,0))*1.15</f>
        <v>6.6780499999999998</v>
      </c>
      <c r="AN4" s="8">
        <f t="shared" ref="AN4:AN14" si="1">AL4-AM4</f>
        <v>109.46195</v>
      </c>
      <c r="AO4" s="3" t="s">
        <v>20</v>
      </c>
      <c r="AP4" s="3" t="s">
        <v>34</v>
      </c>
      <c r="AQ4" s="13"/>
    </row>
    <row r="5" spans="1:43" x14ac:dyDescent="0.25">
      <c r="A5" s="2" t="s">
        <v>0</v>
      </c>
      <c r="B5" s="2" t="s">
        <v>35</v>
      </c>
      <c r="C5" s="3" t="s">
        <v>2</v>
      </c>
      <c r="D5" s="3" t="s">
        <v>36</v>
      </c>
      <c r="E5" s="3" t="s">
        <v>4</v>
      </c>
      <c r="F5" s="3" t="s">
        <v>5</v>
      </c>
      <c r="G5" s="4">
        <v>46243</v>
      </c>
      <c r="H5" s="3" t="s">
        <v>23</v>
      </c>
      <c r="I5" s="3" t="s">
        <v>37</v>
      </c>
      <c r="J5" s="3" t="s">
        <v>38</v>
      </c>
      <c r="K5" s="3" t="s">
        <v>26</v>
      </c>
      <c r="L5" s="3" t="s">
        <v>39</v>
      </c>
      <c r="M5" s="3" t="s">
        <v>10</v>
      </c>
      <c r="N5" s="3" t="s">
        <v>11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4">
        <v>46243</v>
      </c>
      <c r="W5" s="3" t="s">
        <v>40</v>
      </c>
      <c r="X5" s="3" t="s">
        <v>41</v>
      </c>
      <c r="Y5" s="3" t="s">
        <v>10</v>
      </c>
      <c r="Z5" s="3" t="s">
        <v>14</v>
      </c>
      <c r="AA5" s="3" t="s">
        <v>14</v>
      </c>
      <c r="AB5" s="3" t="s">
        <v>14</v>
      </c>
      <c r="AC5" s="3" t="s">
        <v>42</v>
      </c>
      <c r="AD5" s="3" t="s">
        <v>43</v>
      </c>
      <c r="AE5" s="3" t="s">
        <v>10</v>
      </c>
      <c r="AF5" s="3" t="s">
        <v>44</v>
      </c>
      <c r="AG5" s="3" t="s">
        <v>45</v>
      </c>
      <c r="AH5" s="7">
        <v>70.48</v>
      </c>
      <c r="AI5" s="7">
        <v>15</v>
      </c>
      <c r="AJ5" s="7">
        <v>10.57</v>
      </c>
      <c r="AK5" s="7" t="s">
        <v>19</v>
      </c>
      <c r="AL5" s="7">
        <v>81.05</v>
      </c>
      <c r="AM5" s="12">
        <f t="shared" si="0"/>
        <v>4.0526</v>
      </c>
      <c r="AN5" s="8">
        <f t="shared" si="1"/>
        <v>76.997399999999999</v>
      </c>
      <c r="AO5" s="3" t="s">
        <v>20</v>
      </c>
      <c r="AP5" s="3" t="s">
        <v>46</v>
      </c>
      <c r="AQ5" s="13"/>
    </row>
    <row r="6" spans="1:43" x14ac:dyDescent="0.25">
      <c r="A6" s="2" t="s">
        <v>0</v>
      </c>
      <c r="B6" s="2" t="s">
        <v>1</v>
      </c>
      <c r="C6" s="3" t="s">
        <v>2</v>
      </c>
      <c r="D6" s="3" t="s">
        <v>47</v>
      </c>
      <c r="E6" s="3" t="s">
        <v>4</v>
      </c>
      <c r="F6" s="3" t="s">
        <v>5</v>
      </c>
      <c r="G6" s="4">
        <v>46243</v>
      </c>
      <c r="H6" s="3" t="s">
        <v>23</v>
      </c>
      <c r="I6" s="3" t="s">
        <v>48</v>
      </c>
      <c r="J6" s="3" t="s">
        <v>49</v>
      </c>
      <c r="K6" s="3" t="s">
        <v>26</v>
      </c>
      <c r="L6" s="3" t="s">
        <v>27</v>
      </c>
      <c r="M6" s="3" t="s">
        <v>10</v>
      </c>
      <c r="N6" s="3" t="s">
        <v>11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4">
        <v>46243</v>
      </c>
      <c r="W6" s="3" t="s">
        <v>29</v>
      </c>
      <c r="X6" s="3" t="s">
        <v>50</v>
      </c>
      <c r="Y6" s="3" t="s">
        <v>10</v>
      </c>
      <c r="Z6" s="3" t="s">
        <v>14</v>
      </c>
      <c r="AA6" s="3" t="s">
        <v>14</v>
      </c>
      <c r="AB6" s="3" t="s">
        <v>51</v>
      </c>
      <c r="AC6" s="3" t="s">
        <v>52</v>
      </c>
      <c r="AD6" s="3" t="s">
        <v>53</v>
      </c>
      <c r="AE6" s="3" t="s">
        <v>10</v>
      </c>
      <c r="AF6" s="3" t="s">
        <v>32</v>
      </c>
      <c r="AG6" s="3" t="s">
        <v>54</v>
      </c>
      <c r="AH6" s="7">
        <v>760.42</v>
      </c>
      <c r="AI6" s="7">
        <v>0</v>
      </c>
      <c r="AJ6" s="7">
        <v>0</v>
      </c>
      <c r="AK6" s="7" t="s">
        <v>19</v>
      </c>
      <c r="AL6" s="7">
        <v>760.42</v>
      </c>
      <c r="AM6" s="12">
        <f t="shared" si="0"/>
        <v>43.724149999999995</v>
      </c>
      <c r="AN6" s="8">
        <f t="shared" si="1"/>
        <v>716.69584999999995</v>
      </c>
      <c r="AO6" s="3" t="s">
        <v>20</v>
      </c>
      <c r="AP6" s="3" t="s">
        <v>55</v>
      </c>
      <c r="AQ6" s="13"/>
    </row>
    <row r="7" spans="1:43" x14ac:dyDescent="0.25">
      <c r="A7" s="2" t="s">
        <v>0</v>
      </c>
      <c r="B7" s="2" t="s">
        <v>35</v>
      </c>
      <c r="C7" s="3" t="s">
        <v>2</v>
      </c>
      <c r="D7" s="3" t="s">
        <v>56</v>
      </c>
      <c r="E7" s="3" t="s">
        <v>4</v>
      </c>
      <c r="F7" s="3" t="s">
        <v>5</v>
      </c>
      <c r="G7" s="4">
        <v>46244</v>
      </c>
      <c r="H7" s="3" t="s">
        <v>6</v>
      </c>
      <c r="I7" s="3" t="s">
        <v>57</v>
      </c>
      <c r="J7" s="3" t="s">
        <v>10</v>
      </c>
      <c r="K7" s="3" t="s">
        <v>9</v>
      </c>
      <c r="L7" s="3" t="s">
        <v>10</v>
      </c>
      <c r="M7" s="3" t="s">
        <v>10</v>
      </c>
      <c r="N7" s="3" t="s">
        <v>11</v>
      </c>
      <c r="O7" s="3" t="s">
        <v>10</v>
      </c>
      <c r="P7" s="3" t="s">
        <v>58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4">
        <v>46244</v>
      </c>
      <c r="W7" s="3" t="s">
        <v>59</v>
      </c>
      <c r="X7" s="3" t="s">
        <v>59</v>
      </c>
      <c r="Y7" s="3" t="s">
        <v>10</v>
      </c>
      <c r="Z7" s="3" t="s">
        <v>14</v>
      </c>
      <c r="AA7" s="3" t="s">
        <v>10</v>
      </c>
      <c r="AB7" s="3" t="s">
        <v>10</v>
      </c>
      <c r="AC7" s="3" t="s">
        <v>60</v>
      </c>
      <c r="AD7" s="3" t="s">
        <v>61</v>
      </c>
      <c r="AE7" s="3" t="s">
        <v>62</v>
      </c>
      <c r="AF7" s="3" t="s">
        <v>10</v>
      </c>
      <c r="AG7" s="3" t="s">
        <v>18</v>
      </c>
      <c r="AH7" s="7">
        <v>240.22</v>
      </c>
      <c r="AI7" s="7">
        <v>15</v>
      </c>
      <c r="AJ7" s="7">
        <v>36.03</v>
      </c>
      <c r="AK7" s="7" t="s">
        <v>19</v>
      </c>
      <c r="AL7" s="7">
        <v>276.25</v>
      </c>
      <c r="AM7" s="12">
        <f t="shared" si="0"/>
        <v>8.2875899999999998</v>
      </c>
      <c r="AN7" s="8">
        <f t="shared" si="1"/>
        <v>267.96240999999998</v>
      </c>
      <c r="AO7" s="3" t="s">
        <v>20</v>
      </c>
      <c r="AP7" s="3" t="s">
        <v>63</v>
      </c>
      <c r="AQ7" s="13"/>
    </row>
    <row r="8" spans="1:43" x14ac:dyDescent="0.25">
      <c r="A8" s="2" t="s">
        <v>0</v>
      </c>
      <c r="B8" s="2" t="s">
        <v>35</v>
      </c>
      <c r="C8" s="3" t="s">
        <v>2</v>
      </c>
      <c r="D8" s="3" t="s">
        <v>64</v>
      </c>
      <c r="E8" s="3" t="s">
        <v>4</v>
      </c>
      <c r="F8" s="3" t="s">
        <v>5</v>
      </c>
      <c r="G8" s="4">
        <v>46245</v>
      </c>
      <c r="H8" s="3" t="s">
        <v>6</v>
      </c>
      <c r="I8" s="3" t="s">
        <v>57</v>
      </c>
      <c r="J8" s="3" t="s">
        <v>10</v>
      </c>
      <c r="K8" s="3" t="s">
        <v>9</v>
      </c>
      <c r="L8" s="3" t="s">
        <v>10</v>
      </c>
      <c r="M8" s="3" t="s">
        <v>10</v>
      </c>
      <c r="N8" s="3" t="s">
        <v>11</v>
      </c>
      <c r="O8" s="3" t="s">
        <v>10</v>
      </c>
      <c r="P8" s="3" t="s">
        <v>65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4">
        <v>46245</v>
      </c>
      <c r="W8" s="3" t="s">
        <v>29</v>
      </c>
      <c r="X8" s="3" t="s">
        <v>29</v>
      </c>
      <c r="Y8" s="3" t="s">
        <v>10</v>
      </c>
      <c r="Z8" s="3" t="s">
        <v>14</v>
      </c>
      <c r="AA8" s="3" t="s">
        <v>10</v>
      </c>
      <c r="AB8" s="3" t="s">
        <v>10</v>
      </c>
      <c r="AC8" s="3" t="s">
        <v>66</v>
      </c>
      <c r="AD8" s="3" t="s">
        <v>67</v>
      </c>
      <c r="AE8" s="3" t="s">
        <v>68</v>
      </c>
      <c r="AF8" s="3" t="s">
        <v>10</v>
      </c>
      <c r="AG8" s="3" t="s">
        <v>18</v>
      </c>
      <c r="AH8" s="7">
        <v>318.48</v>
      </c>
      <c r="AI8" s="7">
        <v>15</v>
      </c>
      <c r="AJ8" s="7">
        <v>47.77</v>
      </c>
      <c r="AK8" s="7" t="s">
        <v>19</v>
      </c>
      <c r="AL8" s="7">
        <v>366.25</v>
      </c>
      <c r="AM8" s="12">
        <f t="shared" si="0"/>
        <v>10.987559999999998</v>
      </c>
      <c r="AN8" s="8">
        <f t="shared" si="1"/>
        <v>355.26244000000003</v>
      </c>
      <c r="AO8" s="3" t="s">
        <v>20</v>
      </c>
      <c r="AP8" s="3" t="s">
        <v>69</v>
      </c>
      <c r="AQ8" s="13"/>
    </row>
    <row r="9" spans="1:43" x14ac:dyDescent="0.25">
      <c r="A9" s="2" t="s">
        <v>0</v>
      </c>
      <c r="B9" s="2" t="s">
        <v>1</v>
      </c>
      <c r="C9" s="3" t="s">
        <v>2</v>
      </c>
      <c r="D9" s="3" t="s">
        <v>70</v>
      </c>
      <c r="E9" s="3" t="s">
        <v>4</v>
      </c>
      <c r="F9" s="3" t="s">
        <v>5</v>
      </c>
      <c r="G9" s="4">
        <v>46244</v>
      </c>
      <c r="H9" s="3" t="s">
        <v>23</v>
      </c>
      <c r="I9" s="3" t="s">
        <v>71</v>
      </c>
      <c r="J9" s="3" t="s">
        <v>72</v>
      </c>
      <c r="K9" s="3" t="s">
        <v>73</v>
      </c>
      <c r="L9" s="3" t="s">
        <v>74</v>
      </c>
      <c r="M9" s="3" t="s">
        <v>10</v>
      </c>
      <c r="N9" s="3" t="s">
        <v>11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4">
        <v>46244</v>
      </c>
      <c r="W9" s="3" t="s">
        <v>75</v>
      </c>
      <c r="X9" s="3" t="s">
        <v>76</v>
      </c>
      <c r="Y9" s="3" t="s">
        <v>10</v>
      </c>
      <c r="Z9" s="3" t="s">
        <v>14</v>
      </c>
      <c r="AA9" s="3" t="s">
        <v>14</v>
      </c>
      <c r="AB9" s="3" t="s">
        <v>14</v>
      </c>
      <c r="AC9" s="3" t="s">
        <v>72</v>
      </c>
      <c r="AD9" s="3" t="s">
        <v>77</v>
      </c>
      <c r="AE9" s="3" t="s">
        <v>10</v>
      </c>
      <c r="AF9" s="3" t="s">
        <v>78</v>
      </c>
      <c r="AG9" s="3" t="s">
        <v>79</v>
      </c>
      <c r="AH9" s="7">
        <v>739.13</v>
      </c>
      <c r="AI9" s="7">
        <v>15</v>
      </c>
      <c r="AJ9" s="7">
        <v>110.87</v>
      </c>
      <c r="AK9" s="7" t="s">
        <v>19</v>
      </c>
      <c r="AL9" s="7">
        <v>850</v>
      </c>
      <c r="AM9" s="12">
        <f t="shared" si="0"/>
        <v>42.499974999999992</v>
      </c>
      <c r="AN9" s="8">
        <f t="shared" si="1"/>
        <v>807.50002500000005</v>
      </c>
      <c r="AO9" s="3" t="s">
        <v>20</v>
      </c>
      <c r="AP9" s="3" t="s">
        <v>80</v>
      </c>
      <c r="AQ9" s="13"/>
    </row>
    <row r="10" spans="1:43" x14ac:dyDescent="0.25">
      <c r="A10" s="2" t="s">
        <v>0</v>
      </c>
      <c r="B10" s="2" t="s">
        <v>1</v>
      </c>
      <c r="C10" s="3" t="s">
        <v>2</v>
      </c>
      <c r="D10" s="3" t="s">
        <v>81</v>
      </c>
      <c r="E10" s="3" t="s">
        <v>4</v>
      </c>
      <c r="F10" s="3" t="s">
        <v>5</v>
      </c>
      <c r="G10" s="4">
        <v>46247</v>
      </c>
      <c r="H10" s="3" t="s">
        <v>6</v>
      </c>
      <c r="I10" s="3" t="s">
        <v>82</v>
      </c>
      <c r="J10" s="3" t="s">
        <v>10</v>
      </c>
      <c r="K10" s="3" t="s">
        <v>9</v>
      </c>
      <c r="L10" s="3" t="s">
        <v>10</v>
      </c>
      <c r="M10" s="3" t="s">
        <v>10</v>
      </c>
      <c r="N10" s="3" t="s">
        <v>11</v>
      </c>
      <c r="O10" s="3" t="s">
        <v>10</v>
      </c>
      <c r="P10" s="3" t="s">
        <v>83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4">
        <v>46247</v>
      </c>
      <c r="W10" s="3" t="s">
        <v>84</v>
      </c>
      <c r="X10" s="3" t="s">
        <v>84</v>
      </c>
      <c r="Y10" s="3" t="s">
        <v>10</v>
      </c>
      <c r="Z10" s="3" t="s">
        <v>14</v>
      </c>
      <c r="AA10" s="3" t="s">
        <v>10</v>
      </c>
      <c r="AB10" s="3" t="s">
        <v>10</v>
      </c>
      <c r="AC10" s="3" t="s">
        <v>85</v>
      </c>
      <c r="AD10" s="3" t="s">
        <v>10</v>
      </c>
      <c r="AE10" s="3" t="s">
        <v>86</v>
      </c>
      <c r="AF10" s="3" t="s">
        <v>10</v>
      </c>
      <c r="AG10" s="3" t="s">
        <v>18</v>
      </c>
      <c r="AH10" s="7">
        <v>1678.99</v>
      </c>
      <c r="AI10" s="7">
        <v>0</v>
      </c>
      <c r="AJ10" s="7">
        <v>0</v>
      </c>
      <c r="AK10" s="7" t="s">
        <v>19</v>
      </c>
      <c r="AL10" s="7">
        <v>1678.99</v>
      </c>
      <c r="AM10" s="12">
        <f t="shared" si="0"/>
        <v>57.925154999999997</v>
      </c>
      <c r="AN10" s="8">
        <f t="shared" si="1"/>
        <v>1621.0648450000001</v>
      </c>
      <c r="AO10" s="3" t="s">
        <v>20</v>
      </c>
      <c r="AP10" s="3" t="s">
        <v>87</v>
      </c>
      <c r="AQ10" s="13"/>
    </row>
    <row r="11" spans="1:43" x14ac:dyDescent="0.25">
      <c r="A11" s="2" t="s">
        <v>0</v>
      </c>
      <c r="B11" s="2" t="s">
        <v>1</v>
      </c>
      <c r="C11" s="3" t="s">
        <v>2</v>
      </c>
      <c r="D11" s="3" t="s">
        <v>88</v>
      </c>
      <c r="E11" s="3" t="s">
        <v>4</v>
      </c>
      <c r="F11" s="3" t="s">
        <v>5</v>
      </c>
      <c r="G11" s="4">
        <v>46248</v>
      </c>
      <c r="H11" s="3" t="s">
        <v>23</v>
      </c>
      <c r="I11" s="3" t="s">
        <v>89</v>
      </c>
      <c r="J11" s="3" t="s">
        <v>90</v>
      </c>
      <c r="K11" s="3" t="s">
        <v>26</v>
      </c>
      <c r="L11" s="3" t="s">
        <v>27</v>
      </c>
      <c r="M11" s="3" t="s">
        <v>10</v>
      </c>
      <c r="N11" s="3" t="s">
        <v>11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4">
        <v>46248</v>
      </c>
      <c r="W11" s="3" t="s">
        <v>50</v>
      </c>
      <c r="X11" s="3" t="s">
        <v>91</v>
      </c>
      <c r="Y11" s="3" t="s">
        <v>10</v>
      </c>
      <c r="Z11" s="3" t="s">
        <v>14</v>
      </c>
      <c r="AA11" s="3" t="s">
        <v>14</v>
      </c>
      <c r="AB11" s="3" t="s">
        <v>14</v>
      </c>
      <c r="AC11" s="3" t="s">
        <v>92</v>
      </c>
      <c r="AD11" s="3" t="s">
        <v>93</v>
      </c>
      <c r="AE11" s="3" t="s">
        <v>10</v>
      </c>
      <c r="AF11" s="3" t="s">
        <v>94</v>
      </c>
      <c r="AG11" s="3" t="s">
        <v>95</v>
      </c>
      <c r="AH11" s="7">
        <v>606.25</v>
      </c>
      <c r="AI11" s="7">
        <v>0</v>
      </c>
      <c r="AJ11" s="7">
        <v>0</v>
      </c>
      <c r="AK11" s="7" t="s">
        <v>19</v>
      </c>
      <c r="AL11" s="7">
        <v>606.25</v>
      </c>
      <c r="AM11" s="12">
        <f t="shared" si="0"/>
        <v>34.859375</v>
      </c>
      <c r="AN11" s="8">
        <f t="shared" si="1"/>
        <v>571.390625</v>
      </c>
      <c r="AO11" s="3" t="s">
        <v>20</v>
      </c>
      <c r="AP11" s="3" t="s">
        <v>96</v>
      </c>
      <c r="AQ11" s="13"/>
    </row>
    <row r="12" spans="1:43" x14ac:dyDescent="0.25">
      <c r="A12" s="2" t="s">
        <v>0</v>
      </c>
      <c r="B12" s="2" t="s">
        <v>1</v>
      </c>
      <c r="C12" s="3" t="s">
        <v>2</v>
      </c>
      <c r="D12" s="3" t="s">
        <v>97</v>
      </c>
      <c r="E12" s="3" t="s">
        <v>4</v>
      </c>
      <c r="F12" s="3" t="s">
        <v>5</v>
      </c>
      <c r="G12" s="4">
        <v>46248</v>
      </c>
      <c r="H12" s="3" t="s">
        <v>23</v>
      </c>
      <c r="I12" s="3" t="s">
        <v>98</v>
      </c>
      <c r="J12" s="3" t="s">
        <v>99</v>
      </c>
      <c r="K12" s="3" t="s">
        <v>26</v>
      </c>
      <c r="L12" s="3" t="s">
        <v>100</v>
      </c>
      <c r="M12" s="3" t="s">
        <v>10</v>
      </c>
      <c r="N12" s="3" t="s">
        <v>11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4">
        <v>46248</v>
      </c>
      <c r="W12" s="3" t="s">
        <v>76</v>
      </c>
      <c r="X12" s="3" t="s">
        <v>59</v>
      </c>
      <c r="Y12" s="3" t="s">
        <v>10</v>
      </c>
      <c r="Z12" s="3" t="s">
        <v>14</v>
      </c>
      <c r="AA12" s="3" t="s">
        <v>14</v>
      </c>
      <c r="AB12" s="3" t="s">
        <v>14</v>
      </c>
      <c r="AC12" s="3" t="s">
        <v>101</v>
      </c>
      <c r="AD12" s="3" t="s">
        <v>102</v>
      </c>
      <c r="AE12" s="3" t="s">
        <v>10</v>
      </c>
      <c r="AF12" s="3" t="s">
        <v>78</v>
      </c>
      <c r="AG12" s="3" t="s">
        <v>103</v>
      </c>
      <c r="AH12" s="7">
        <v>476.73</v>
      </c>
      <c r="AI12" s="7">
        <v>0</v>
      </c>
      <c r="AJ12" s="7">
        <v>0</v>
      </c>
      <c r="AK12" s="7" t="s">
        <v>19</v>
      </c>
      <c r="AL12" s="7">
        <v>476.73</v>
      </c>
      <c r="AM12" s="12">
        <f>IF(AND(LEFT($AP12)="A",SUM($AH12)&gt;=1),$AH12*0.03,IF(LEFT($AP12)="H",$AH12*0.05,0))*1.15</f>
        <v>27.411974999999998</v>
      </c>
      <c r="AN12" s="8">
        <f t="shared" si="1"/>
        <v>449.31802500000003</v>
      </c>
      <c r="AO12" s="3" t="s">
        <v>20</v>
      </c>
      <c r="AP12" s="3" t="s">
        <v>104</v>
      </c>
      <c r="AQ12" s="13"/>
    </row>
    <row r="13" spans="1:43" x14ac:dyDescent="0.25">
      <c r="A13" s="2" t="s">
        <v>0</v>
      </c>
      <c r="B13" s="2" t="s">
        <v>1</v>
      </c>
      <c r="C13" s="3" t="s">
        <v>2</v>
      </c>
      <c r="D13" s="3" t="s">
        <v>105</v>
      </c>
      <c r="E13" s="3" t="s">
        <v>4</v>
      </c>
      <c r="F13" s="3" t="s">
        <v>5</v>
      </c>
      <c r="G13" s="4">
        <v>46248</v>
      </c>
      <c r="H13" s="3" t="s">
        <v>6</v>
      </c>
      <c r="I13" s="3" t="s">
        <v>106</v>
      </c>
      <c r="J13" s="3" t="s">
        <v>107</v>
      </c>
      <c r="K13" s="3" t="s">
        <v>9</v>
      </c>
      <c r="L13" s="3" t="s">
        <v>10</v>
      </c>
      <c r="M13" s="3" t="s">
        <v>10</v>
      </c>
      <c r="N13" s="3" t="s">
        <v>11</v>
      </c>
      <c r="O13" s="3" t="s">
        <v>10</v>
      </c>
      <c r="P13" s="3" t="s">
        <v>108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4">
        <v>46248</v>
      </c>
      <c r="W13" s="3" t="s">
        <v>109</v>
      </c>
      <c r="X13" s="3" t="s">
        <v>110</v>
      </c>
      <c r="Y13" s="3" t="s">
        <v>10</v>
      </c>
      <c r="Z13" s="3" t="s">
        <v>14</v>
      </c>
      <c r="AA13" s="3" t="s">
        <v>10</v>
      </c>
      <c r="AB13" s="3" t="s">
        <v>10</v>
      </c>
      <c r="AC13" s="3" t="s">
        <v>111</v>
      </c>
      <c r="AD13" s="3" t="s">
        <v>112</v>
      </c>
      <c r="AE13" s="3" t="s">
        <v>113</v>
      </c>
      <c r="AF13" s="3" t="s">
        <v>10</v>
      </c>
      <c r="AG13" s="3" t="s">
        <v>114</v>
      </c>
      <c r="AH13" s="7">
        <v>1521.92</v>
      </c>
      <c r="AI13" s="7">
        <v>0</v>
      </c>
      <c r="AJ13" s="7">
        <v>0</v>
      </c>
      <c r="AK13" s="7" t="s">
        <v>19</v>
      </c>
      <c r="AL13" s="7">
        <v>1521.92</v>
      </c>
      <c r="AM13" s="12">
        <f t="shared" si="0"/>
        <v>52.506239999999998</v>
      </c>
      <c r="AN13" s="8">
        <f t="shared" si="1"/>
        <v>1469.4137600000001</v>
      </c>
      <c r="AO13" s="3" t="s">
        <v>20</v>
      </c>
      <c r="AP13" s="3" t="s">
        <v>115</v>
      </c>
      <c r="AQ13" s="13"/>
    </row>
    <row r="14" spans="1:43" x14ac:dyDescent="0.25">
      <c r="A14" s="2" t="s">
        <v>0</v>
      </c>
      <c r="B14" s="2" t="s">
        <v>1</v>
      </c>
      <c r="C14" s="3" t="s">
        <v>2</v>
      </c>
      <c r="D14" s="3" t="s">
        <v>116</v>
      </c>
      <c r="E14" s="3" t="s">
        <v>4</v>
      </c>
      <c r="F14" s="3" t="s">
        <v>117</v>
      </c>
      <c r="G14" s="4">
        <v>46249</v>
      </c>
      <c r="H14" s="3" t="s">
        <v>23</v>
      </c>
      <c r="I14" s="3" t="s">
        <v>71</v>
      </c>
      <c r="J14" s="3" t="s">
        <v>72</v>
      </c>
      <c r="K14" s="3" t="s">
        <v>73</v>
      </c>
      <c r="L14" s="3" t="s">
        <v>74</v>
      </c>
      <c r="M14" s="3" t="s">
        <v>10</v>
      </c>
      <c r="N14" s="3" t="s">
        <v>11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4">
        <v>46249</v>
      </c>
      <c r="W14" s="3" t="s">
        <v>75</v>
      </c>
      <c r="X14" s="3" t="s">
        <v>76</v>
      </c>
      <c r="Y14" s="3" t="s">
        <v>10</v>
      </c>
      <c r="Z14" s="3" t="s">
        <v>14</v>
      </c>
      <c r="AA14" s="3" t="s">
        <v>14</v>
      </c>
      <c r="AB14" s="3" t="s">
        <v>14</v>
      </c>
      <c r="AC14" s="3" t="s">
        <v>72</v>
      </c>
      <c r="AD14" s="3" t="s">
        <v>118</v>
      </c>
      <c r="AE14" s="3" t="s">
        <v>10</v>
      </c>
      <c r="AF14" s="3" t="s">
        <v>78</v>
      </c>
      <c r="AG14" s="3" t="s">
        <v>79</v>
      </c>
      <c r="AH14" s="7">
        <v>-739.13</v>
      </c>
      <c r="AI14" s="7">
        <v>15</v>
      </c>
      <c r="AJ14" s="7">
        <v>-110.87</v>
      </c>
      <c r="AK14" s="7" t="s">
        <v>19</v>
      </c>
      <c r="AL14" s="7">
        <v>-850</v>
      </c>
      <c r="AM14" s="12">
        <f t="shared" si="0"/>
        <v>-42.499974999999992</v>
      </c>
      <c r="AN14" s="8">
        <f t="shared" si="1"/>
        <v>-807.50002500000005</v>
      </c>
      <c r="AO14" s="3" t="s">
        <v>20</v>
      </c>
      <c r="AP14" s="3" t="s">
        <v>119</v>
      </c>
      <c r="AQ14" s="13"/>
    </row>
    <row r="15" spans="1:43" x14ac:dyDescent="0.25">
      <c r="AL15" s="9">
        <f>SUM(DATA40)</f>
        <v>9334.869999999999</v>
      </c>
      <c r="AM15" s="9">
        <f>SUM(AM2:AM14)</f>
        <v>298.66770999999994</v>
      </c>
      <c r="AN15" s="9">
        <f>SUM(AN2:AN14)</f>
        <v>9036.2022900000011</v>
      </c>
    </row>
    <row r="17" spans="40:40" x14ac:dyDescent="0.25">
      <c r="AN17" s="13"/>
    </row>
  </sheetData>
  <autoFilter ref="A1:AP15" xr:uid="{2BF7372A-F976-49C6-B91A-1390A9120E6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A13-86DE-48E5-A411-DF22C7368A96}">
  <dimension ref="A1:J21"/>
  <sheetViews>
    <sheetView workbookViewId="0">
      <selection activeCell="G12" sqref="G12"/>
    </sheetView>
  </sheetViews>
  <sheetFormatPr defaultRowHeight="15" x14ac:dyDescent="0.25"/>
  <cols>
    <col min="1" max="1" width="23.42578125" bestFit="1" customWidth="1"/>
    <col min="2" max="2" width="8.7109375" bestFit="1" customWidth="1"/>
    <col min="3" max="3" width="21" bestFit="1" customWidth="1"/>
    <col min="4" max="4" width="15.140625" bestFit="1" customWidth="1"/>
    <col min="5" max="5" width="9.7109375" bestFit="1" customWidth="1"/>
    <col min="6" max="6" width="11.85546875" bestFit="1" customWidth="1"/>
    <col min="7" max="7" width="23.28515625" bestFit="1" customWidth="1"/>
    <col min="9" max="10" width="10.140625" bestFit="1" customWidth="1"/>
  </cols>
  <sheetData>
    <row r="1" spans="1:10" x14ac:dyDescent="0.25">
      <c r="A1" s="14" t="s">
        <v>162</v>
      </c>
      <c r="B1" s="14" t="s">
        <v>170</v>
      </c>
      <c r="C1" s="15" t="s">
        <v>163</v>
      </c>
      <c r="D1" s="16" t="s">
        <v>164</v>
      </c>
      <c r="E1" s="14" t="s">
        <v>165</v>
      </c>
      <c r="F1" s="17" t="s">
        <v>166</v>
      </c>
      <c r="G1" s="18" t="s">
        <v>167</v>
      </c>
    </row>
    <row r="2" spans="1:10" x14ac:dyDescent="0.25">
      <c r="A2" s="19" t="s">
        <v>168</v>
      </c>
      <c r="B2" s="20">
        <v>1739.96</v>
      </c>
      <c r="C2" s="21">
        <v>63.13</v>
      </c>
      <c r="D2" s="22">
        <f>B2-C2</f>
        <v>1676.83</v>
      </c>
      <c r="E2" s="20">
        <v>0</v>
      </c>
      <c r="F2" s="23">
        <f>D2</f>
        <v>1676.83</v>
      </c>
      <c r="G2" s="24">
        <f>C2</f>
        <v>63.13</v>
      </c>
      <c r="J2" s="1"/>
    </row>
    <row r="3" spans="1:10" x14ac:dyDescent="0.25">
      <c r="A3" s="19" t="s">
        <v>169</v>
      </c>
      <c r="B3" s="19">
        <v>9334.869999999999</v>
      </c>
      <c r="C3" s="26">
        <v>298.66770999999994</v>
      </c>
      <c r="D3" s="22">
        <f>B3-C3</f>
        <v>9036.2022899999993</v>
      </c>
      <c r="E3" s="25"/>
      <c r="F3" s="23">
        <f>D3</f>
        <v>9036.2022899999993</v>
      </c>
      <c r="G3" s="24">
        <f>C3</f>
        <v>298.66770999999994</v>
      </c>
    </row>
    <row r="4" spans="1:10" ht="15.75" thickBot="1" x14ac:dyDescent="0.3">
      <c r="A4" s="27"/>
      <c r="B4" s="30">
        <f>SUM(B2:B3)</f>
        <v>11074.829999999998</v>
      </c>
      <c r="C4" s="28">
        <f>SUM(C2:C3)</f>
        <v>361.79770999999994</v>
      </c>
      <c r="D4" s="29">
        <f>SUM(D2:D3)</f>
        <v>10713.032289999999</v>
      </c>
      <c r="E4" s="30">
        <f>SUM(E2:E3)</f>
        <v>0</v>
      </c>
      <c r="F4" s="31">
        <f>SUM(F2:F3)</f>
        <v>10713.032289999999</v>
      </c>
      <c r="G4" s="32">
        <f>SUM(G2:G3)</f>
        <v>361.79770999999994</v>
      </c>
    </row>
    <row r="20" spans="7:7" x14ac:dyDescent="0.25">
      <c r="G20" s="13"/>
    </row>
    <row r="21" spans="7:7" x14ac:dyDescent="0.25">
      <c r="G2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44</vt:i4>
      </vt:variant>
    </vt:vector>
  </HeadingPairs>
  <TitlesOfParts>
    <vt:vector size="46" baseType="lpstr">
      <vt:lpstr>Sheet1</vt:lpstr>
      <vt:lpstr>summary 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DATA36</vt:lpstr>
      <vt:lpstr>DATA37</vt:lpstr>
      <vt:lpstr>DATA38</vt:lpstr>
      <vt:lpstr>DATA39</vt:lpstr>
      <vt:lpstr>DATA4</vt:lpstr>
      <vt:lpstr>DATA40</vt:lpstr>
      <vt:lpstr>DATA41</vt:lpstr>
      <vt:lpstr>DATA44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Team7</dc:creator>
  <cp:lastModifiedBy>Finance Team7</cp:lastModifiedBy>
  <dcterms:created xsi:type="dcterms:W3CDTF">2026-08-18T09:27:27Z</dcterms:created>
  <dcterms:modified xsi:type="dcterms:W3CDTF">2026-08-18T10:04:27Z</dcterms:modified>
</cp:coreProperties>
</file>