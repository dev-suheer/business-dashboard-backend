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eeting\Required Items\Vendor Report All Verticle\New folder\"/>
    </mc:Choice>
  </mc:AlternateContent>
  <xr:revisionPtr revIDLastSave="0" documentId="13_ncr:1_{859D281D-1A5A-4B5E-B451-88C659C23440}" xr6:coauthVersionLast="47" xr6:coauthVersionMax="47" xr10:uidLastSave="{00000000-0000-0000-0000-000000000000}"/>
  <bookViews>
    <workbookView xWindow="-120" yWindow="-120" windowWidth="29040" windowHeight="15720" xr2:uid="{2D28D68F-8C44-4BA3-B3D5-26C5C8CBA7A7}"/>
  </bookViews>
  <sheets>
    <sheet name="Aug 01 to 08 Mosafer Report" sheetId="1" r:id="rId1"/>
  </sheets>
  <definedNames>
    <definedName name="_xlnm._FilterDatabase" localSheetId="0" hidden="1">'Aug 01 to 08 Mosafer Report'!$A$1:$AK$31</definedName>
    <definedName name="DATA1">'Aug 01 to 08 Mosafer Report'!$A$2:$A$30</definedName>
    <definedName name="DATA10">'Aug 01 to 08 Mosafer Report'!$J$2:$J$30</definedName>
    <definedName name="DATA11">'Aug 01 to 08 Mosafer Report'!$K$2:$K$30</definedName>
    <definedName name="DATA12">'Aug 01 to 08 Mosafer Report'!$L$2:$L$30</definedName>
    <definedName name="DATA13">'Aug 01 to 08 Mosafer Report'!$M$2:$M$30</definedName>
    <definedName name="DATA14">'Aug 01 to 08 Mosafer Report'!$N$2:$N$30</definedName>
    <definedName name="DATA15">'Aug 01 to 08 Mosafer Report'!#REF!</definedName>
    <definedName name="DATA16">'Aug 01 to 08 Mosafer Report'!$O$2:$O$30</definedName>
    <definedName name="DATA17">'Aug 01 to 08 Mosafer Report'!#REF!</definedName>
    <definedName name="DATA18">'Aug 01 to 08 Mosafer Report'!#REF!</definedName>
    <definedName name="DATA19">'Aug 01 to 08 Mosafer Report'!#REF!</definedName>
    <definedName name="DATA2">'Aug 01 to 08 Mosafer Report'!$B$2:$B$30</definedName>
    <definedName name="DATA20">'Aug 01 to 08 Mosafer Report'!#REF!</definedName>
    <definedName name="DATA21">'Aug 01 to 08 Mosafer Report'!#REF!</definedName>
    <definedName name="DATA22">'Aug 01 to 08 Mosafer Report'!$P$2:$P$30</definedName>
    <definedName name="DATA23">'Aug 01 to 08 Mosafer Report'!$Q$2:$Q$30</definedName>
    <definedName name="DATA24">'Aug 01 to 08 Mosafer Report'!$R$2:$R$30</definedName>
    <definedName name="DATA25">'Aug 01 to 08 Mosafer Report'!$S$2:$S$30</definedName>
    <definedName name="DATA26">'Aug 01 to 08 Mosafer Report'!$T$2:$T$30</definedName>
    <definedName name="DATA27">'Aug 01 to 08 Mosafer Report'!$U$2:$U$30</definedName>
    <definedName name="DATA28">'Aug 01 to 08 Mosafer Report'!$V$2:$V$30</definedName>
    <definedName name="DATA29">'Aug 01 to 08 Mosafer Report'!$W$2:$W$30</definedName>
    <definedName name="DATA3">'Aug 01 to 08 Mosafer Report'!$C$2:$C$30</definedName>
    <definedName name="DATA30">'Aug 01 to 08 Mosafer Report'!$X$2:$X$30</definedName>
    <definedName name="DATA31">'Aug 01 to 08 Mosafer Report'!$Y$2:$Y$30</definedName>
    <definedName name="DATA32">'Aug 01 to 08 Mosafer Report'!$Z$2:$Z$30</definedName>
    <definedName name="DATA33">'Aug 01 to 08 Mosafer Report'!$AA$2:$AA$30</definedName>
    <definedName name="DATA34">'Aug 01 to 08 Mosafer Report'!#REF!</definedName>
    <definedName name="DATA35">'Aug 01 to 08 Mosafer Report'!#REF!</definedName>
    <definedName name="DATA36">'Aug 01 to 08 Mosafer Report'!$AB$2:$AB$30</definedName>
    <definedName name="DATA37">'Aug 01 to 08 Mosafer Report'!$AC$2:$AC$30</definedName>
    <definedName name="DATA38">'Aug 01 to 08 Mosafer Report'!$AD$2:$AD$30</definedName>
    <definedName name="DATA39">'Aug 01 to 08 Mosafer Report'!$AE$2:$AE$30</definedName>
    <definedName name="DATA4">'Aug 01 to 08 Mosafer Report'!$D$2:$D$30</definedName>
    <definedName name="DATA40">'Aug 01 to 08 Mosafer Report'!$AF$2:$AF$30</definedName>
    <definedName name="DATA41">'Aug 01 to 08 Mosafer Report'!$AI$2:$AI$30</definedName>
    <definedName name="DATA42">'Aug 01 to 08 Mosafer Report'!#REF!</definedName>
    <definedName name="DATA43">'Aug 01 to 08 Mosafer Report'!#REF!</definedName>
    <definedName name="DATA44">'Aug 01 to 08 Mosafer Report'!$AJ$2:$AJ$30</definedName>
    <definedName name="DATA5">'Aug 01 to 08 Mosafer Report'!$E$2:$E$30</definedName>
    <definedName name="DATA6">'Aug 01 to 08 Mosafer Report'!$F$2:$F$30</definedName>
    <definedName name="DATA7">'Aug 01 to 08 Mosafer Report'!$G$2:$G$30</definedName>
    <definedName name="DATA8">'Aug 01 to 08 Mosafer Report'!$H$2:$H$30</definedName>
    <definedName name="DATA9">'Aug 01 to 08 Mosafer Report'!$I$2:$I$30</definedName>
    <definedName name="TEST0">'Aug 01 to 08 Mosafer Report'!$A$2:$AJ$30</definedName>
    <definedName name="TESTHKEY">'Aug 01 to 08 Mosafer Report'!$C$1:$AJ$1</definedName>
    <definedName name="TESTKEYS">'Aug 01 to 08 Mosafer Report'!$A$2:$B$30</definedName>
    <definedName name="TESTVKEY">'Aug 01 to 08 Mosafer Report'!$A$1:$B$1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M33" i="1" l="1"/>
  <c r="AF31" i="1" l="1"/>
  <c r="AG2" i="1" l="1"/>
  <c r="AH2" i="1" s="1"/>
  <c r="AG4" i="1"/>
  <c r="AH4" i="1" s="1"/>
  <c r="AG19" i="1"/>
  <c r="AH19" i="1" s="1"/>
  <c r="AG20" i="1"/>
  <c r="AH20" i="1" s="1"/>
  <c r="AG21" i="1"/>
  <c r="AH21" i="1" s="1"/>
  <c r="AG22" i="1"/>
  <c r="AH22" i="1" s="1"/>
  <c r="AG23" i="1"/>
  <c r="AH23" i="1" s="1"/>
  <c r="AG24" i="1"/>
  <c r="AH24" i="1" s="1"/>
  <c r="AG25" i="1"/>
  <c r="AH25" i="1" s="1"/>
  <c r="AG26" i="1"/>
  <c r="AH26" i="1" s="1"/>
  <c r="AG27" i="1"/>
  <c r="AH27" i="1" s="1"/>
  <c r="AG28" i="1"/>
  <c r="AH28" i="1" s="1"/>
  <c r="AG29" i="1"/>
  <c r="AH29" i="1" s="1"/>
  <c r="AH30" i="1"/>
  <c r="AG3" i="1"/>
  <c r="AH3" i="1" s="1"/>
  <c r="AG5" i="1"/>
  <c r="AH5" i="1" s="1"/>
  <c r="AG6" i="1"/>
  <c r="AH6" i="1" s="1"/>
  <c r="AG7" i="1"/>
  <c r="AH7" i="1" s="1"/>
  <c r="AG8" i="1"/>
  <c r="AH8" i="1" s="1"/>
  <c r="AG9" i="1"/>
  <c r="AH9" i="1" s="1"/>
  <c r="AG10" i="1"/>
  <c r="AH10" i="1" s="1"/>
  <c r="AG11" i="1"/>
  <c r="AH11" i="1" s="1"/>
  <c r="AG12" i="1"/>
  <c r="AH12" i="1" s="1"/>
  <c r="AG13" i="1"/>
  <c r="AH13" i="1" s="1"/>
  <c r="AG14" i="1"/>
  <c r="AH14" i="1" s="1"/>
  <c r="AG15" i="1"/>
  <c r="AH15" i="1" s="1"/>
  <c r="AG16" i="1"/>
  <c r="AH16" i="1" s="1"/>
  <c r="AG17" i="1"/>
  <c r="AH17" i="1" s="1"/>
  <c r="AG18" i="1"/>
  <c r="AH18" i="1" s="1"/>
  <c r="AH31" i="1" l="1"/>
  <c r="AG31" i="1"/>
</calcChain>
</file>

<file path=xl/sharedStrings.xml><?xml version="1.0" encoding="utf-8"?>
<sst xmlns="http://schemas.openxmlformats.org/spreadsheetml/2006/main" count="848" uniqueCount="228">
  <si>
    <t>2012559</t>
  </si>
  <si>
    <t>DOM</t>
  </si>
  <si>
    <t>Qtoon Raqamya Trading Company</t>
  </si>
  <si>
    <t>2500054538</t>
  </si>
  <si>
    <t>000001</t>
  </si>
  <si>
    <t>Invoice</t>
  </si>
  <si>
    <t>A</t>
  </si>
  <si>
    <t>XY</t>
  </si>
  <si>
    <t/>
  </si>
  <si>
    <t>E-Tckt-DS-ONL</t>
  </si>
  <si>
    <t>QTOON RAQAMYA TRADING COMPANY</t>
  </si>
  <si>
    <t>F77DTY</t>
  </si>
  <si>
    <t>08/03/2026</t>
  </si>
  <si>
    <t>1</t>
  </si>
  <si>
    <t>000531703</t>
  </si>
  <si>
    <t>ALANAZI MAMDUH</t>
  </si>
  <si>
    <t>TUU-RUH</t>
  </si>
  <si>
    <t>ECONOMY</t>
  </si>
  <si>
    <t>0</t>
  </si>
  <si>
    <t>SAR</t>
  </si>
  <si>
    <t>A26080334225500_1935845</t>
  </si>
  <si>
    <t>INT</t>
  </si>
  <si>
    <t>2500054418</t>
  </si>
  <si>
    <t>EY</t>
  </si>
  <si>
    <t>4860340072</t>
  </si>
  <si>
    <t>9UZ8AY</t>
  </si>
  <si>
    <t>08/15/2026</t>
  </si>
  <si>
    <t>000532467</t>
  </si>
  <si>
    <t>ALAJMI GHALA</t>
  </si>
  <si>
    <t>RUH-AUH-ORD</t>
  </si>
  <si>
    <t>P</t>
  </si>
  <si>
    <t>A26080458575500_1062017</t>
  </si>
  <si>
    <t>2500054539</t>
  </si>
  <si>
    <t>R746JL</t>
  </si>
  <si>
    <t>08/04/2026</t>
  </si>
  <si>
    <t>000532534</t>
  </si>
  <si>
    <t>MUHAMMAD ADNAN ASHRAF</t>
  </si>
  <si>
    <t>RUH-KHI</t>
  </si>
  <si>
    <t>A26080475585500_1811770</t>
  </si>
  <si>
    <t>2500054447</t>
  </si>
  <si>
    <t>H</t>
  </si>
  <si>
    <t>COPTHORNE HOTEL DUBA</t>
  </si>
  <si>
    <t>6A71ECAD6B3A1340</t>
  </si>
  <si>
    <t>Online-Accomodations</t>
  </si>
  <si>
    <t>DIRECTDYNAMIC</t>
  </si>
  <si>
    <t>08/06/2026</t>
  </si>
  <si>
    <t>2</t>
  </si>
  <si>
    <t>H260804117255500</t>
  </si>
  <si>
    <t>Ghada Al Mutairi</t>
  </si>
  <si>
    <t>DUBAI</t>
  </si>
  <si>
    <t>DELUXE SUITE - KING BED - CITY</t>
  </si>
  <si>
    <t>H260804117255500_1832857</t>
  </si>
  <si>
    <t>2500054419</t>
  </si>
  <si>
    <t>QR</t>
  </si>
  <si>
    <t>4860340073</t>
  </si>
  <si>
    <t>74BB4C</t>
  </si>
  <si>
    <t>08/07/2026</t>
  </si>
  <si>
    <t>08/11/2026</t>
  </si>
  <si>
    <t>000532827</t>
  </si>
  <si>
    <t>ALZAMANAN ALI</t>
  </si>
  <si>
    <t>RUH-DOH-JFK-DOH-RUH</t>
  </si>
  <si>
    <t>A260804203535500_2093507</t>
  </si>
  <si>
    <t>2500054448</t>
  </si>
  <si>
    <t>6A72CEEAA74EDD23</t>
  </si>
  <si>
    <t>08/08/2026</t>
  </si>
  <si>
    <t>H26080525085500</t>
  </si>
  <si>
    <t>NAIF MUNEER</t>
  </si>
  <si>
    <t>H26080525085500_7040942</t>
  </si>
  <si>
    <t>2500054546</t>
  </si>
  <si>
    <t>SV</t>
  </si>
  <si>
    <t>4860340074</t>
  </si>
  <si>
    <t>7WV5Q3</t>
  </si>
  <si>
    <t>000533715</t>
  </si>
  <si>
    <t>Mr Yazeed Albalawi</t>
  </si>
  <si>
    <t>RUH-URY</t>
  </si>
  <si>
    <t>A26080678965500_995569</t>
  </si>
  <si>
    <t>2500054540</t>
  </si>
  <si>
    <t>YYHI2P</t>
  </si>
  <si>
    <t>08/23/2026</t>
  </si>
  <si>
    <t>000533729</t>
  </si>
  <si>
    <t>AHMED ALRUMI</t>
  </si>
  <si>
    <t>MXP-RUH</t>
  </si>
  <si>
    <t>A26080683165500_7907787</t>
  </si>
  <si>
    <t>000002</t>
  </si>
  <si>
    <t>4860340077</t>
  </si>
  <si>
    <t>7X3TSE</t>
  </si>
  <si>
    <t>08/10/2026</t>
  </si>
  <si>
    <t>ALRUMI AHMED</t>
  </si>
  <si>
    <t>RUH-MXP</t>
  </si>
  <si>
    <t>Q</t>
  </si>
  <si>
    <t>000003</t>
  </si>
  <si>
    <t>4860340079</t>
  </si>
  <si>
    <t>ALRUMI LAMA</t>
  </si>
  <si>
    <t>000004</t>
  </si>
  <si>
    <t>4860340080</t>
  </si>
  <si>
    <t>ALRUMI SAUD</t>
  </si>
  <si>
    <t>000005</t>
  </si>
  <si>
    <t>4860340075</t>
  </si>
  <si>
    <t>ALOSAIMI HAIFA</t>
  </si>
  <si>
    <t>000006</t>
  </si>
  <si>
    <t>4860340078</t>
  </si>
  <si>
    <t>ALRUMI FAISAL</t>
  </si>
  <si>
    <t>000007</t>
  </si>
  <si>
    <t>4860340081</t>
  </si>
  <si>
    <t>ALRUMI YOUSEF</t>
  </si>
  <si>
    <t>000008</t>
  </si>
  <si>
    <t>4860340076</t>
  </si>
  <si>
    <t>ALROUMI ABDULAZIZ</t>
  </si>
  <si>
    <t>000009</t>
  </si>
  <si>
    <t>4860340082</t>
  </si>
  <si>
    <t>ALRUMI MOHAMMED</t>
  </si>
  <si>
    <t>000010</t>
  </si>
  <si>
    <t>4860340083</t>
  </si>
  <si>
    <t>ALRUMI SALEH</t>
  </si>
  <si>
    <t>2500054541</t>
  </si>
  <si>
    <t>ODDGUW</t>
  </si>
  <si>
    <t>000533802</t>
  </si>
  <si>
    <t>MESHARI ALRUMI</t>
  </si>
  <si>
    <t>A260806105755500_1907767</t>
  </si>
  <si>
    <t>4860340084</t>
  </si>
  <si>
    <t>7YCRHF</t>
  </si>
  <si>
    <t>ALRUMI MESHARI</t>
  </si>
  <si>
    <t>2500054488</t>
  </si>
  <si>
    <t>RJ</t>
  </si>
  <si>
    <t>4860340085</t>
  </si>
  <si>
    <t>82MGSR</t>
  </si>
  <si>
    <t>08/09/2026</t>
  </si>
  <si>
    <t>000533912</t>
  </si>
  <si>
    <t>ALI SHADAKHT</t>
  </si>
  <si>
    <t>DMM-AMM</t>
  </si>
  <si>
    <t>A260806150555500_2295581</t>
  </si>
  <si>
    <t>4860340086</t>
  </si>
  <si>
    <t>MEER OMRAN</t>
  </si>
  <si>
    <t>2500054489</t>
  </si>
  <si>
    <t>4860340087</t>
  </si>
  <si>
    <t>83J5ES</t>
  </si>
  <si>
    <t>000533935</t>
  </si>
  <si>
    <t>HUSAIN ALI</t>
  </si>
  <si>
    <t>A260806166645500_5400517</t>
  </si>
  <si>
    <t>2500054499</t>
  </si>
  <si>
    <t>THE WALL STREET HOTE</t>
  </si>
  <si>
    <t>2528283690</t>
  </si>
  <si>
    <t>EXPEDIA</t>
  </si>
  <si>
    <t>4</t>
  </si>
  <si>
    <t>H260806170525500</t>
  </si>
  <si>
    <t>Ali AlZamanan</t>
  </si>
  <si>
    <t>NEW YORK</t>
  </si>
  <si>
    <t>STANDARD SUITE - KING BED (CAR</t>
  </si>
  <si>
    <t>H260806170525500_463310</t>
  </si>
  <si>
    <t>2500054490</t>
  </si>
  <si>
    <t>4860340088</t>
  </si>
  <si>
    <t>92TJKE</t>
  </si>
  <si>
    <t>000534719</t>
  </si>
  <si>
    <t>ALSALOOM EJLAL</t>
  </si>
  <si>
    <t>A260808117075500_4574094</t>
  </si>
  <si>
    <t>2500054542</t>
  </si>
  <si>
    <t>F3</t>
  </si>
  <si>
    <t>AFNQUR</t>
  </si>
  <si>
    <t>08/18/2026</t>
  </si>
  <si>
    <t>08/22/2026</t>
  </si>
  <si>
    <t>000534737</t>
  </si>
  <si>
    <t>MS SALWA ALGHAMDI MR SALEH</t>
  </si>
  <si>
    <t>RUH-ABT-RUH</t>
  </si>
  <si>
    <t>A260808127505500_761580</t>
  </si>
  <si>
    <t>2500054403</t>
  </si>
  <si>
    <t>Credit for Returns</t>
  </si>
  <si>
    <t>4860340047</t>
  </si>
  <si>
    <t>9L9FI2</t>
  </si>
  <si>
    <t>07/25/2026</t>
  </si>
  <si>
    <t>000523517</t>
  </si>
  <si>
    <t>ASSIRI ADIBAH</t>
  </si>
  <si>
    <t>RUH-AHB-RUH</t>
  </si>
  <si>
    <t>N</t>
  </si>
  <si>
    <t>A26071707645500_557347_R0</t>
  </si>
  <si>
    <t>2500054404</t>
  </si>
  <si>
    <t>KC25KA</t>
  </si>
  <si>
    <t>000518517</t>
  </si>
  <si>
    <t>Ms Sahar Almalki</t>
  </si>
  <si>
    <t>TIF-RUH</t>
  </si>
  <si>
    <t>A260707108955500_47699_R0</t>
  </si>
  <si>
    <t>2500054500</t>
  </si>
  <si>
    <t>PK</t>
  </si>
  <si>
    <t>4860340038</t>
  </si>
  <si>
    <t>9TV9XS</t>
  </si>
  <si>
    <t>07/17/2026</t>
  </si>
  <si>
    <t>000520628</t>
  </si>
  <si>
    <t>MS SUMAIRA MANSOOR</t>
  </si>
  <si>
    <t>RUH-LHE-RUH</t>
  </si>
  <si>
    <t>832</t>
  </si>
  <si>
    <t>A260711108345500_61183_R0</t>
  </si>
  <si>
    <t>Online - Change Fee</t>
  </si>
  <si>
    <t>Ms Sumaira Mansoor</t>
  </si>
  <si>
    <t>Customer Name</t>
  </si>
  <si>
    <t>Invoice Number</t>
  </si>
  <si>
    <t>line Item</t>
  </si>
  <si>
    <t>Billing Type</t>
  </si>
  <si>
    <t>Issue Date</t>
  </si>
  <si>
    <t>Service Type</t>
  </si>
  <si>
    <t>Service Provider</t>
  </si>
  <si>
    <t>Service Reference</t>
  </si>
  <si>
    <t>Description of Service</t>
  </si>
  <si>
    <t>Supplier Name</t>
  </si>
  <si>
    <t>Employee ID</t>
  </si>
  <si>
    <t>Department</t>
  </si>
  <si>
    <t>PNR No</t>
  </si>
  <si>
    <t>Booking Date</t>
  </si>
  <si>
    <t>Check In Date</t>
  </si>
  <si>
    <t>Check Out Date</t>
  </si>
  <si>
    <t>Supply Date</t>
  </si>
  <si>
    <t>Qty</t>
  </si>
  <si>
    <t>No of Rooms</t>
  </si>
  <si>
    <t>No of Nights</t>
  </si>
  <si>
    <t>T/O Number</t>
  </si>
  <si>
    <t>Client Name</t>
  </si>
  <si>
    <t>Route</t>
  </si>
  <si>
    <t>Destination City</t>
  </si>
  <si>
    <t>Class/Type</t>
  </si>
  <si>
    <t>Total Price W.O VAT</t>
  </si>
  <si>
    <t>VAT %</t>
  </si>
  <si>
    <t>VAT</t>
  </si>
  <si>
    <t>Airline Can Fee</t>
  </si>
  <si>
    <t>Total Invoice Amount</t>
  </si>
  <si>
    <t>Currency</t>
  </si>
  <si>
    <t>Booking ID</t>
  </si>
  <si>
    <t>Customer ID</t>
  </si>
  <si>
    <t>DOM/INT</t>
  </si>
  <si>
    <t xml:space="preserve">commision amount </t>
  </si>
  <si>
    <t xml:space="preserve">net payable amount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</si>
</sst>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0">
    <xf numFmtId="0" fontId="0" fillId="0" borderId="0" xfId="0"/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3" fontId="0" fillId="2" borderId="0" xfId="1" applyFont="1" applyFill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0" borderId="0" xfId="1" applyFont="1"/>
    <xf numFmtId="43" fontId="0" fillId="2" borderId="0" xfId="1" applyFont="1" applyFill="1" applyAlignment="1">
      <alignment horizontal="left"/>
    </xf>
    <xf numFmtId="43" fontId="2" fillId="2" borderId="0" xfId="1" applyFont="1" applyFill="1" applyAlignment="1">
      <alignment horizontal="center" vertical="center"/>
    </xf>
    <xf numFmtId="43" fontId="0" fillId="0" borderId="0" xfId="0" applyNumberFormat="1"/>
  </cellXfs>
  <cellStyles count="3">
    <cellStyle name="Comma" xfId="1" builtinId="3"/>
    <cellStyle name="Normal" xfId="0" builtinId="0"/>
    <cellStyle name="Normal 2" xfId="2" xr:uid="{6BCCDE11-6D0B-47F4-B22F-E65ECE3A6A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7456A-3D86-4E66-8081-34428A40FE56}">
  <dimension ref="A1:AM33"/>
  <sheetViews>
    <sheetView tabSelected="1" topLeftCell="X1" workbookViewId="0">
      <selection activeCell="AF31" sqref="AF31:AH31"/>
    </sheetView>
  </sheetViews>
  <sheetFormatPr defaultRowHeight="15" x14ac:dyDescent="0.25"/>
  <cols>
    <col min="1" max="1" width="11.7109375" bestFit="1" customWidth="1"/>
    <col min="2" max="2" width="9" bestFit="1" customWidth="1"/>
    <col min="3" max="3" width="31.7109375" bestFit="1" customWidth="1"/>
    <col min="4" max="4" width="15" bestFit="1" customWidth="1"/>
    <col min="5" max="5" width="8.5703125" bestFit="1" customWidth="1"/>
    <col min="6" max="6" width="16.28515625" bestFit="1" customWidth="1"/>
    <col min="7" max="7" width="10.42578125" bestFit="1" customWidth="1"/>
    <col min="8" max="8" width="11.5703125" bestFit="1" customWidth="1"/>
    <col min="9" max="9" width="23.7109375" bestFit="1" customWidth="1"/>
    <col min="10" max="10" width="18.42578125" bestFit="1" customWidth="1"/>
    <col min="11" max="11" width="21.85546875" bestFit="1" customWidth="1"/>
    <col min="12" max="12" width="15.42578125" bestFit="1" customWidth="1"/>
    <col min="13" max="13" width="11.7109375" bestFit="1" customWidth="1"/>
    <col min="14" max="14" width="35.140625" bestFit="1" customWidth="1"/>
    <col min="15" max="15" width="9.28515625" bestFit="1" customWidth="1"/>
    <col min="16" max="16" width="12.5703125" bestFit="1" customWidth="1"/>
    <col min="17" max="17" width="12.85546875" bestFit="1" customWidth="1"/>
    <col min="18" max="18" width="14.42578125" bestFit="1" customWidth="1"/>
    <col min="19" max="19" width="11.28515625" bestFit="1" customWidth="1"/>
    <col min="20" max="20" width="3.85546875" bestFit="1" customWidth="1"/>
    <col min="21" max="21" width="12.28515625" bestFit="1" customWidth="1"/>
    <col min="22" max="22" width="11.85546875" bestFit="1" customWidth="1"/>
    <col min="23" max="23" width="17.5703125" bestFit="1" customWidth="1"/>
    <col min="24" max="24" width="28.85546875" bestFit="1" customWidth="1"/>
    <col min="25" max="25" width="22.5703125" bestFit="1" customWidth="1"/>
    <col min="26" max="26" width="14.85546875" bestFit="1" customWidth="1"/>
    <col min="27" max="27" width="30.85546875" bestFit="1" customWidth="1"/>
    <col min="28" max="28" width="18.5703125" style="6" bestFit="1" customWidth="1"/>
    <col min="29" max="29" width="12.7109375" style="6" bestFit="1" customWidth="1"/>
    <col min="30" max="30" width="8.7109375" style="6" bestFit="1" customWidth="1"/>
    <col min="31" max="31" width="14.140625" style="6" bestFit="1" customWidth="1"/>
    <col min="32" max="32" width="19.85546875" style="6" bestFit="1" customWidth="1"/>
    <col min="33" max="34" width="19.85546875" style="6" customWidth="1"/>
    <col min="35" max="35" width="8.7109375" bestFit="1" customWidth="1"/>
    <col min="36" max="36" width="26.5703125" bestFit="1" customWidth="1"/>
  </cols>
  <sheetData>
    <row r="1" spans="1:37" x14ac:dyDescent="0.25">
      <c r="A1" s="1" t="s">
        <v>224</v>
      </c>
      <c r="B1" s="1" t="s">
        <v>225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  <c r="N1" s="1" t="s">
        <v>203</v>
      </c>
      <c r="O1" s="1" t="s">
        <v>204</v>
      </c>
      <c r="P1" s="1" t="s">
        <v>205</v>
      </c>
      <c r="Q1" s="1" t="s">
        <v>206</v>
      </c>
      <c r="R1" s="1" t="s">
        <v>207</v>
      </c>
      <c r="S1" s="1" t="s">
        <v>208</v>
      </c>
      <c r="T1" s="1" t="s">
        <v>209</v>
      </c>
      <c r="U1" s="1" t="s">
        <v>210</v>
      </c>
      <c r="V1" s="1" t="s">
        <v>211</v>
      </c>
      <c r="W1" s="1" t="s">
        <v>212</v>
      </c>
      <c r="X1" s="1" t="s">
        <v>213</v>
      </c>
      <c r="Y1" s="1" t="s">
        <v>214</v>
      </c>
      <c r="Z1" s="1" t="s">
        <v>215</v>
      </c>
      <c r="AA1" s="1" t="s">
        <v>216</v>
      </c>
      <c r="AB1" s="4" t="s">
        <v>217</v>
      </c>
      <c r="AC1" s="4" t="s">
        <v>218</v>
      </c>
      <c r="AD1" s="4" t="s">
        <v>219</v>
      </c>
      <c r="AE1" s="4" t="s">
        <v>220</v>
      </c>
      <c r="AF1" s="4" t="s">
        <v>221</v>
      </c>
      <c r="AG1" s="1" t="s">
        <v>226</v>
      </c>
      <c r="AH1" s="7" t="s">
        <v>227</v>
      </c>
      <c r="AI1" s="1" t="s">
        <v>222</v>
      </c>
      <c r="AJ1" s="1" t="s">
        <v>223</v>
      </c>
    </row>
    <row r="2" spans="1:37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>
        <v>46237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8</v>
      </c>
      <c r="M2" s="2" t="s">
        <v>8</v>
      </c>
      <c r="N2" s="2" t="s">
        <v>10</v>
      </c>
      <c r="O2" s="2" t="s">
        <v>11</v>
      </c>
      <c r="P2" s="3">
        <v>46237</v>
      </c>
      <c r="Q2" s="2" t="s">
        <v>12</v>
      </c>
      <c r="R2" s="2" t="s">
        <v>12</v>
      </c>
      <c r="S2" s="2" t="s">
        <v>8</v>
      </c>
      <c r="T2" s="2" t="s">
        <v>13</v>
      </c>
      <c r="U2" s="2" t="s">
        <v>8</v>
      </c>
      <c r="V2" s="2" t="s">
        <v>8</v>
      </c>
      <c r="W2" s="2" t="s">
        <v>14</v>
      </c>
      <c r="X2" s="2" t="s">
        <v>15</v>
      </c>
      <c r="Y2" s="2" t="s">
        <v>16</v>
      </c>
      <c r="Z2" s="2" t="s">
        <v>8</v>
      </c>
      <c r="AA2" s="2" t="s">
        <v>17</v>
      </c>
      <c r="AB2" s="5">
        <v>372.55</v>
      </c>
      <c r="AC2" s="5">
        <v>15</v>
      </c>
      <c r="AD2" s="5">
        <v>55.88</v>
      </c>
      <c r="AE2" s="5" t="s">
        <v>18</v>
      </c>
      <c r="AF2" s="5">
        <v>428.43</v>
      </c>
      <c r="AG2" s="5">
        <f>IF(AND(LEFT($AJ2)="A",SUM($AB2)&gt;=1),$AB2*0.03,IF(LEFT($AJ2)="H",$AB2*0.05,0))*1.15</f>
        <v>12.852975000000001</v>
      </c>
      <c r="AH2" s="6">
        <f>AF2-AG2</f>
        <v>415.57702499999999</v>
      </c>
      <c r="AI2" s="2" t="s">
        <v>19</v>
      </c>
      <c r="AJ2" s="2" t="s">
        <v>20</v>
      </c>
      <c r="AK2" s="9"/>
    </row>
    <row r="3" spans="1:37" x14ac:dyDescent="0.25">
      <c r="A3" s="2" t="s">
        <v>0</v>
      </c>
      <c r="B3" s="2" t="s">
        <v>21</v>
      </c>
      <c r="C3" s="2" t="s">
        <v>2</v>
      </c>
      <c r="D3" s="2" t="s">
        <v>22</v>
      </c>
      <c r="E3" s="2" t="s">
        <v>4</v>
      </c>
      <c r="F3" s="2" t="s">
        <v>5</v>
      </c>
      <c r="G3" s="3">
        <v>46238</v>
      </c>
      <c r="H3" s="2" t="s">
        <v>6</v>
      </c>
      <c r="I3" s="2" t="s">
        <v>23</v>
      </c>
      <c r="J3" s="2" t="s">
        <v>24</v>
      </c>
      <c r="K3" s="2" t="s">
        <v>9</v>
      </c>
      <c r="L3" s="2" t="s">
        <v>8</v>
      </c>
      <c r="M3" s="2" t="s">
        <v>8</v>
      </c>
      <c r="N3" s="2" t="s">
        <v>10</v>
      </c>
      <c r="O3" s="2" t="s">
        <v>25</v>
      </c>
      <c r="P3" s="3">
        <v>46238</v>
      </c>
      <c r="Q3" s="2" t="s">
        <v>26</v>
      </c>
      <c r="R3" s="2" t="s">
        <v>26</v>
      </c>
      <c r="S3" s="2" t="s">
        <v>8</v>
      </c>
      <c r="T3" s="2" t="s">
        <v>13</v>
      </c>
      <c r="U3" s="2" t="s">
        <v>8</v>
      </c>
      <c r="V3" s="2" t="s">
        <v>8</v>
      </c>
      <c r="W3" s="2" t="s">
        <v>27</v>
      </c>
      <c r="X3" s="2" t="s">
        <v>28</v>
      </c>
      <c r="Y3" s="2" t="s">
        <v>29</v>
      </c>
      <c r="Z3" s="2" t="s">
        <v>8</v>
      </c>
      <c r="AA3" s="2" t="s">
        <v>30</v>
      </c>
      <c r="AB3" s="5">
        <v>9054.0300000000007</v>
      </c>
      <c r="AC3" s="5">
        <v>0</v>
      </c>
      <c r="AD3" s="5">
        <v>0</v>
      </c>
      <c r="AE3" s="5" t="s">
        <v>18</v>
      </c>
      <c r="AF3" s="5">
        <v>9054.0300000000007</v>
      </c>
      <c r="AG3" s="5">
        <f t="shared" ref="AG3:AG29" si="0">IF(AND(LEFT($AJ3)="A",SUM($AB3)&gt;=1),$AB3*0.03,IF(LEFT($AJ3)="H",$AB3*0.05,0))*1.15</f>
        <v>312.364035</v>
      </c>
      <c r="AH3" s="6">
        <f t="shared" ref="AH3:AH18" si="1">AF3-AG3</f>
        <v>8741.6659650000001</v>
      </c>
      <c r="AI3" s="2" t="s">
        <v>19</v>
      </c>
      <c r="AJ3" s="2" t="s">
        <v>31</v>
      </c>
      <c r="AK3" s="9"/>
    </row>
    <row r="4" spans="1:37" x14ac:dyDescent="0.25">
      <c r="A4" s="2" t="s">
        <v>0</v>
      </c>
      <c r="B4" s="2" t="s">
        <v>21</v>
      </c>
      <c r="C4" s="2" t="s">
        <v>2</v>
      </c>
      <c r="D4" s="2" t="s">
        <v>32</v>
      </c>
      <c r="E4" s="2" t="s">
        <v>4</v>
      </c>
      <c r="F4" s="2" t="s">
        <v>5</v>
      </c>
      <c r="G4" s="3">
        <v>46238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8</v>
      </c>
      <c r="M4" s="2" t="s">
        <v>8</v>
      </c>
      <c r="N4" s="2" t="s">
        <v>10</v>
      </c>
      <c r="O4" s="2" t="s">
        <v>33</v>
      </c>
      <c r="P4" s="3">
        <v>46238</v>
      </c>
      <c r="Q4" s="2" t="s">
        <v>34</v>
      </c>
      <c r="R4" s="2" t="s">
        <v>34</v>
      </c>
      <c r="S4" s="2" t="s">
        <v>8</v>
      </c>
      <c r="T4" s="2" t="s">
        <v>13</v>
      </c>
      <c r="U4" s="2" t="s">
        <v>8</v>
      </c>
      <c r="V4" s="2" t="s">
        <v>8</v>
      </c>
      <c r="W4" s="2" t="s">
        <v>35</v>
      </c>
      <c r="X4" s="2" t="s">
        <v>36</v>
      </c>
      <c r="Y4" s="2" t="s">
        <v>37</v>
      </c>
      <c r="Z4" s="2" t="s">
        <v>8</v>
      </c>
      <c r="AA4" s="2" t="s">
        <v>17</v>
      </c>
      <c r="AB4" s="5">
        <v>702.54</v>
      </c>
      <c r="AC4" s="5">
        <v>0</v>
      </c>
      <c r="AD4" s="5">
        <v>0</v>
      </c>
      <c r="AE4" s="5" t="s">
        <v>18</v>
      </c>
      <c r="AF4" s="5">
        <v>702.54</v>
      </c>
      <c r="AG4" s="5">
        <f t="shared" si="0"/>
        <v>24.237629999999996</v>
      </c>
      <c r="AH4" s="6">
        <f t="shared" si="1"/>
        <v>678.30237</v>
      </c>
      <c r="AI4" s="2" t="s">
        <v>19</v>
      </c>
      <c r="AJ4" s="2" t="s">
        <v>38</v>
      </c>
      <c r="AK4" s="9"/>
    </row>
    <row r="5" spans="1:37" x14ac:dyDescent="0.25">
      <c r="A5" s="2" t="s">
        <v>0</v>
      </c>
      <c r="B5" s="2" t="s">
        <v>21</v>
      </c>
      <c r="C5" s="2" t="s">
        <v>2</v>
      </c>
      <c r="D5" s="2" t="s">
        <v>39</v>
      </c>
      <c r="E5" s="2" t="s">
        <v>4</v>
      </c>
      <c r="F5" s="2" t="s">
        <v>5</v>
      </c>
      <c r="G5" s="3">
        <v>46238</v>
      </c>
      <c r="H5" s="2" t="s">
        <v>40</v>
      </c>
      <c r="I5" s="2" t="s">
        <v>41</v>
      </c>
      <c r="J5" s="2" t="s">
        <v>42</v>
      </c>
      <c r="K5" s="2" t="s">
        <v>43</v>
      </c>
      <c r="L5" s="2" t="s">
        <v>44</v>
      </c>
      <c r="M5" s="2" t="s">
        <v>8</v>
      </c>
      <c r="N5" s="2" t="s">
        <v>10</v>
      </c>
      <c r="O5" s="2" t="s">
        <v>8</v>
      </c>
      <c r="P5" s="3">
        <v>46238</v>
      </c>
      <c r="Q5" s="2" t="s">
        <v>34</v>
      </c>
      <c r="R5" s="2" t="s">
        <v>45</v>
      </c>
      <c r="S5" s="2" t="s">
        <v>8</v>
      </c>
      <c r="T5" s="2" t="s">
        <v>13</v>
      </c>
      <c r="U5" s="2" t="s">
        <v>13</v>
      </c>
      <c r="V5" s="2" t="s">
        <v>46</v>
      </c>
      <c r="W5" s="2" t="s">
        <v>47</v>
      </c>
      <c r="X5" s="2" t="s">
        <v>48</v>
      </c>
      <c r="Y5" s="2" t="s">
        <v>8</v>
      </c>
      <c r="Z5" s="2" t="s">
        <v>49</v>
      </c>
      <c r="AA5" s="2" t="s">
        <v>50</v>
      </c>
      <c r="AB5" s="5">
        <v>723.02</v>
      </c>
      <c r="AC5" s="5">
        <v>0</v>
      </c>
      <c r="AD5" s="5">
        <v>0</v>
      </c>
      <c r="AE5" s="5" t="s">
        <v>18</v>
      </c>
      <c r="AF5" s="5">
        <v>723.02</v>
      </c>
      <c r="AG5" s="5">
        <f t="shared" si="0"/>
        <v>41.573650000000001</v>
      </c>
      <c r="AH5" s="6">
        <f t="shared" si="1"/>
        <v>681.44634999999994</v>
      </c>
      <c r="AI5" s="2" t="s">
        <v>19</v>
      </c>
      <c r="AJ5" s="2" t="s">
        <v>51</v>
      </c>
      <c r="AK5" s="9"/>
    </row>
    <row r="6" spans="1:37" x14ac:dyDescent="0.25">
      <c r="A6" s="2" t="s">
        <v>0</v>
      </c>
      <c r="B6" s="2" t="s">
        <v>21</v>
      </c>
      <c r="C6" s="2" t="s">
        <v>2</v>
      </c>
      <c r="D6" s="2" t="s">
        <v>52</v>
      </c>
      <c r="E6" s="2" t="s">
        <v>4</v>
      </c>
      <c r="F6" s="2" t="s">
        <v>5</v>
      </c>
      <c r="G6" s="3">
        <v>46238</v>
      </c>
      <c r="H6" s="2" t="s">
        <v>6</v>
      </c>
      <c r="I6" s="2" t="s">
        <v>53</v>
      </c>
      <c r="J6" s="2" t="s">
        <v>54</v>
      </c>
      <c r="K6" s="2" t="s">
        <v>9</v>
      </c>
      <c r="L6" s="2" t="s">
        <v>8</v>
      </c>
      <c r="M6" s="2" t="s">
        <v>8</v>
      </c>
      <c r="N6" s="2" t="s">
        <v>10</v>
      </c>
      <c r="O6" s="2" t="s">
        <v>55</v>
      </c>
      <c r="P6" s="3">
        <v>46238</v>
      </c>
      <c r="Q6" s="2" t="s">
        <v>56</v>
      </c>
      <c r="R6" s="2" t="s">
        <v>57</v>
      </c>
      <c r="S6" s="2" t="s">
        <v>8</v>
      </c>
      <c r="T6" s="2" t="s">
        <v>13</v>
      </c>
      <c r="U6" s="2" t="s">
        <v>8</v>
      </c>
      <c r="V6" s="2" t="s">
        <v>8</v>
      </c>
      <c r="W6" s="2" t="s">
        <v>58</v>
      </c>
      <c r="X6" s="2" t="s">
        <v>59</v>
      </c>
      <c r="Y6" s="2" t="s">
        <v>60</v>
      </c>
      <c r="Z6" s="2" t="s">
        <v>8</v>
      </c>
      <c r="AA6" s="2" t="s">
        <v>6</v>
      </c>
      <c r="AB6" s="5">
        <v>25409.25</v>
      </c>
      <c r="AC6" s="5">
        <v>0</v>
      </c>
      <c r="AD6" s="5">
        <v>0</v>
      </c>
      <c r="AE6" s="5" t="s">
        <v>18</v>
      </c>
      <c r="AF6" s="5">
        <v>25409.25</v>
      </c>
      <c r="AG6" s="5">
        <f t="shared" si="0"/>
        <v>876.61912499999983</v>
      </c>
      <c r="AH6" s="6">
        <f t="shared" si="1"/>
        <v>24532.630874999999</v>
      </c>
      <c r="AI6" s="2" t="s">
        <v>19</v>
      </c>
      <c r="AJ6" s="2" t="s">
        <v>61</v>
      </c>
      <c r="AK6" s="9"/>
    </row>
    <row r="7" spans="1:37" x14ac:dyDescent="0.25">
      <c r="A7" s="2" t="s">
        <v>0</v>
      </c>
      <c r="B7" s="2" t="s">
        <v>21</v>
      </c>
      <c r="C7" s="2" t="s">
        <v>2</v>
      </c>
      <c r="D7" s="2" t="s">
        <v>62</v>
      </c>
      <c r="E7" s="2" t="s">
        <v>4</v>
      </c>
      <c r="F7" s="2" t="s">
        <v>5</v>
      </c>
      <c r="G7" s="3">
        <v>46239</v>
      </c>
      <c r="H7" s="2" t="s">
        <v>40</v>
      </c>
      <c r="I7" s="2" t="s">
        <v>41</v>
      </c>
      <c r="J7" s="2" t="s">
        <v>63</v>
      </c>
      <c r="K7" s="2" t="s">
        <v>43</v>
      </c>
      <c r="L7" s="2" t="s">
        <v>44</v>
      </c>
      <c r="M7" s="2" t="s">
        <v>8</v>
      </c>
      <c r="N7" s="2" t="s">
        <v>10</v>
      </c>
      <c r="O7" s="2" t="s">
        <v>8</v>
      </c>
      <c r="P7" s="3">
        <v>46239</v>
      </c>
      <c r="Q7" s="2" t="s">
        <v>45</v>
      </c>
      <c r="R7" s="2" t="s">
        <v>64</v>
      </c>
      <c r="S7" s="2" t="s">
        <v>8</v>
      </c>
      <c r="T7" s="2" t="s">
        <v>13</v>
      </c>
      <c r="U7" s="2" t="s">
        <v>13</v>
      </c>
      <c r="V7" s="2" t="s">
        <v>46</v>
      </c>
      <c r="W7" s="2" t="s">
        <v>65</v>
      </c>
      <c r="X7" s="2" t="s">
        <v>66</v>
      </c>
      <c r="Y7" s="2" t="s">
        <v>8</v>
      </c>
      <c r="Z7" s="2" t="s">
        <v>49</v>
      </c>
      <c r="AA7" s="2" t="s">
        <v>50</v>
      </c>
      <c r="AB7" s="5">
        <v>742.5</v>
      </c>
      <c r="AC7" s="5">
        <v>0</v>
      </c>
      <c r="AD7" s="5">
        <v>0</v>
      </c>
      <c r="AE7" s="5" t="s">
        <v>18</v>
      </c>
      <c r="AF7" s="5">
        <v>742.5</v>
      </c>
      <c r="AG7" s="5">
        <f t="shared" si="0"/>
        <v>42.693749999999994</v>
      </c>
      <c r="AH7" s="6">
        <f t="shared" si="1"/>
        <v>699.80624999999998</v>
      </c>
      <c r="AI7" s="2" t="s">
        <v>19</v>
      </c>
      <c r="AJ7" s="2" t="s">
        <v>67</v>
      </c>
      <c r="AK7" s="9"/>
    </row>
    <row r="8" spans="1:37" x14ac:dyDescent="0.25">
      <c r="A8" s="2" t="s">
        <v>0</v>
      </c>
      <c r="B8" s="2" t="s">
        <v>1</v>
      </c>
      <c r="C8" s="2" t="s">
        <v>2</v>
      </c>
      <c r="D8" s="2" t="s">
        <v>68</v>
      </c>
      <c r="E8" s="2" t="s">
        <v>4</v>
      </c>
      <c r="F8" s="2" t="s">
        <v>5</v>
      </c>
      <c r="G8" s="3">
        <v>46240</v>
      </c>
      <c r="H8" s="2" t="s">
        <v>6</v>
      </c>
      <c r="I8" s="2" t="s">
        <v>69</v>
      </c>
      <c r="J8" s="2" t="s">
        <v>70</v>
      </c>
      <c r="K8" s="2" t="s">
        <v>9</v>
      </c>
      <c r="L8" s="2" t="s">
        <v>8</v>
      </c>
      <c r="M8" s="2" t="s">
        <v>8</v>
      </c>
      <c r="N8" s="2" t="s">
        <v>10</v>
      </c>
      <c r="O8" s="2" t="s">
        <v>71</v>
      </c>
      <c r="P8" s="3">
        <v>46240</v>
      </c>
      <c r="Q8" s="2" t="s">
        <v>56</v>
      </c>
      <c r="R8" s="2" t="s">
        <v>56</v>
      </c>
      <c r="S8" s="2" t="s">
        <v>8</v>
      </c>
      <c r="T8" s="2" t="s">
        <v>13</v>
      </c>
      <c r="U8" s="2" t="s">
        <v>8</v>
      </c>
      <c r="V8" s="2" t="s">
        <v>8</v>
      </c>
      <c r="W8" s="2" t="s">
        <v>72</v>
      </c>
      <c r="X8" s="2" t="s">
        <v>73</v>
      </c>
      <c r="Y8" s="2" t="s">
        <v>74</v>
      </c>
      <c r="Z8" s="2" t="s">
        <v>8</v>
      </c>
      <c r="AA8" s="2" t="s">
        <v>17</v>
      </c>
      <c r="AB8" s="5">
        <v>522.21</v>
      </c>
      <c r="AC8" s="5">
        <v>15</v>
      </c>
      <c r="AD8" s="5">
        <v>78.33</v>
      </c>
      <c r="AE8" s="5" t="s">
        <v>18</v>
      </c>
      <c r="AF8" s="5">
        <v>600.54</v>
      </c>
      <c r="AG8" s="5">
        <f t="shared" si="0"/>
        <v>18.016244999999998</v>
      </c>
      <c r="AH8" s="6">
        <f t="shared" si="1"/>
        <v>582.52375499999994</v>
      </c>
      <c r="AI8" s="2" t="s">
        <v>19</v>
      </c>
      <c r="AJ8" s="2" t="s">
        <v>75</v>
      </c>
      <c r="AK8" s="9"/>
    </row>
    <row r="9" spans="1:37" x14ac:dyDescent="0.25">
      <c r="A9" s="2" t="s">
        <v>0</v>
      </c>
      <c r="B9" s="2" t="s">
        <v>21</v>
      </c>
      <c r="C9" s="2" t="s">
        <v>2</v>
      </c>
      <c r="D9" s="2" t="s">
        <v>76</v>
      </c>
      <c r="E9" s="2" t="s">
        <v>4</v>
      </c>
      <c r="F9" s="2" t="s">
        <v>5</v>
      </c>
      <c r="G9" s="3">
        <v>46240</v>
      </c>
      <c r="H9" s="2" t="s">
        <v>6</v>
      </c>
      <c r="I9" s="2" t="s">
        <v>7</v>
      </c>
      <c r="J9" s="2" t="s">
        <v>8</v>
      </c>
      <c r="K9" s="2" t="s">
        <v>9</v>
      </c>
      <c r="L9" s="2" t="s">
        <v>8</v>
      </c>
      <c r="M9" s="2" t="s">
        <v>8</v>
      </c>
      <c r="N9" s="2" t="s">
        <v>10</v>
      </c>
      <c r="O9" s="2" t="s">
        <v>77</v>
      </c>
      <c r="P9" s="3">
        <v>46240</v>
      </c>
      <c r="Q9" s="2" t="s">
        <v>78</v>
      </c>
      <c r="R9" s="2" t="s">
        <v>78</v>
      </c>
      <c r="S9" s="2" t="s">
        <v>8</v>
      </c>
      <c r="T9" s="2" t="s">
        <v>13</v>
      </c>
      <c r="U9" s="2" t="s">
        <v>8</v>
      </c>
      <c r="V9" s="2" t="s">
        <v>8</v>
      </c>
      <c r="W9" s="2" t="s">
        <v>79</v>
      </c>
      <c r="X9" s="2" t="s">
        <v>80</v>
      </c>
      <c r="Y9" s="2" t="s">
        <v>81</v>
      </c>
      <c r="Z9" s="2" t="s">
        <v>8</v>
      </c>
      <c r="AA9" s="2" t="s">
        <v>17</v>
      </c>
      <c r="AB9" s="5">
        <v>11872.04</v>
      </c>
      <c r="AC9" s="5">
        <v>0</v>
      </c>
      <c r="AD9" s="5">
        <v>0</v>
      </c>
      <c r="AE9" s="5" t="s">
        <v>18</v>
      </c>
      <c r="AF9" s="5">
        <v>11872.04</v>
      </c>
      <c r="AG9" s="5">
        <f t="shared" si="0"/>
        <v>409.58537999999999</v>
      </c>
      <c r="AH9" s="6">
        <f t="shared" si="1"/>
        <v>11462.45462</v>
      </c>
      <c r="AI9" s="2" t="s">
        <v>19</v>
      </c>
      <c r="AJ9" s="2" t="s">
        <v>82</v>
      </c>
      <c r="AK9" s="9"/>
    </row>
    <row r="10" spans="1:37" x14ac:dyDescent="0.25">
      <c r="A10" s="2" t="s">
        <v>0</v>
      </c>
      <c r="B10" s="2" t="s">
        <v>21</v>
      </c>
      <c r="C10" s="2" t="s">
        <v>2</v>
      </c>
      <c r="D10" s="2" t="s">
        <v>76</v>
      </c>
      <c r="E10" s="2" t="s">
        <v>83</v>
      </c>
      <c r="F10" s="2" t="s">
        <v>5</v>
      </c>
      <c r="G10" s="3">
        <v>46240</v>
      </c>
      <c r="H10" s="2" t="s">
        <v>6</v>
      </c>
      <c r="I10" s="2" t="s">
        <v>69</v>
      </c>
      <c r="J10" s="2" t="s">
        <v>84</v>
      </c>
      <c r="K10" s="2" t="s">
        <v>9</v>
      </c>
      <c r="L10" s="2" t="s">
        <v>8</v>
      </c>
      <c r="M10" s="2" t="s">
        <v>8</v>
      </c>
      <c r="N10" s="2" t="s">
        <v>10</v>
      </c>
      <c r="O10" s="2" t="s">
        <v>85</v>
      </c>
      <c r="P10" s="3">
        <v>46240</v>
      </c>
      <c r="Q10" s="2" t="s">
        <v>86</v>
      </c>
      <c r="R10" s="2" t="s">
        <v>86</v>
      </c>
      <c r="S10" s="2" t="s">
        <v>8</v>
      </c>
      <c r="T10" s="2" t="s">
        <v>13</v>
      </c>
      <c r="U10" s="2" t="s">
        <v>8</v>
      </c>
      <c r="V10" s="2" t="s">
        <v>8</v>
      </c>
      <c r="W10" s="2" t="s">
        <v>79</v>
      </c>
      <c r="X10" s="2" t="s">
        <v>87</v>
      </c>
      <c r="Y10" s="2" t="s">
        <v>88</v>
      </c>
      <c r="Z10" s="2" t="s">
        <v>8</v>
      </c>
      <c r="AA10" s="2" t="s">
        <v>89</v>
      </c>
      <c r="AB10" s="5">
        <v>2624.88</v>
      </c>
      <c r="AC10" s="5">
        <v>0</v>
      </c>
      <c r="AD10" s="5">
        <v>0</v>
      </c>
      <c r="AE10" s="5" t="s">
        <v>18</v>
      </c>
      <c r="AF10" s="5">
        <v>2624.88</v>
      </c>
      <c r="AG10" s="5">
        <f t="shared" si="0"/>
        <v>90.558359999999993</v>
      </c>
      <c r="AH10" s="6">
        <f t="shared" si="1"/>
        <v>2534.3216400000001</v>
      </c>
      <c r="AI10" s="2" t="s">
        <v>19</v>
      </c>
      <c r="AJ10" s="2" t="s">
        <v>82</v>
      </c>
      <c r="AK10" s="9"/>
    </row>
    <row r="11" spans="1:37" x14ac:dyDescent="0.25">
      <c r="A11" s="2" t="s">
        <v>0</v>
      </c>
      <c r="B11" s="2" t="s">
        <v>21</v>
      </c>
      <c r="C11" s="2" t="s">
        <v>2</v>
      </c>
      <c r="D11" s="2" t="s">
        <v>76</v>
      </c>
      <c r="E11" s="2" t="s">
        <v>90</v>
      </c>
      <c r="F11" s="2" t="s">
        <v>5</v>
      </c>
      <c r="G11" s="3">
        <v>46240</v>
      </c>
      <c r="H11" s="2" t="s">
        <v>6</v>
      </c>
      <c r="I11" s="2" t="s">
        <v>69</v>
      </c>
      <c r="J11" s="2" t="s">
        <v>91</v>
      </c>
      <c r="K11" s="2" t="s">
        <v>9</v>
      </c>
      <c r="L11" s="2" t="s">
        <v>8</v>
      </c>
      <c r="M11" s="2" t="s">
        <v>8</v>
      </c>
      <c r="N11" s="2" t="s">
        <v>10</v>
      </c>
      <c r="O11" s="2" t="s">
        <v>85</v>
      </c>
      <c r="P11" s="3">
        <v>46240</v>
      </c>
      <c r="Q11" s="2" t="s">
        <v>86</v>
      </c>
      <c r="R11" s="2" t="s">
        <v>86</v>
      </c>
      <c r="S11" s="2" t="s">
        <v>8</v>
      </c>
      <c r="T11" s="2" t="s">
        <v>13</v>
      </c>
      <c r="U11" s="2" t="s">
        <v>8</v>
      </c>
      <c r="V11" s="2" t="s">
        <v>8</v>
      </c>
      <c r="W11" s="2" t="s">
        <v>79</v>
      </c>
      <c r="X11" s="2" t="s">
        <v>92</v>
      </c>
      <c r="Y11" s="2" t="s">
        <v>88</v>
      </c>
      <c r="Z11" s="2" t="s">
        <v>8</v>
      </c>
      <c r="AA11" s="2" t="s">
        <v>89</v>
      </c>
      <c r="AB11" s="5">
        <v>2624.88</v>
      </c>
      <c r="AC11" s="5">
        <v>0</v>
      </c>
      <c r="AD11" s="5">
        <v>0</v>
      </c>
      <c r="AE11" s="5" t="s">
        <v>18</v>
      </c>
      <c r="AF11" s="5">
        <v>2624.88</v>
      </c>
      <c r="AG11" s="5">
        <f t="shared" si="0"/>
        <v>90.558359999999993</v>
      </c>
      <c r="AH11" s="6">
        <f t="shared" si="1"/>
        <v>2534.3216400000001</v>
      </c>
      <c r="AI11" s="2" t="s">
        <v>19</v>
      </c>
      <c r="AJ11" s="2" t="s">
        <v>82</v>
      </c>
      <c r="AK11" s="9"/>
    </row>
    <row r="12" spans="1:37" x14ac:dyDescent="0.25">
      <c r="A12" s="2" t="s">
        <v>0</v>
      </c>
      <c r="B12" s="2" t="s">
        <v>21</v>
      </c>
      <c r="C12" s="2" t="s">
        <v>2</v>
      </c>
      <c r="D12" s="2" t="s">
        <v>76</v>
      </c>
      <c r="E12" s="2" t="s">
        <v>93</v>
      </c>
      <c r="F12" s="2" t="s">
        <v>5</v>
      </c>
      <c r="G12" s="3">
        <v>46240</v>
      </c>
      <c r="H12" s="2" t="s">
        <v>6</v>
      </c>
      <c r="I12" s="2" t="s">
        <v>69</v>
      </c>
      <c r="J12" s="2" t="s">
        <v>94</v>
      </c>
      <c r="K12" s="2" t="s">
        <v>9</v>
      </c>
      <c r="L12" s="2" t="s">
        <v>8</v>
      </c>
      <c r="M12" s="2" t="s">
        <v>8</v>
      </c>
      <c r="N12" s="2" t="s">
        <v>10</v>
      </c>
      <c r="O12" s="2" t="s">
        <v>85</v>
      </c>
      <c r="P12" s="3">
        <v>46240</v>
      </c>
      <c r="Q12" s="2" t="s">
        <v>86</v>
      </c>
      <c r="R12" s="2" t="s">
        <v>86</v>
      </c>
      <c r="S12" s="2" t="s">
        <v>8</v>
      </c>
      <c r="T12" s="2" t="s">
        <v>13</v>
      </c>
      <c r="U12" s="2" t="s">
        <v>8</v>
      </c>
      <c r="V12" s="2" t="s">
        <v>8</v>
      </c>
      <c r="W12" s="2" t="s">
        <v>79</v>
      </c>
      <c r="X12" s="2" t="s">
        <v>95</v>
      </c>
      <c r="Y12" s="2" t="s">
        <v>88</v>
      </c>
      <c r="Z12" s="2" t="s">
        <v>8</v>
      </c>
      <c r="AA12" s="2" t="s">
        <v>89</v>
      </c>
      <c r="AB12" s="5">
        <v>2624.88</v>
      </c>
      <c r="AC12" s="5">
        <v>0</v>
      </c>
      <c r="AD12" s="5">
        <v>0</v>
      </c>
      <c r="AE12" s="5" t="s">
        <v>18</v>
      </c>
      <c r="AF12" s="5">
        <v>2624.88</v>
      </c>
      <c r="AG12" s="5">
        <f t="shared" si="0"/>
        <v>90.558359999999993</v>
      </c>
      <c r="AH12" s="6">
        <f t="shared" si="1"/>
        <v>2534.3216400000001</v>
      </c>
      <c r="AI12" s="2" t="s">
        <v>19</v>
      </c>
      <c r="AJ12" s="2" t="s">
        <v>82</v>
      </c>
      <c r="AK12" s="9"/>
    </row>
    <row r="13" spans="1:37" x14ac:dyDescent="0.25">
      <c r="A13" s="2" t="s">
        <v>0</v>
      </c>
      <c r="B13" s="2" t="s">
        <v>21</v>
      </c>
      <c r="C13" s="2" t="s">
        <v>2</v>
      </c>
      <c r="D13" s="2" t="s">
        <v>76</v>
      </c>
      <c r="E13" s="2" t="s">
        <v>96</v>
      </c>
      <c r="F13" s="2" t="s">
        <v>5</v>
      </c>
      <c r="G13" s="3">
        <v>46240</v>
      </c>
      <c r="H13" s="2" t="s">
        <v>6</v>
      </c>
      <c r="I13" s="2" t="s">
        <v>69</v>
      </c>
      <c r="J13" s="2" t="s">
        <v>97</v>
      </c>
      <c r="K13" s="2" t="s">
        <v>9</v>
      </c>
      <c r="L13" s="2" t="s">
        <v>8</v>
      </c>
      <c r="M13" s="2" t="s">
        <v>8</v>
      </c>
      <c r="N13" s="2" t="s">
        <v>10</v>
      </c>
      <c r="O13" s="2" t="s">
        <v>85</v>
      </c>
      <c r="P13" s="3">
        <v>46240</v>
      </c>
      <c r="Q13" s="2" t="s">
        <v>86</v>
      </c>
      <c r="R13" s="2" t="s">
        <v>86</v>
      </c>
      <c r="S13" s="2" t="s">
        <v>8</v>
      </c>
      <c r="T13" s="2" t="s">
        <v>13</v>
      </c>
      <c r="U13" s="2" t="s">
        <v>8</v>
      </c>
      <c r="V13" s="2" t="s">
        <v>8</v>
      </c>
      <c r="W13" s="2" t="s">
        <v>79</v>
      </c>
      <c r="X13" s="2" t="s">
        <v>98</v>
      </c>
      <c r="Y13" s="2" t="s">
        <v>88</v>
      </c>
      <c r="Z13" s="2" t="s">
        <v>8</v>
      </c>
      <c r="AA13" s="2" t="s">
        <v>89</v>
      </c>
      <c r="AB13" s="5">
        <v>2624.88</v>
      </c>
      <c r="AC13" s="5">
        <v>0</v>
      </c>
      <c r="AD13" s="5">
        <v>0</v>
      </c>
      <c r="AE13" s="5" t="s">
        <v>18</v>
      </c>
      <c r="AF13" s="5">
        <v>2624.88</v>
      </c>
      <c r="AG13" s="5">
        <f t="shared" si="0"/>
        <v>90.558359999999993</v>
      </c>
      <c r="AH13" s="6">
        <f t="shared" si="1"/>
        <v>2534.3216400000001</v>
      </c>
      <c r="AI13" s="2" t="s">
        <v>19</v>
      </c>
      <c r="AJ13" s="2" t="s">
        <v>82</v>
      </c>
      <c r="AK13" s="9"/>
    </row>
    <row r="14" spans="1:37" x14ac:dyDescent="0.25">
      <c r="A14" s="2" t="s">
        <v>0</v>
      </c>
      <c r="B14" s="2" t="s">
        <v>21</v>
      </c>
      <c r="C14" s="2" t="s">
        <v>2</v>
      </c>
      <c r="D14" s="2" t="s">
        <v>76</v>
      </c>
      <c r="E14" s="2" t="s">
        <v>99</v>
      </c>
      <c r="F14" s="2" t="s">
        <v>5</v>
      </c>
      <c r="G14" s="3">
        <v>46240</v>
      </c>
      <c r="H14" s="2" t="s">
        <v>6</v>
      </c>
      <c r="I14" s="2" t="s">
        <v>69</v>
      </c>
      <c r="J14" s="2" t="s">
        <v>100</v>
      </c>
      <c r="K14" s="2" t="s">
        <v>9</v>
      </c>
      <c r="L14" s="2" t="s">
        <v>8</v>
      </c>
      <c r="M14" s="2" t="s">
        <v>8</v>
      </c>
      <c r="N14" s="2" t="s">
        <v>10</v>
      </c>
      <c r="O14" s="2" t="s">
        <v>85</v>
      </c>
      <c r="P14" s="3">
        <v>46240</v>
      </c>
      <c r="Q14" s="2" t="s">
        <v>86</v>
      </c>
      <c r="R14" s="2" t="s">
        <v>86</v>
      </c>
      <c r="S14" s="2" t="s">
        <v>8</v>
      </c>
      <c r="T14" s="2" t="s">
        <v>13</v>
      </c>
      <c r="U14" s="2" t="s">
        <v>8</v>
      </c>
      <c r="V14" s="2" t="s">
        <v>8</v>
      </c>
      <c r="W14" s="2" t="s">
        <v>79</v>
      </c>
      <c r="X14" s="2" t="s">
        <v>101</v>
      </c>
      <c r="Y14" s="2" t="s">
        <v>88</v>
      </c>
      <c r="Z14" s="2" t="s">
        <v>8</v>
      </c>
      <c r="AA14" s="2" t="s">
        <v>89</v>
      </c>
      <c r="AB14" s="5">
        <v>2624.88</v>
      </c>
      <c r="AC14" s="5">
        <v>0</v>
      </c>
      <c r="AD14" s="5">
        <v>0</v>
      </c>
      <c r="AE14" s="5" t="s">
        <v>18</v>
      </c>
      <c r="AF14" s="5">
        <v>2624.88</v>
      </c>
      <c r="AG14" s="5">
        <f t="shared" si="0"/>
        <v>90.558359999999993</v>
      </c>
      <c r="AH14" s="6">
        <f t="shared" si="1"/>
        <v>2534.3216400000001</v>
      </c>
      <c r="AI14" s="2" t="s">
        <v>19</v>
      </c>
      <c r="AJ14" s="2" t="s">
        <v>82</v>
      </c>
      <c r="AK14" s="9"/>
    </row>
    <row r="15" spans="1:37" x14ac:dyDescent="0.25">
      <c r="A15" s="2" t="s">
        <v>0</v>
      </c>
      <c r="B15" s="2" t="s">
        <v>21</v>
      </c>
      <c r="C15" s="2" t="s">
        <v>2</v>
      </c>
      <c r="D15" s="2" t="s">
        <v>76</v>
      </c>
      <c r="E15" s="2" t="s">
        <v>102</v>
      </c>
      <c r="F15" s="2" t="s">
        <v>5</v>
      </c>
      <c r="G15" s="3">
        <v>46240</v>
      </c>
      <c r="H15" s="2" t="s">
        <v>6</v>
      </c>
      <c r="I15" s="2" t="s">
        <v>69</v>
      </c>
      <c r="J15" s="2" t="s">
        <v>103</v>
      </c>
      <c r="K15" s="2" t="s">
        <v>9</v>
      </c>
      <c r="L15" s="2" t="s">
        <v>8</v>
      </c>
      <c r="M15" s="2" t="s">
        <v>8</v>
      </c>
      <c r="N15" s="2" t="s">
        <v>10</v>
      </c>
      <c r="O15" s="2" t="s">
        <v>85</v>
      </c>
      <c r="P15" s="3">
        <v>46240</v>
      </c>
      <c r="Q15" s="2" t="s">
        <v>86</v>
      </c>
      <c r="R15" s="2" t="s">
        <v>86</v>
      </c>
      <c r="S15" s="2" t="s">
        <v>8</v>
      </c>
      <c r="T15" s="2" t="s">
        <v>13</v>
      </c>
      <c r="U15" s="2" t="s">
        <v>8</v>
      </c>
      <c r="V15" s="2" t="s">
        <v>8</v>
      </c>
      <c r="W15" s="2" t="s">
        <v>79</v>
      </c>
      <c r="X15" s="2" t="s">
        <v>104</v>
      </c>
      <c r="Y15" s="2" t="s">
        <v>88</v>
      </c>
      <c r="Z15" s="2" t="s">
        <v>8</v>
      </c>
      <c r="AA15" s="2" t="s">
        <v>89</v>
      </c>
      <c r="AB15" s="5">
        <v>2624.88</v>
      </c>
      <c r="AC15" s="5">
        <v>0</v>
      </c>
      <c r="AD15" s="5">
        <v>0</v>
      </c>
      <c r="AE15" s="5" t="s">
        <v>18</v>
      </c>
      <c r="AF15" s="5">
        <v>2624.88</v>
      </c>
      <c r="AG15" s="5">
        <f t="shared" si="0"/>
        <v>90.558359999999993</v>
      </c>
      <c r="AH15" s="6">
        <f t="shared" si="1"/>
        <v>2534.3216400000001</v>
      </c>
      <c r="AI15" s="2" t="s">
        <v>19</v>
      </c>
      <c r="AJ15" s="2" t="s">
        <v>82</v>
      </c>
      <c r="AK15" s="9"/>
    </row>
    <row r="16" spans="1:37" x14ac:dyDescent="0.25">
      <c r="A16" s="2" t="s">
        <v>0</v>
      </c>
      <c r="B16" s="2" t="s">
        <v>21</v>
      </c>
      <c r="C16" s="2" t="s">
        <v>2</v>
      </c>
      <c r="D16" s="2" t="s">
        <v>76</v>
      </c>
      <c r="E16" s="2" t="s">
        <v>105</v>
      </c>
      <c r="F16" s="2" t="s">
        <v>5</v>
      </c>
      <c r="G16" s="3">
        <v>46240</v>
      </c>
      <c r="H16" s="2" t="s">
        <v>6</v>
      </c>
      <c r="I16" s="2" t="s">
        <v>69</v>
      </c>
      <c r="J16" s="2" t="s">
        <v>106</v>
      </c>
      <c r="K16" s="2" t="s">
        <v>9</v>
      </c>
      <c r="L16" s="2" t="s">
        <v>8</v>
      </c>
      <c r="M16" s="2" t="s">
        <v>8</v>
      </c>
      <c r="N16" s="2" t="s">
        <v>10</v>
      </c>
      <c r="O16" s="2" t="s">
        <v>85</v>
      </c>
      <c r="P16" s="3">
        <v>46240</v>
      </c>
      <c r="Q16" s="2" t="s">
        <v>86</v>
      </c>
      <c r="R16" s="2" t="s">
        <v>86</v>
      </c>
      <c r="S16" s="2" t="s">
        <v>8</v>
      </c>
      <c r="T16" s="2" t="s">
        <v>13</v>
      </c>
      <c r="U16" s="2" t="s">
        <v>8</v>
      </c>
      <c r="V16" s="2" t="s">
        <v>8</v>
      </c>
      <c r="W16" s="2" t="s">
        <v>79</v>
      </c>
      <c r="X16" s="2" t="s">
        <v>107</v>
      </c>
      <c r="Y16" s="2" t="s">
        <v>88</v>
      </c>
      <c r="Z16" s="2" t="s">
        <v>8</v>
      </c>
      <c r="AA16" s="2" t="s">
        <v>89</v>
      </c>
      <c r="AB16" s="5">
        <v>2624.88</v>
      </c>
      <c r="AC16" s="5">
        <v>0</v>
      </c>
      <c r="AD16" s="5">
        <v>0</v>
      </c>
      <c r="AE16" s="5" t="s">
        <v>18</v>
      </c>
      <c r="AF16" s="5">
        <v>2624.88</v>
      </c>
      <c r="AG16" s="5">
        <f t="shared" si="0"/>
        <v>90.558359999999993</v>
      </c>
      <c r="AH16" s="6">
        <f t="shared" si="1"/>
        <v>2534.3216400000001</v>
      </c>
      <c r="AI16" s="2" t="s">
        <v>19</v>
      </c>
      <c r="AJ16" s="2" t="s">
        <v>82</v>
      </c>
      <c r="AK16" s="9"/>
    </row>
    <row r="17" spans="1:37" x14ac:dyDescent="0.25">
      <c r="A17" s="2" t="s">
        <v>0</v>
      </c>
      <c r="B17" s="2" t="s">
        <v>21</v>
      </c>
      <c r="C17" s="2" t="s">
        <v>2</v>
      </c>
      <c r="D17" s="2" t="s">
        <v>76</v>
      </c>
      <c r="E17" s="2" t="s">
        <v>108</v>
      </c>
      <c r="F17" s="2" t="s">
        <v>5</v>
      </c>
      <c r="G17" s="3">
        <v>46240</v>
      </c>
      <c r="H17" s="2" t="s">
        <v>6</v>
      </c>
      <c r="I17" s="2" t="s">
        <v>69</v>
      </c>
      <c r="J17" s="2" t="s">
        <v>109</v>
      </c>
      <c r="K17" s="2" t="s">
        <v>9</v>
      </c>
      <c r="L17" s="2" t="s">
        <v>8</v>
      </c>
      <c r="M17" s="2" t="s">
        <v>8</v>
      </c>
      <c r="N17" s="2" t="s">
        <v>10</v>
      </c>
      <c r="O17" s="2" t="s">
        <v>85</v>
      </c>
      <c r="P17" s="3">
        <v>46240</v>
      </c>
      <c r="Q17" s="2" t="s">
        <v>86</v>
      </c>
      <c r="R17" s="2" t="s">
        <v>86</v>
      </c>
      <c r="S17" s="2" t="s">
        <v>8</v>
      </c>
      <c r="T17" s="2" t="s">
        <v>13</v>
      </c>
      <c r="U17" s="2" t="s">
        <v>8</v>
      </c>
      <c r="V17" s="2" t="s">
        <v>8</v>
      </c>
      <c r="W17" s="2" t="s">
        <v>79</v>
      </c>
      <c r="X17" s="2" t="s">
        <v>110</v>
      </c>
      <c r="Y17" s="2" t="s">
        <v>88</v>
      </c>
      <c r="Z17" s="2" t="s">
        <v>8</v>
      </c>
      <c r="AA17" s="2" t="s">
        <v>89</v>
      </c>
      <c r="AB17" s="5">
        <v>2069.81</v>
      </c>
      <c r="AC17" s="5">
        <v>0</v>
      </c>
      <c r="AD17" s="5">
        <v>0</v>
      </c>
      <c r="AE17" s="5" t="s">
        <v>18</v>
      </c>
      <c r="AF17" s="5">
        <v>2069.81</v>
      </c>
      <c r="AG17" s="5">
        <f t="shared" si="0"/>
        <v>71.408444999999986</v>
      </c>
      <c r="AH17" s="6">
        <f t="shared" si="1"/>
        <v>1998.4015549999999</v>
      </c>
      <c r="AI17" s="2" t="s">
        <v>19</v>
      </c>
      <c r="AJ17" s="2" t="s">
        <v>82</v>
      </c>
      <c r="AK17" s="9"/>
    </row>
    <row r="18" spans="1:37" x14ac:dyDescent="0.25">
      <c r="A18" s="2" t="s">
        <v>0</v>
      </c>
      <c r="B18" s="2" t="s">
        <v>21</v>
      </c>
      <c r="C18" s="2" t="s">
        <v>2</v>
      </c>
      <c r="D18" s="2" t="s">
        <v>76</v>
      </c>
      <c r="E18" s="2" t="s">
        <v>111</v>
      </c>
      <c r="F18" s="2" t="s">
        <v>5</v>
      </c>
      <c r="G18" s="3">
        <v>46240</v>
      </c>
      <c r="H18" s="2" t="s">
        <v>6</v>
      </c>
      <c r="I18" s="2" t="s">
        <v>69</v>
      </c>
      <c r="J18" s="2" t="s">
        <v>112</v>
      </c>
      <c r="K18" s="2" t="s">
        <v>9</v>
      </c>
      <c r="L18" s="2" t="s">
        <v>8</v>
      </c>
      <c r="M18" s="2" t="s">
        <v>8</v>
      </c>
      <c r="N18" s="2" t="s">
        <v>10</v>
      </c>
      <c r="O18" s="2" t="s">
        <v>85</v>
      </c>
      <c r="P18" s="3">
        <v>46240</v>
      </c>
      <c r="Q18" s="2" t="s">
        <v>86</v>
      </c>
      <c r="R18" s="2" t="s">
        <v>86</v>
      </c>
      <c r="S18" s="2" t="s">
        <v>8</v>
      </c>
      <c r="T18" s="2" t="s">
        <v>13</v>
      </c>
      <c r="U18" s="2" t="s">
        <v>8</v>
      </c>
      <c r="V18" s="2" t="s">
        <v>8</v>
      </c>
      <c r="W18" s="2" t="s">
        <v>79</v>
      </c>
      <c r="X18" s="2" t="s">
        <v>113</v>
      </c>
      <c r="Y18" s="2" t="s">
        <v>88</v>
      </c>
      <c r="Z18" s="2" t="s">
        <v>8</v>
      </c>
      <c r="AA18" s="2" t="s">
        <v>89</v>
      </c>
      <c r="AB18" s="5">
        <v>2069.81</v>
      </c>
      <c r="AC18" s="5">
        <v>0</v>
      </c>
      <c r="AD18" s="5">
        <v>0</v>
      </c>
      <c r="AE18" s="5" t="s">
        <v>18</v>
      </c>
      <c r="AF18" s="5">
        <v>2069.81</v>
      </c>
      <c r="AG18" s="5">
        <f t="shared" si="0"/>
        <v>71.408444999999986</v>
      </c>
      <c r="AH18" s="6">
        <f t="shared" si="1"/>
        <v>1998.4015549999999</v>
      </c>
      <c r="AI18" s="2" t="s">
        <v>19</v>
      </c>
      <c r="AJ18" s="2" t="s">
        <v>82</v>
      </c>
      <c r="AK18" s="9"/>
    </row>
    <row r="19" spans="1:37" x14ac:dyDescent="0.25">
      <c r="A19" s="2" t="s">
        <v>0</v>
      </c>
      <c r="B19" s="2" t="s">
        <v>21</v>
      </c>
      <c r="C19" s="2" t="s">
        <v>2</v>
      </c>
      <c r="D19" s="2" t="s">
        <v>114</v>
      </c>
      <c r="E19" s="2" t="s">
        <v>4</v>
      </c>
      <c r="F19" s="2" t="s">
        <v>5</v>
      </c>
      <c r="G19" s="3">
        <v>46240</v>
      </c>
      <c r="H19" s="2" t="s">
        <v>6</v>
      </c>
      <c r="I19" s="2" t="s">
        <v>7</v>
      </c>
      <c r="J19" s="2" t="s">
        <v>8</v>
      </c>
      <c r="K19" s="2" t="s">
        <v>9</v>
      </c>
      <c r="L19" s="2" t="s">
        <v>8</v>
      </c>
      <c r="M19" s="2" t="s">
        <v>8</v>
      </c>
      <c r="N19" s="2" t="s">
        <v>10</v>
      </c>
      <c r="O19" s="2" t="s">
        <v>115</v>
      </c>
      <c r="P19" s="3">
        <v>46240</v>
      </c>
      <c r="Q19" s="2" t="s">
        <v>78</v>
      </c>
      <c r="R19" s="2" t="s">
        <v>78</v>
      </c>
      <c r="S19" s="2" t="s">
        <v>8</v>
      </c>
      <c r="T19" s="2" t="s">
        <v>13</v>
      </c>
      <c r="U19" s="2" t="s">
        <v>8</v>
      </c>
      <c r="V19" s="2" t="s">
        <v>8</v>
      </c>
      <c r="W19" s="2" t="s">
        <v>116</v>
      </c>
      <c r="X19" s="2" t="s">
        <v>117</v>
      </c>
      <c r="Y19" s="2" t="s">
        <v>81</v>
      </c>
      <c r="Z19" s="2" t="s">
        <v>8</v>
      </c>
      <c r="AA19" s="2" t="s">
        <v>17</v>
      </c>
      <c r="AB19" s="5">
        <v>1503.99</v>
      </c>
      <c r="AC19" s="5">
        <v>0</v>
      </c>
      <c r="AD19" s="5">
        <v>0</v>
      </c>
      <c r="AE19" s="5" t="s">
        <v>18</v>
      </c>
      <c r="AF19" s="5">
        <v>1503.99</v>
      </c>
      <c r="AG19" s="5">
        <f t="shared" si="0"/>
        <v>51.887654999999995</v>
      </c>
      <c r="AH19" s="6">
        <f t="shared" ref="AH19:AH30" si="2">AF19-AG19</f>
        <v>1452.102345</v>
      </c>
      <c r="AI19" s="2" t="s">
        <v>19</v>
      </c>
      <c r="AJ19" s="2" t="s">
        <v>118</v>
      </c>
      <c r="AK19" s="9"/>
    </row>
    <row r="20" spans="1:37" x14ac:dyDescent="0.25">
      <c r="A20" s="2" t="s">
        <v>0</v>
      </c>
      <c r="B20" s="2" t="s">
        <v>21</v>
      </c>
      <c r="C20" s="2" t="s">
        <v>2</v>
      </c>
      <c r="D20" s="2" t="s">
        <v>114</v>
      </c>
      <c r="E20" s="2" t="s">
        <v>83</v>
      </c>
      <c r="F20" s="2" t="s">
        <v>5</v>
      </c>
      <c r="G20" s="3">
        <v>46240</v>
      </c>
      <c r="H20" s="2" t="s">
        <v>6</v>
      </c>
      <c r="I20" s="2" t="s">
        <v>69</v>
      </c>
      <c r="J20" s="2" t="s">
        <v>119</v>
      </c>
      <c r="K20" s="2" t="s">
        <v>9</v>
      </c>
      <c r="L20" s="2" t="s">
        <v>8</v>
      </c>
      <c r="M20" s="2" t="s">
        <v>8</v>
      </c>
      <c r="N20" s="2" t="s">
        <v>10</v>
      </c>
      <c r="O20" s="2" t="s">
        <v>120</v>
      </c>
      <c r="P20" s="3">
        <v>46240</v>
      </c>
      <c r="Q20" s="2" t="s">
        <v>86</v>
      </c>
      <c r="R20" s="2" t="s">
        <v>86</v>
      </c>
      <c r="S20" s="2" t="s">
        <v>8</v>
      </c>
      <c r="T20" s="2" t="s">
        <v>13</v>
      </c>
      <c r="U20" s="2" t="s">
        <v>8</v>
      </c>
      <c r="V20" s="2" t="s">
        <v>8</v>
      </c>
      <c r="W20" s="2" t="s">
        <v>116</v>
      </c>
      <c r="X20" s="2" t="s">
        <v>121</v>
      </c>
      <c r="Y20" s="2" t="s">
        <v>88</v>
      </c>
      <c r="Z20" s="2" t="s">
        <v>8</v>
      </c>
      <c r="AA20" s="2" t="s">
        <v>89</v>
      </c>
      <c r="AB20" s="5">
        <v>2624.88</v>
      </c>
      <c r="AC20" s="5">
        <v>0</v>
      </c>
      <c r="AD20" s="5">
        <v>0</v>
      </c>
      <c r="AE20" s="5" t="s">
        <v>18</v>
      </c>
      <c r="AF20" s="5">
        <v>2624.88</v>
      </c>
      <c r="AG20" s="5">
        <f t="shared" si="0"/>
        <v>90.558359999999993</v>
      </c>
      <c r="AH20" s="6">
        <f t="shared" si="2"/>
        <v>2534.3216400000001</v>
      </c>
      <c r="AI20" s="2" t="s">
        <v>19</v>
      </c>
      <c r="AJ20" s="2" t="s">
        <v>118</v>
      </c>
      <c r="AK20" s="9"/>
    </row>
    <row r="21" spans="1:37" x14ac:dyDescent="0.25">
      <c r="A21" s="2" t="s">
        <v>0</v>
      </c>
      <c r="B21" s="2" t="s">
        <v>21</v>
      </c>
      <c r="C21" s="2" t="s">
        <v>2</v>
      </c>
      <c r="D21" s="2" t="s">
        <v>122</v>
      </c>
      <c r="E21" s="2" t="s">
        <v>4</v>
      </c>
      <c r="F21" s="2" t="s">
        <v>5</v>
      </c>
      <c r="G21" s="3">
        <v>46240</v>
      </c>
      <c r="H21" s="2" t="s">
        <v>6</v>
      </c>
      <c r="I21" s="2" t="s">
        <v>123</v>
      </c>
      <c r="J21" s="2" t="s">
        <v>124</v>
      </c>
      <c r="K21" s="2" t="s">
        <v>9</v>
      </c>
      <c r="L21" s="2" t="s">
        <v>8</v>
      </c>
      <c r="M21" s="2" t="s">
        <v>8</v>
      </c>
      <c r="N21" s="2" t="s">
        <v>10</v>
      </c>
      <c r="O21" s="2" t="s">
        <v>125</v>
      </c>
      <c r="P21" s="3">
        <v>46240</v>
      </c>
      <c r="Q21" s="2" t="s">
        <v>126</v>
      </c>
      <c r="R21" s="2" t="s">
        <v>126</v>
      </c>
      <c r="S21" s="2" t="s">
        <v>8</v>
      </c>
      <c r="T21" s="2" t="s">
        <v>13</v>
      </c>
      <c r="U21" s="2" t="s">
        <v>8</v>
      </c>
      <c r="V21" s="2" t="s">
        <v>8</v>
      </c>
      <c r="W21" s="2" t="s">
        <v>127</v>
      </c>
      <c r="X21" s="2" t="s">
        <v>128</v>
      </c>
      <c r="Y21" s="2" t="s">
        <v>129</v>
      </c>
      <c r="Z21" s="2" t="s">
        <v>8</v>
      </c>
      <c r="AA21" s="2" t="s">
        <v>30</v>
      </c>
      <c r="AB21" s="5">
        <v>487.13</v>
      </c>
      <c r="AC21" s="5">
        <v>0</v>
      </c>
      <c r="AD21" s="5">
        <v>0</v>
      </c>
      <c r="AE21" s="5" t="s">
        <v>18</v>
      </c>
      <c r="AF21" s="5">
        <v>487.13</v>
      </c>
      <c r="AG21" s="5">
        <f t="shared" si="0"/>
        <v>16.805984999999996</v>
      </c>
      <c r="AH21" s="6">
        <f t="shared" si="2"/>
        <v>470.32401499999997</v>
      </c>
      <c r="AI21" s="2" t="s">
        <v>19</v>
      </c>
      <c r="AJ21" s="2" t="s">
        <v>130</v>
      </c>
      <c r="AK21" s="9"/>
    </row>
    <row r="22" spans="1:37" x14ac:dyDescent="0.25">
      <c r="A22" s="2" t="s">
        <v>0</v>
      </c>
      <c r="B22" s="2" t="s">
        <v>21</v>
      </c>
      <c r="C22" s="2" t="s">
        <v>2</v>
      </c>
      <c r="D22" s="2" t="s">
        <v>122</v>
      </c>
      <c r="E22" s="2" t="s">
        <v>83</v>
      </c>
      <c r="F22" s="2" t="s">
        <v>5</v>
      </c>
      <c r="G22" s="3">
        <v>46240</v>
      </c>
      <c r="H22" s="2" t="s">
        <v>6</v>
      </c>
      <c r="I22" s="2" t="s">
        <v>123</v>
      </c>
      <c r="J22" s="2" t="s">
        <v>131</v>
      </c>
      <c r="K22" s="2" t="s">
        <v>9</v>
      </c>
      <c r="L22" s="2" t="s">
        <v>8</v>
      </c>
      <c r="M22" s="2" t="s">
        <v>8</v>
      </c>
      <c r="N22" s="2" t="s">
        <v>10</v>
      </c>
      <c r="O22" s="2" t="s">
        <v>125</v>
      </c>
      <c r="P22" s="3">
        <v>46240</v>
      </c>
      <c r="Q22" s="2" t="s">
        <v>126</v>
      </c>
      <c r="R22" s="2" t="s">
        <v>126</v>
      </c>
      <c r="S22" s="2" t="s">
        <v>8</v>
      </c>
      <c r="T22" s="2" t="s">
        <v>13</v>
      </c>
      <c r="U22" s="2" t="s">
        <v>8</v>
      </c>
      <c r="V22" s="2" t="s">
        <v>8</v>
      </c>
      <c r="W22" s="2" t="s">
        <v>127</v>
      </c>
      <c r="X22" s="2" t="s">
        <v>132</v>
      </c>
      <c r="Y22" s="2" t="s">
        <v>129</v>
      </c>
      <c r="Z22" s="2" t="s">
        <v>8</v>
      </c>
      <c r="AA22" s="2" t="s">
        <v>30</v>
      </c>
      <c r="AB22" s="5">
        <v>487.13</v>
      </c>
      <c r="AC22" s="5">
        <v>0</v>
      </c>
      <c r="AD22" s="5">
        <v>0</v>
      </c>
      <c r="AE22" s="5" t="s">
        <v>18</v>
      </c>
      <c r="AF22" s="5">
        <v>487.13</v>
      </c>
      <c r="AG22" s="5">
        <f t="shared" si="0"/>
        <v>16.805984999999996</v>
      </c>
      <c r="AH22" s="6">
        <f t="shared" si="2"/>
        <v>470.32401499999997</v>
      </c>
      <c r="AI22" s="2" t="s">
        <v>19</v>
      </c>
      <c r="AJ22" s="2" t="s">
        <v>130</v>
      </c>
      <c r="AK22" s="9"/>
    </row>
    <row r="23" spans="1:37" x14ac:dyDescent="0.25">
      <c r="A23" s="2" t="s">
        <v>0</v>
      </c>
      <c r="B23" s="2" t="s">
        <v>21</v>
      </c>
      <c r="C23" s="2" t="s">
        <v>2</v>
      </c>
      <c r="D23" s="2" t="s">
        <v>133</v>
      </c>
      <c r="E23" s="2" t="s">
        <v>4</v>
      </c>
      <c r="F23" s="2" t="s">
        <v>5</v>
      </c>
      <c r="G23" s="3">
        <v>46240</v>
      </c>
      <c r="H23" s="2" t="s">
        <v>6</v>
      </c>
      <c r="I23" s="2" t="s">
        <v>123</v>
      </c>
      <c r="J23" s="2" t="s">
        <v>134</v>
      </c>
      <c r="K23" s="2" t="s">
        <v>9</v>
      </c>
      <c r="L23" s="2" t="s">
        <v>8</v>
      </c>
      <c r="M23" s="2" t="s">
        <v>8</v>
      </c>
      <c r="N23" s="2" t="s">
        <v>10</v>
      </c>
      <c r="O23" s="2" t="s">
        <v>135</v>
      </c>
      <c r="P23" s="3">
        <v>46240</v>
      </c>
      <c r="Q23" s="2" t="s">
        <v>126</v>
      </c>
      <c r="R23" s="2" t="s">
        <v>126</v>
      </c>
      <c r="S23" s="2" t="s">
        <v>8</v>
      </c>
      <c r="T23" s="2" t="s">
        <v>13</v>
      </c>
      <c r="U23" s="2" t="s">
        <v>8</v>
      </c>
      <c r="V23" s="2" t="s">
        <v>8</v>
      </c>
      <c r="W23" s="2" t="s">
        <v>136</v>
      </c>
      <c r="X23" s="2" t="s">
        <v>137</v>
      </c>
      <c r="Y23" s="2" t="s">
        <v>129</v>
      </c>
      <c r="Z23" s="2" t="s">
        <v>8</v>
      </c>
      <c r="AA23" s="2" t="s">
        <v>30</v>
      </c>
      <c r="AB23" s="5">
        <v>487.13</v>
      </c>
      <c r="AC23" s="5">
        <v>0</v>
      </c>
      <c r="AD23" s="5">
        <v>0</v>
      </c>
      <c r="AE23" s="5" t="s">
        <v>18</v>
      </c>
      <c r="AF23" s="5">
        <v>487.13</v>
      </c>
      <c r="AG23" s="5">
        <f t="shared" si="0"/>
        <v>16.805984999999996</v>
      </c>
      <c r="AH23" s="6">
        <f t="shared" si="2"/>
        <v>470.32401499999997</v>
      </c>
      <c r="AI23" s="2" t="s">
        <v>19</v>
      </c>
      <c r="AJ23" s="2" t="s">
        <v>138</v>
      </c>
      <c r="AK23" s="9"/>
    </row>
    <row r="24" spans="1:37" x14ac:dyDescent="0.25">
      <c r="A24" s="2" t="s">
        <v>0</v>
      </c>
      <c r="B24" s="2" t="s">
        <v>21</v>
      </c>
      <c r="C24" s="2" t="s">
        <v>2</v>
      </c>
      <c r="D24" s="2" t="s">
        <v>139</v>
      </c>
      <c r="E24" s="2" t="s">
        <v>4</v>
      </c>
      <c r="F24" s="2" t="s">
        <v>5</v>
      </c>
      <c r="G24" s="3">
        <v>46240</v>
      </c>
      <c r="H24" s="2" t="s">
        <v>40</v>
      </c>
      <c r="I24" s="2" t="s">
        <v>140</v>
      </c>
      <c r="J24" s="2" t="s">
        <v>141</v>
      </c>
      <c r="K24" s="2" t="s">
        <v>43</v>
      </c>
      <c r="L24" s="2" t="s">
        <v>142</v>
      </c>
      <c r="M24" s="2" t="s">
        <v>8</v>
      </c>
      <c r="N24" s="2" t="s">
        <v>10</v>
      </c>
      <c r="O24" s="2" t="s">
        <v>8</v>
      </c>
      <c r="P24" s="3">
        <v>46240</v>
      </c>
      <c r="Q24" s="2" t="s">
        <v>56</v>
      </c>
      <c r="R24" s="2" t="s">
        <v>57</v>
      </c>
      <c r="S24" s="2" t="s">
        <v>8</v>
      </c>
      <c r="T24" s="2" t="s">
        <v>13</v>
      </c>
      <c r="U24" s="2" t="s">
        <v>13</v>
      </c>
      <c r="V24" s="2" t="s">
        <v>143</v>
      </c>
      <c r="W24" s="2" t="s">
        <v>144</v>
      </c>
      <c r="X24" s="2" t="s">
        <v>145</v>
      </c>
      <c r="Y24" s="2" t="s">
        <v>8</v>
      </c>
      <c r="Z24" s="2" t="s">
        <v>146</v>
      </c>
      <c r="AA24" s="2" t="s">
        <v>147</v>
      </c>
      <c r="AB24" s="5">
        <v>16402.79</v>
      </c>
      <c r="AC24" s="5">
        <v>0</v>
      </c>
      <c r="AD24" s="5">
        <v>0</v>
      </c>
      <c r="AE24" s="5" t="s">
        <v>18</v>
      </c>
      <c r="AF24" s="5">
        <v>16402.79</v>
      </c>
      <c r="AG24" s="5">
        <f t="shared" si="0"/>
        <v>943.16042500000003</v>
      </c>
      <c r="AH24" s="6">
        <f t="shared" si="2"/>
        <v>15459.629575000001</v>
      </c>
      <c r="AI24" s="2" t="s">
        <v>19</v>
      </c>
      <c r="AJ24" s="2" t="s">
        <v>148</v>
      </c>
      <c r="AK24" s="9"/>
    </row>
    <row r="25" spans="1:37" x14ac:dyDescent="0.25">
      <c r="A25" s="2" t="s">
        <v>0</v>
      </c>
      <c r="B25" s="2" t="s">
        <v>21</v>
      </c>
      <c r="C25" s="2" t="s">
        <v>2</v>
      </c>
      <c r="D25" s="2" t="s">
        <v>149</v>
      </c>
      <c r="E25" s="2" t="s">
        <v>4</v>
      </c>
      <c r="F25" s="2" t="s">
        <v>5</v>
      </c>
      <c r="G25" s="3">
        <v>46242</v>
      </c>
      <c r="H25" s="2" t="s">
        <v>6</v>
      </c>
      <c r="I25" s="2" t="s">
        <v>123</v>
      </c>
      <c r="J25" s="2" t="s">
        <v>150</v>
      </c>
      <c r="K25" s="2" t="s">
        <v>9</v>
      </c>
      <c r="L25" s="2" t="s">
        <v>8</v>
      </c>
      <c r="M25" s="2" t="s">
        <v>8</v>
      </c>
      <c r="N25" s="2" t="s">
        <v>10</v>
      </c>
      <c r="O25" s="2" t="s">
        <v>151</v>
      </c>
      <c r="P25" s="3">
        <v>46242</v>
      </c>
      <c r="Q25" s="2" t="s">
        <v>126</v>
      </c>
      <c r="R25" s="2" t="s">
        <v>126</v>
      </c>
      <c r="S25" s="2" t="s">
        <v>8</v>
      </c>
      <c r="T25" s="2" t="s">
        <v>13</v>
      </c>
      <c r="U25" s="2" t="s">
        <v>8</v>
      </c>
      <c r="V25" s="2" t="s">
        <v>8</v>
      </c>
      <c r="W25" s="2" t="s">
        <v>152</v>
      </c>
      <c r="X25" s="2" t="s">
        <v>153</v>
      </c>
      <c r="Y25" s="2" t="s">
        <v>129</v>
      </c>
      <c r="Z25" s="2" t="s">
        <v>8</v>
      </c>
      <c r="AA25" s="2" t="s">
        <v>30</v>
      </c>
      <c r="AB25" s="5">
        <v>389.7</v>
      </c>
      <c r="AC25" s="5">
        <v>0</v>
      </c>
      <c r="AD25" s="5">
        <v>0</v>
      </c>
      <c r="AE25" s="5" t="s">
        <v>18</v>
      </c>
      <c r="AF25" s="5">
        <v>389.7</v>
      </c>
      <c r="AG25" s="5">
        <f t="shared" si="0"/>
        <v>13.444649999999998</v>
      </c>
      <c r="AH25" s="6">
        <f t="shared" si="2"/>
        <v>376.25534999999996</v>
      </c>
      <c r="AI25" s="2" t="s">
        <v>19</v>
      </c>
      <c r="AJ25" s="2" t="s">
        <v>154</v>
      </c>
      <c r="AK25" s="9"/>
    </row>
    <row r="26" spans="1:37" x14ac:dyDescent="0.25">
      <c r="A26" s="2" t="s">
        <v>0</v>
      </c>
      <c r="B26" s="2" t="s">
        <v>1</v>
      </c>
      <c r="C26" s="2" t="s">
        <v>2</v>
      </c>
      <c r="D26" s="2" t="s">
        <v>155</v>
      </c>
      <c r="E26" s="2" t="s">
        <v>4</v>
      </c>
      <c r="F26" s="2" t="s">
        <v>5</v>
      </c>
      <c r="G26" s="3">
        <v>46242</v>
      </c>
      <c r="H26" s="2" t="s">
        <v>6</v>
      </c>
      <c r="I26" s="2" t="s">
        <v>156</v>
      </c>
      <c r="J26" s="2" t="s">
        <v>8</v>
      </c>
      <c r="K26" s="2" t="s">
        <v>9</v>
      </c>
      <c r="L26" s="2" t="s">
        <v>8</v>
      </c>
      <c r="M26" s="2" t="s">
        <v>8</v>
      </c>
      <c r="N26" s="2" t="s">
        <v>10</v>
      </c>
      <c r="O26" s="2" t="s">
        <v>157</v>
      </c>
      <c r="P26" s="3">
        <v>46242</v>
      </c>
      <c r="Q26" s="2" t="s">
        <v>158</v>
      </c>
      <c r="R26" s="2" t="s">
        <v>159</v>
      </c>
      <c r="S26" s="2" t="s">
        <v>8</v>
      </c>
      <c r="T26" s="2" t="s">
        <v>13</v>
      </c>
      <c r="U26" s="2" t="s">
        <v>8</v>
      </c>
      <c r="V26" s="2" t="s">
        <v>8</v>
      </c>
      <c r="W26" s="2" t="s">
        <v>160</v>
      </c>
      <c r="X26" s="2" t="s">
        <v>161</v>
      </c>
      <c r="Y26" s="2" t="s">
        <v>162</v>
      </c>
      <c r="Z26" s="2" t="s">
        <v>8</v>
      </c>
      <c r="AA26" s="2" t="s">
        <v>17</v>
      </c>
      <c r="AB26" s="5">
        <v>1637.66</v>
      </c>
      <c r="AC26" s="5">
        <v>15</v>
      </c>
      <c r="AD26" s="5">
        <v>245.65</v>
      </c>
      <c r="AE26" s="5" t="s">
        <v>18</v>
      </c>
      <c r="AF26" s="5">
        <v>1883.31</v>
      </c>
      <c r="AG26" s="5">
        <f t="shared" si="0"/>
        <v>56.499269999999996</v>
      </c>
      <c r="AH26" s="6">
        <f t="shared" si="2"/>
        <v>1826.8107299999999</v>
      </c>
      <c r="AI26" s="2" t="s">
        <v>19</v>
      </c>
      <c r="AJ26" s="2" t="s">
        <v>163</v>
      </c>
      <c r="AK26" s="9"/>
    </row>
    <row r="27" spans="1:37" x14ac:dyDescent="0.25">
      <c r="A27" s="2" t="s">
        <v>0</v>
      </c>
      <c r="B27" s="2" t="s">
        <v>1</v>
      </c>
      <c r="C27" s="2" t="s">
        <v>2</v>
      </c>
      <c r="D27" s="2" t="s">
        <v>164</v>
      </c>
      <c r="E27" s="2" t="s">
        <v>4</v>
      </c>
      <c r="F27" s="2" t="s">
        <v>165</v>
      </c>
      <c r="G27" s="3">
        <v>46235</v>
      </c>
      <c r="H27" s="2" t="s">
        <v>6</v>
      </c>
      <c r="I27" s="2" t="s">
        <v>69</v>
      </c>
      <c r="J27" s="2" t="s">
        <v>166</v>
      </c>
      <c r="K27" s="2" t="s">
        <v>9</v>
      </c>
      <c r="L27" s="2" t="s">
        <v>8</v>
      </c>
      <c r="M27" s="2" t="s">
        <v>8</v>
      </c>
      <c r="N27" s="2" t="s">
        <v>10</v>
      </c>
      <c r="O27" s="2" t="s">
        <v>167</v>
      </c>
      <c r="P27" s="3">
        <v>46235</v>
      </c>
      <c r="Q27" s="2" t="s">
        <v>168</v>
      </c>
      <c r="R27" s="2" t="s">
        <v>56</v>
      </c>
      <c r="S27" s="2" t="s">
        <v>8</v>
      </c>
      <c r="T27" s="2" t="s">
        <v>13</v>
      </c>
      <c r="U27" s="2" t="s">
        <v>8</v>
      </c>
      <c r="V27" s="2" t="s">
        <v>8</v>
      </c>
      <c r="W27" s="2" t="s">
        <v>169</v>
      </c>
      <c r="X27" s="2" t="s">
        <v>170</v>
      </c>
      <c r="Y27" s="2" t="s">
        <v>171</v>
      </c>
      <c r="Z27" s="2" t="s">
        <v>8</v>
      </c>
      <c r="AA27" s="2" t="s">
        <v>172</v>
      </c>
      <c r="AB27" s="5">
        <v>-763</v>
      </c>
      <c r="AC27" s="5">
        <v>15</v>
      </c>
      <c r="AD27" s="5">
        <v>-114.45</v>
      </c>
      <c r="AE27" s="5" t="s">
        <v>18</v>
      </c>
      <c r="AF27" s="5">
        <v>-877.45</v>
      </c>
      <c r="AG27" s="5">
        <f t="shared" si="0"/>
        <v>0</v>
      </c>
      <c r="AH27" s="6">
        <f t="shared" si="2"/>
        <v>-877.45</v>
      </c>
      <c r="AI27" s="2" t="s">
        <v>19</v>
      </c>
      <c r="AJ27" s="2" t="s">
        <v>173</v>
      </c>
      <c r="AK27" s="9"/>
    </row>
    <row r="28" spans="1:37" x14ac:dyDescent="0.25">
      <c r="A28" s="2" t="s">
        <v>0</v>
      </c>
      <c r="B28" s="2" t="s">
        <v>1</v>
      </c>
      <c r="C28" s="2" t="s">
        <v>2</v>
      </c>
      <c r="D28" s="2" t="s">
        <v>174</v>
      </c>
      <c r="E28" s="2" t="s">
        <v>4</v>
      </c>
      <c r="F28" s="2" t="s">
        <v>165</v>
      </c>
      <c r="G28" s="3">
        <v>46235</v>
      </c>
      <c r="H28" s="2" t="s">
        <v>6</v>
      </c>
      <c r="I28" s="2" t="s">
        <v>156</v>
      </c>
      <c r="J28" s="2" t="s">
        <v>8</v>
      </c>
      <c r="K28" s="2" t="s">
        <v>9</v>
      </c>
      <c r="L28" s="2" t="s">
        <v>8</v>
      </c>
      <c r="M28" s="2" t="s">
        <v>8</v>
      </c>
      <c r="N28" s="2" t="s">
        <v>10</v>
      </c>
      <c r="O28" s="2" t="s">
        <v>175</v>
      </c>
      <c r="P28" s="3">
        <v>46235</v>
      </c>
      <c r="Q28" s="2" t="s">
        <v>168</v>
      </c>
      <c r="R28" s="2" t="s">
        <v>168</v>
      </c>
      <c r="S28" s="2" t="s">
        <v>8</v>
      </c>
      <c r="T28" s="2" t="s">
        <v>13</v>
      </c>
      <c r="U28" s="2" t="s">
        <v>8</v>
      </c>
      <c r="V28" s="2" t="s">
        <v>8</v>
      </c>
      <c r="W28" s="2" t="s">
        <v>176</v>
      </c>
      <c r="X28" s="2" t="s">
        <v>177</v>
      </c>
      <c r="Y28" s="2" t="s">
        <v>178</v>
      </c>
      <c r="Z28" s="2" t="s">
        <v>8</v>
      </c>
      <c r="AA28" s="2" t="s">
        <v>17</v>
      </c>
      <c r="AB28" s="5">
        <v>-1004.6</v>
      </c>
      <c r="AC28" s="5">
        <v>15</v>
      </c>
      <c r="AD28" s="5">
        <v>-150.69</v>
      </c>
      <c r="AE28" s="5" t="s">
        <v>18</v>
      </c>
      <c r="AF28" s="5">
        <v>-1155.29</v>
      </c>
      <c r="AG28" s="5">
        <f t="shared" si="0"/>
        <v>0</v>
      </c>
      <c r="AH28" s="6">
        <f t="shared" si="2"/>
        <v>-1155.29</v>
      </c>
      <c r="AI28" s="2" t="s">
        <v>19</v>
      </c>
      <c r="AJ28" s="2" t="s">
        <v>179</v>
      </c>
      <c r="AK28" s="9"/>
    </row>
    <row r="29" spans="1:37" x14ac:dyDescent="0.25">
      <c r="A29" s="2" t="s">
        <v>0</v>
      </c>
      <c r="B29" s="2" t="s">
        <v>21</v>
      </c>
      <c r="C29" s="2" t="s">
        <v>2</v>
      </c>
      <c r="D29" s="2" t="s">
        <v>180</v>
      </c>
      <c r="E29" s="2" t="s">
        <v>4</v>
      </c>
      <c r="F29" s="2" t="s">
        <v>165</v>
      </c>
      <c r="G29" s="3">
        <v>46239</v>
      </c>
      <c r="H29" s="2" t="s">
        <v>6</v>
      </c>
      <c r="I29" s="2" t="s">
        <v>181</v>
      </c>
      <c r="J29" s="2" t="s">
        <v>182</v>
      </c>
      <c r="K29" s="2" t="s">
        <v>9</v>
      </c>
      <c r="L29" s="2" t="s">
        <v>8</v>
      </c>
      <c r="M29" s="2" t="s">
        <v>8</v>
      </c>
      <c r="N29" s="2" t="s">
        <v>10</v>
      </c>
      <c r="O29" s="2" t="s">
        <v>183</v>
      </c>
      <c r="P29" s="3">
        <v>46239</v>
      </c>
      <c r="Q29" s="2" t="s">
        <v>184</v>
      </c>
      <c r="R29" s="2" t="s">
        <v>34</v>
      </c>
      <c r="S29" s="2" t="s">
        <v>8</v>
      </c>
      <c r="T29" s="2" t="s">
        <v>13</v>
      </c>
      <c r="U29" s="2" t="s">
        <v>8</v>
      </c>
      <c r="V29" s="2" t="s">
        <v>8</v>
      </c>
      <c r="W29" s="2" t="s">
        <v>185</v>
      </c>
      <c r="X29" s="2" t="s">
        <v>186</v>
      </c>
      <c r="Y29" s="2" t="s">
        <v>187</v>
      </c>
      <c r="Z29" s="2" t="s">
        <v>8</v>
      </c>
      <c r="AA29" s="2" t="s">
        <v>17</v>
      </c>
      <c r="AB29" s="5">
        <v>-2384</v>
      </c>
      <c r="AC29" s="5">
        <v>0</v>
      </c>
      <c r="AD29" s="5">
        <v>0</v>
      </c>
      <c r="AE29" s="5" t="s">
        <v>188</v>
      </c>
      <c r="AF29" s="5">
        <v>-1552</v>
      </c>
      <c r="AG29" s="5">
        <f t="shared" si="0"/>
        <v>0</v>
      </c>
      <c r="AH29" s="6">
        <f t="shared" si="2"/>
        <v>-1552</v>
      </c>
      <c r="AI29" s="2" t="s">
        <v>19</v>
      </c>
      <c r="AJ29" s="2" t="s">
        <v>189</v>
      </c>
      <c r="AK29" s="9"/>
    </row>
    <row r="30" spans="1:37" x14ac:dyDescent="0.25">
      <c r="A30" s="2" t="s">
        <v>0</v>
      </c>
      <c r="B30" s="2" t="s">
        <v>21</v>
      </c>
      <c r="C30" s="2" t="s">
        <v>2</v>
      </c>
      <c r="D30" s="2" t="s">
        <v>180</v>
      </c>
      <c r="E30" s="2" t="s">
        <v>83</v>
      </c>
      <c r="F30" s="2" t="s">
        <v>165</v>
      </c>
      <c r="G30" s="3">
        <v>46239</v>
      </c>
      <c r="H30" s="2" t="s">
        <v>6</v>
      </c>
      <c r="I30" s="2" t="s">
        <v>181</v>
      </c>
      <c r="J30" s="2" t="s">
        <v>182</v>
      </c>
      <c r="K30" s="2" t="s">
        <v>190</v>
      </c>
      <c r="L30" s="2" t="s">
        <v>8</v>
      </c>
      <c r="M30" s="2" t="s">
        <v>8</v>
      </c>
      <c r="N30" s="2" t="s">
        <v>10</v>
      </c>
      <c r="O30" s="2" t="s">
        <v>183</v>
      </c>
      <c r="P30" s="3">
        <v>46239</v>
      </c>
      <c r="Q30" s="2" t="s">
        <v>184</v>
      </c>
      <c r="R30" s="2" t="s">
        <v>34</v>
      </c>
      <c r="S30" s="2" t="s">
        <v>8</v>
      </c>
      <c r="T30" s="2" t="s">
        <v>13</v>
      </c>
      <c r="U30" s="2" t="s">
        <v>8</v>
      </c>
      <c r="V30" s="2" t="s">
        <v>8</v>
      </c>
      <c r="W30" s="2" t="s">
        <v>185</v>
      </c>
      <c r="X30" s="2" t="s">
        <v>191</v>
      </c>
      <c r="Y30" s="2" t="s">
        <v>187</v>
      </c>
      <c r="Z30" s="2" t="s">
        <v>8</v>
      </c>
      <c r="AA30" s="2" t="s">
        <v>17</v>
      </c>
      <c r="AB30" s="5">
        <v>120</v>
      </c>
      <c r="AC30" s="5">
        <v>0</v>
      </c>
      <c r="AD30" s="5">
        <v>0</v>
      </c>
      <c r="AE30" s="5" t="s">
        <v>18</v>
      </c>
      <c r="AF30" s="5">
        <v>120</v>
      </c>
      <c r="AG30" s="5">
        <v>0</v>
      </c>
      <c r="AH30" s="6">
        <f t="shared" si="2"/>
        <v>120</v>
      </c>
      <c r="AI30" s="2" t="s">
        <v>19</v>
      </c>
      <c r="AJ30" s="2" t="s">
        <v>189</v>
      </c>
      <c r="AK30" s="9"/>
    </row>
    <row r="31" spans="1:37" x14ac:dyDescent="0.25">
      <c r="AF31" s="8">
        <f>SUM(DATA40)</f>
        <v>92847.450000000026</v>
      </c>
      <c r="AG31" s="8">
        <f>SUM(AG2:AG30)</f>
        <v>3720.6365149999997</v>
      </c>
      <c r="AH31" s="8">
        <f>SUM(AH2:AH30)</f>
        <v>89126.81348500005</v>
      </c>
    </row>
    <row r="33" spans="39:39" x14ac:dyDescent="0.25">
      <c r="AM33">
        <f>29+17</f>
        <v>46</v>
      </c>
    </row>
  </sheetData>
  <autoFilter ref="A1:AK31" xr:uid="{E2F7456A-3D86-4E66-8081-34428A40FE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38</vt:i4>
      </vt:variant>
    </vt:vector>
  </HeadingPairs>
  <TitlesOfParts>
    <vt:vector size="39" baseType="lpstr">
      <vt:lpstr>Aug 01 to 08 Mosafer Report</vt:lpstr>
      <vt:lpstr>DATA1</vt:lpstr>
      <vt:lpstr>DATA10</vt:lpstr>
      <vt:lpstr>DATA11</vt:lpstr>
      <vt:lpstr>DATA12</vt:lpstr>
      <vt:lpstr>DATA13</vt:lpstr>
      <vt:lpstr>DATA14</vt:lpstr>
      <vt:lpstr>DATA16</vt:lpstr>
      <vt:lpstr>DATA2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DATA31</vt:lpstr>
      <vt:lpstr>DATA32</vt:lpstr>
      <vt:lpstr>DATA33</vt:lpstr>
      <vt:lpstr>DATA36</vt:lpstr>
      <vt:lpstr>DATA37</vt:lpstr>
      <vt:lpstr>DATA38</vt:lpstr>
      <vt:lpstr>DATA39</vt:lpstr>
      <vt:lpstr>DATA4</vt:lpstr>
      <vt:lpstr>DATA40</vt:lpstr>
      <vt:lpstr>DATA41</vt:lpstr>
      <vt:lpstr>DATA44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Team7</dc:creator>
  <cp:lastModifiedBy>Ali Mirza</cp:lastModifiedBy>
  <dcterms:created xsi:type="dcterms:W3CDTF">2026-08-10T13:20:09Z</dcterms:created>
  <dcterms:modified xsi:type="dcterms:W3CDTF">2026-08-28T13:33:15Z</dcterms:modified>
</cp:coreProperties>
</file>