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.ahmed1\Desktop\WORK\Discover saudi\2026\July\week 4\AIR &amp; PORTAL\"/>
    </mc:Choice>
  </mc:AlternateContent>
  <xr:revisionPtr revIDLastSave="0" documentId="13_ncr:1_{53C765B9-287D-4840-8020-49B0B754C579}" xr6:coauthVersionLast="47" xr6:coauthVersionMax="47" xr10:uidLastSave="{00000000-0000-0000-0000-000000000000}"/>
  <bookViews>
    <workbookView xWindow="-120" yWindow="-120" windowWidth="20730" windowHeight="11040" xr2:uid="{139AAE04-A92C-4693-B2F2-7F38CDEA9B11}"/>
  </bookViews>
  <sheets>
    <sheet name="Sheet1" sheetId="1" r:id="rId1"/>
    <sheet name="Sheet2" sheetId="2" r:id="rId2"/>
  </sheets>
  <definedNames>
    <definedName name="_xlnm._FilterDatabase" localSheetId="0" hidden="1">Sheet1!$A$1:$AK$20</definedName>
    <definedName name="DATA1">Sheet1!$A$2:$A$17</definedName>
    <definedName name="DATA10">Sheet1!$J$2:$J$17</definedName>
    <definedName name="DATA11">Sheet1!$K$2:$K$17</definedName>
    <definedName name="DATA12">Sheet1!$L$2:$L$17</definedName>
    <definedName name="DATA13">Sheet1!$M$2:$M$17</definedName>
    <definedName name="DATA14">Sheet1!$N$2:$N$17</definedName>
    <definedName name="DATA15">Sheet1!$O$2:$O$17</definedName>
    <definedName name="DATA16">Sheet1!$P$2:$P$17</definedName>
    <definedName name="DATA17">Sheet1!#REF!</definedName>
    <definedName name="DATA18">Sheet1!#REF!</definedName>
    <definedName name="DATA19">Sheet1!#REF!</definedName>
    <definedName name="DATA2">Sheet1!$B$2:$B$17</definedName>
    <definedName name="DATA20">Sheet1!#REF!</definedName>
    <definedName name="DATA21">Sheet1!#REF!</definedName>
    <definedName name="DATA22">Sheet1!$Q$2:$Q$17</definedName>
    <definedName name="DATA23">Sheet1!$R$2:$R$17</definedName>
    <definedName name="DATA24">Sheet1!$S$2:$S$17</definedName>
    <definedName name="DATA25">Sheet1!$T$2:$T$17</definedName>
    <definedName name="DATA26">Sheet1!$U$2:$U$17</definedName>
    <definedName name="DATA27">Sheet1!$V$2:$V$17</definedName>
    <definedName name="DATA28">Sheet1!$W$2:$W$17</definedName>
    <definedName name="DATA29">Sheet1!$X$2:$X$17</definedName>
    <definedName name="DATA3">Sheet1!$C$2:$C$17</definedName>
    <definedName name="DATA30">Sheet1!$Y$2:$Y$17</definedName>
    <definedName name="DATA31">Sheet1!$Z$2:$Z$17</definedName>
    <definedName name="DATA32">Sheet1!$AA$2:$AA$17</definedName>
    <definedName name="DATA33">Sheet1!$AB$2:$AB$17</definedName>
    <definedName name="DATA34">Sheet1!#REF!</definedName>
    <definedName name="DATA35">Sheet1!#REF!</definedName>
    <definedName name="DATA36">Sheet1!$AC$2:$AC$17</definedName>
    <definedName name="DATA37">Sheet1!$AD$2:$AD$17</definedName>
    <definedName name="DATA38">Sheet1!$AE$2:$AE$17</definedName>
    <definedName name="DATA39">Sheet1!$AF$2:$AF$17</definedName>
    <definedName name="DATA4">Sheet1!$D$2:$D$17</definedName>
    <definedName name="DATA40">Sheet1!$AG$2:$AG$17</definedName>
    <definedName name="DATA41">Sheet1!$AJ$2:$AJ$17</definedName>
    <definedName name="DATA42">Sheet1!#REF!</definedName>
    <definedName name="DATA43">Sheet1!#REF!</definedName>
    <definedName name="DATA44">Sheet1!$AK$2:$AK$17</definedName>
    <definedName name="DATA5">Sheet1!$E$2:$E$17</definedName>
    <definedName name="DATA6">Sheet1!$F$2:$F$17</definedName>
    <definedName name="DATA7">Sheet1!$G$2:$G$17</definedName>
    <definedName name="DATA8">Sheet1!$H$2:$H$17</definedName>
    <definedName name="DATA9">Sheet1!$I$2:$I$17</definedName>
    <definedName name="TEST0">Sheet1!$A$2:$AK$17</definedName>
    <definedName name="TESTHKEY">Sheet1!$C$1:$AK$1</definedName>
    <definedName name="TESTKEYS">Sheet1!$A$2:$B$17</definedName>
    <definedName name="TESTVKEY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3" i="1" l="1"/>
  <c r="AH2" i="1"/>
  <c r="AG19" i="1"/>
  <c r="C8" i="2"/>
  <c r="F3" i="2"/>
  <c r="D4" i="2" l="1"/>
  <c r="F4" i="2" s="1"/>
  <c r="E8" i="2" l="1"/>
  <c r="F7" i="2"/>
  <c r="AH4" i="1"/>
  <c r="AI4" i="1" s="1"/>
  <c r="AH5" i="1"/>
  <c r="AI5" i="1" s="1"/>
  <c r="AH6" i="1"/>
  <c r="AI6" i="1" s="1"/>
  <c r="AH7" i="1"/>
  <c r="AH8" i="1"/>
  <c r="AI8" i="1" s="1"/>
  <c r="AH9" i="1"/>
  <c r="AI9" i="1" s="1"/>
  <c r="AH10" i="1"/>
  <c r="AI10" i="1" s="1"/>
  <c r="AH11" i="1"/>
  <c r="AH12" i="1"/>
  <c r="AI12" i="1" s="1"/>
  <c r="AH13" i="1"/>
  <c r="AI13" i="1" s="1"/>
  <c r="AH14" i="1"/>
  <c r="AI14" i="1" s="1"/>
  <c r="AH15" i="1"/>
  <c r="AI15" i="1" s="1"/>
  <c r="AH16" i="1"/>
  <c r="AI16" i="1" s="1"/>
  <c r="AI17" i="1"/>
  <c r="AH18" i="1"/>
  <c r="AI18" i="1" s="1"/>
  <c r="AI3" i="1"/>
  <c r="AI7" i="1"/>
  <c r="AI11" i="1"/>
  <c r="AH19" i="1" l="1"/>
  <c r="AI2" i="1"/>
  <c r="AI19" i="1" s="1"/>
  <c r="F6" i="2" l="1"/>
  <c r="F5" i="2"/>
  <c r="D2" i="2" l="1"/>
  <c r="D8" i="2" s="1"/>
  <c r="F2" i="2" l="1"/>
  <c r="F8" i="2" s="1"/>
</calcChain>
</file>

<file path=xl/sharedStrings.xml><?xml version="1.0" encoding="utf-8"?>
<sst xmlns="http://schemas.openxmlformats.org/spreadsheetml/2006/main" count="536" uniqueCount="191">
  <si>
    <t>2012559</t>
  </si>
  <si>
    <t>DOM</t>
  </si>
  <si>
    <t>Qtoon Raqamya Trading Company</t>
  </si>
  <si>
    <t>2500054264</t>
  </si>
  <si>
    <t>000001</t>
  </si>
  <si>
    <t>Invoice</t>
  </si>
  <si>
    <t>A</t>
  </si>
  <si>
    <t>XY</t>
  </si>
  <si>
    <t/>
  </si>
  <si>
    <t>E-Tckt-DS-ONL</t>
  </si>
  <si>
    <t>QTOON RAQAMYA TRADING COMPANY</t>
  </si>
  <si>
    <t>S8S3NV</t>
  </si>
  <si>
    <t>07/30/2026</t>
  </si>
  <si>
    <t>1</t>
  </si>
  <si>
    <t>000527918</t>
  </si>
  <si>
    <t>Almalki Fahad</t>
  </si>
  <si>
    <t>TIF-DMM</t>
  </si>
  <si>
    <t>ECONOMY</t>
  </si>
  <si>
    <t>0</t>
  </si>
  <si>
    <t>SAR</t>
  </si>
  <si>
    <t>A260726150195500_7889547</t>
  </si>
  <si>
    <t>2500054285</t>
  </si>
  <si>
    <t>FCPT3T</t>
  </si>
  <si>
    <t>07/31/2026</t>
  </si>
  <si>
    <t>000528441</t>
  </si>
  <si>
    <t>ALGHAMDI GHADAH</t>
  </si>
  <si>
    <t>ABT-RUH</t>
  </si>
  <si>
    <t>A260727181735500_3179720</t>
  </si>
  <si>
    <t>2500054298</t>
  </si>
  <si>
    <t>F3</t>
  </si>
  <si>
    <t>RBTJ7A</t>
  </si>
  <si>
    <t>08/01/2026</t>
  </si>
  <si>
    <t>000529118</t>
  </si>
  <si>
    <t>MR RANA ALANAZI MSTR KHALiD</t>
  </si>
  <si>
    <t>TUU-RUH-TUU</t>
  </si>
  <si>
    <t>A260728244075500_3791636</t>
  </si>
  <si>
    <t>INT</t>
  </si>
  <si>
    <t>2500054288</t>
  </si>
  <si>
    <t>H</t>
  </si>
  <si>
    <t>OCE BUNGALOW</t>
  </si>
  <si>
    <t>2521092162</t>
  </si>
  <si>
    <t>Online-Accomodations</t>
  </si>
  <si>
    <t>EXPEDIA</t>
  </si>
  <si>
    <t>08/05/2026</t>
  </si>
  <si>
    <t>08/07/2026</t>
  </si>
  <si>
    <t>2</t>
  </si>
  <si>
    <t>H260728259235500</t>
  </si>
  <si>
    <t>Hassan Allus</t>
  </si>
  <si>
    <t>RIZE</t>
  </si>
  <si>
    <t>LUXURY BANGALOW - 1 DOUBLE BED</t>
  </si>
  <si>
    <t>H260728259235500_7397288</t>
  </si>
  <si>
    <t>000002</t>
  </si>
  <si>
    <t>2500054299</t>
  </si>
  <si>
    <t>Q6SQ7P</t>
  </si>
  <si>
    <t>000529154</t>
  </si>
  <si>
    <t>MS Jory ALANAZI MS MARAH AL</t>
  </si>
  <si>
    <t>A260728274165500_5123499</t>
  </si>
  <si>
    <t>2500054300</t>
  </si>
  <si>
    <t>FCZGPA</t>
  </si>
  <si>
    <t>000529164</t>
  </si>
  <si>
    <t>MR YAZEED ALANAZI</t>
  </si>
  <si>
    <t>A260728280135500_6862598</t>
  </si>
  <si>
    <t>2500054394</t>
  </si>
  <si>
    <t>RX</t>
  </si>
  <si>
    <t>RX12237C4Q59A</t>
  </si>
  <si>
    <t>000529647</t>
  </si>
  <si>
    <t>Mr Ali AlZamanan</t>
  </si>
  <si>
    <t>DXB-RUH</t>
  </si>
  <si>
    <t>BUSINESS</t>
  </si>
  <si>
    <t>A260729190205500_2635438</t>
  </si>
  <si>
    <t>SV</t>
  </si>
  <si>
    <t>4860340066</t>
  </si>
  <si>
    <t>9ZIQTW</t>
  </si>
  <si>
    <t>RUH-DXB</t>
  </si>
  <si>
    <t>2500054290</t>
  </si>
  <si>
    <t>25HOURS HOTEL DUBAI</t>
  </si>
  <si>
    <t>6A6A3AB3CF956E2F</t>
  </si>
  <si>
    <t>DIRECTSTATIC</t>
  </si>
  <si>
    <t>H260729191255500</t>
  </si>
  <si>
    <t>Ali AlZamanan</t>
  </si>
  <si>
    <t>DUBAI</t>
  </si>
  <si>
    <t>LARGE GLAMPING ROOM - KING BED</t>
  </si>
  <si>
    <t>H260729191255500_5696144</t>
  </si>
  <si>
    <t>2500054357</t>
  </si>
  <si>
    <t>QR</t>
  </si>
  <si>
    <t>4860340067</t>
  </si>
  <si>
    <t>7DEYE7</t>
  </si>
  <si>
    <t>08/03/2026</t>
  </si>
  <si>
    <t>000529937</t>
  </si>
  <si>
    <t>HAKAMI AMEERA</t>
  </si>
  <si>
    <t>ATH-DOH-JED</t>
  </si>
  <si>
    <t>I</t>
  </si>
  <si>
    <t>A26073066725500_3714020</t>
  </si>
  <si>
    <t>2500054358</t>
  </si>
  <si>
    <t>D5QT2P</t>
  </si>
  <si>
    <t>08/02/2026</t>
  </si>
  <si>
    <t>000530205</t>
  </si>
  <si>
    <t>RUH-JED</t>
  </si>
  <si>
    <t>A260730180235500_1800996</t>
  </si>
  <si>
    <t>2500054359</t>
  </si>
  <si>
    <t>A58E8C</t>
  </si>
  <si>
    <t>08/13/2026</t>
  </si>
  <si>
    <t>000530284</t>
  </si>
  <si>
    <t>MS Mary Bacalla MS Sharefa</t>
  </si>
  <si>
    <t>BHH-DMM</t>
  </si>
  <si>
    <t>A260730232205500_7447044</t>
  </si>
  <si>
    <t>2500054360</t>
  </si>
  <si>
    <t>ADKNJD</t>
  </si>
  <si>
    <t>08/06/2026</t>
  </si>
  <si>
    <t>000530539</t>
  </si>
  <si>
    <t>Alghamdi Sadeem</t>
  </si>
  <si>
    <t>A260731158265500_1276252</t>
  </si>
  <si>
    <t>2500054398</t>
  </si>
  <si>
    <t>J8C2WM</t>
  </si>
  <si>
    <t>000530621</t>
  </si>
  <si>
    <t>MR Waleed Khalid</t>
  </si>
  <si>
    <t>JED-RUH</t>
  </si>
  <si>
    <t>A260731222395500_4780469</t>
  </si>
  <si>
    <t>2500054248</t>
  </si>
  <si>
    <t>Credit for Returns</t>
  </si>
  <si>
    <t>4860340008</t>
  </si>
  <si>
    <t>773ULO</t>
  </si>
  <si>
    <t>07/07/2026</t>
  </si>
  <si>
    <t>07/10/2026</t>
  </si>
  <si>
    <t>000517754</t>
  </si>
  <si>
    <t>ZAMANAN AL</t>
  </si>
  <si>
    <t>RUH-DOH-HKG-DOH-RUH</t>
  </si>
  <si>
    <t>F</t>
  </si>
  <si>
    <t>824</t>
  </si>
  <si>
    <t>A26070648655500_257964_R0</t>
  </si>
  <si>
    <t>Online - Change Fee</t>
  </si>
  <si>
    <t>Customer Name</t>
  </si>
  <si>
    <t>Invoice Number</t>
  </si>
  <si>
    <t>line Item</t>
  </si>
  <si>
    <t>Billing Type</t>
  </si>
  <si>
    <t>Issue Date</t>
  </si>
  <si>
    <t>Service Type</t>
  </si>
  <si>
    <t>Service Provider</t>
  </si>
  <si>
    <t>Service Reference</t>
  </si>
  <si>
    <t>Description of Service</t>
  </si>
  <si>
    <t>Supplier Name</t>
  </si>
  <si>
    <t>Employee ID</t>
  </si>
  <si>
    <t>Department</t>
  </si>
  <si>
    <t>Entitlement</t>
  </si>
  <si>
    <t>PNR No</t>
  </si>
  <si>
    <t>Booking Date</t>
  </si>
  <si>
    <t>Check In Date</t>
  </si>
  <si>
    <t>Check Out Date</t>
  </si>
  <si>
    <t>Supply Date</t>
  </si>
  <si>
    <t>Qty</t>
  </si>
  <si>
    <t>No of Rooms</t>
  </si>
  <si>
    <t>No of Nights</t>
  </si>
  <si>
    <t>T/O Number</t>
  </si>
  <si>
    <t>Client Name</t>
  </si>
  <si>
    <t>Route</t>
  </si>
  <si>
    <t>Destination City</t>
  </si>
  <si>
    <t>Class/Type</t>
  </si>
  <si>
    <t>Total Price W.O VAT</t>
  </si>
  <si>
    <t>VAT %</t>
  </si>
  <si>
    <t>VAT</t>
  </si>
  <si>
    <t>Airline Can Fee</t>
  </si>
  <si>
    <t>Total Invoice Amount</t>
  </si>
  <si>
    <t>Currency</t>
  </si>
  <si>
    <t>Booking ID</t>
  </si>
  <si>
    <t>Customer ID</t>
  </si>
  <si>
    <t>DOM/INT</t>
  </si>
  <si>
    <t>A260629226265500_1882952</t>
  </si>
  <si>
    <t>ALSABEA MOHAMED</t>
  </si>
  <si>
    <t>000514744</t>
  </si>
  <si>
    <t>07/03/2026</t>
  </si>
  <si>
    <t>07/01/2026</t>
  </si>
  <si>
    <t>9W942C</t>
  </si>
  <si>
    <t>GF</t>
  </si>
  <si>
    <t>2500053881</t>
  </si>
  <si>
    <t>J</t>
  </si>
  <si>
    <t>BAH-CAI</t>
  </si>
  <si>
    <t>4860339999</t>
  </si>
  <si>
    <t xml:space="preserve">Claim period </t>
  </si>
  <si>
    <t>total Claim</t>
  </si>
  <si>
    <t xml:space="preserve">Commision Amount </t>
  </si>
  <si>
    <t>total Payable amount</t>
  </si>
  <si>
    <t xml:space="preserve">Paid Amount </t>
  </si>
  <si>
    <t xml:space="preserve">DIFF in payment </t>
  </si>
  <si>
    <t xml:space="preserve">Claim From 21 till 27 Jun 2026 </t>
  </si>
  <si>
    <t xml:space="preserve">claim From 12  till 18  Jul 2026 </t>
  </si>
  <si>
    <t xml:space="preserve">claim From 19  till 25 Jul 2026 </t>
  </si>
  <si>
    <t xml:space="preserve">claim From 26  till 31 Jul 2026 </t>
  </si>
  <si>
    <t xml:space="preserve">commision amount </t>
  </si>
  <si>
    <t xml:space="preserve">net payable amount </t>
  </si>
  <si>
    <t xml:space="preserve">claim From 05  till 11  Jul 2026 </t>
  </si>
  <si>
    <t xml:space="preserve">claim From 28 jun  till 04   Jul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</si>
</sst>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0" fillId="0" borderId="2" xfId="0" applyBorder="1"/>
    <xf numFmtId="43" fontId="0" fillId="0" borderId="2" xfId="1" applyFont="1" applyBorder="1"/>
    <xf numFmtId="43" fontId="0" fillId="4" borderId="2" xfId="1" applyFont="1" applyFill="1" applyBorder="1"/>
    <xf numFmtId="43" fontId="0" fillId="4" borderId="2" xfId="0" applyNumberFormat="1" applyFill="1" applyBorder="1"/>
    <xf numFmtId="0" fontId="0" fillId="0" borderId="3" xfId="0" applyBorder="1"/>
    <xf numFmtId="43" fontId="0" fillId="0" borderId="3" xfId="1" applyFont="1" applyBorder="1"/>
    <xf numFmtId="43" fontId="0" fillId="4" borderId="3" xfId="1" applyFont="1" applyFill="1" applyBorder="1"/>
    <xf numFmtId="43" fontId="0" fillId="4" borderId="3" xfId="0" applyNumberFormat="1" applyFill="1" applyBorder="1"/>
    <xf numFmtId="0" fontId="2" fillId="3" borderId="4" xfId="0" applyFont="1" applyFill="1" applyBorder="1"/>
    <xf numFmtId="43" fontId="2" fillId="3" borderId="4" xfId="0" applyNumberFormat="1" applyFont="1" applyFill="1" applyBorder="1"/>
    <xf numFmtId="43" fontId="2" fillId="4" borderId="4" xfId="0" applyNumberFormat="1" applyFont="1" applyFill="1" applyBorder="1"/>
    <xf numFmtId="0" fontId="2" fillId="5" borderId="1" xfId="0" applyFont="1" applyFill="1" applyBorder="1"/>
    <xf numFmtId="43" fontId="0" fillId="5" borderId="2" xfId="1" applyFont="1" applyFill="1" applyBorder="1"/>
    <xf numFmtId="43" fontId="0" fillId="5" borderId="3" xfId="1" applyFont="1" applyFill="1" applyBorder="1"/>
    <xf numFmtId="43" fontId="2" fillId="5" borderId="4" xfId="0" applyNumberFormat="1" applyFont="1" applyFill="1" applyBorder="1"/>
    <xf numFmtId="43" fontId="0" fillId="2" borderId="0" xfId="1" applyFont="1" applyFill="1" applyAlignment="1">
      <alignment horizontal="left"/>
    </xf>
    <xf numFmtId="43" fontId="0" fillId="0" borderId="0" xfId="1" applyFont="1"/>
    <xf numFmtId="164" fontId="0" fillId="0" borderId="0" xfId="0" applyNumberFormat="1" applyFill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43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AC81-F998-4006-9FA3-2724C482E554}">
  <dimension ref="A1:AL20"/>
  <sheetViews>
    <sheetView tabSelected="1" topLeftCell="AB7" workbookViewId="0">
      <selection activeCell="AH15" sqref="AH15"/>
    </sheetView>
  </sheetViews>
  <sheetFormatPr defaultRowHeight="15" x14ac:dyDescent="0.25"/>
  <cols>
    <col min="1" max="1" width="11.7109375" style="2" bestFit="1" customWidth="1"/>
    <col min="2" max="2" width="9" style="2" bestFit="1" customWidth="1"/>
    <col min="3" max="3" width="31.7109375" style="2" bestFit="1" customWidth="1"/>
    <col min="4" max="4" width="15" style="2" bestFit="1" customWidth="1"/>
    <col min="5" max="5" width="8.5703125" style="2" bestFit="1" customWidth="1"/>
    <col min="6" max="6" width="16.28515625" style="2" bestFit="1" customWidth="1"/>
    <col min="7" max="7" width="10.42578125" style="2" bestFit="1" customWidth="1"/>
    <col min="8" max="8" width="11.5703125" style="2" bestFit="1" customWidth="1"/>
    <col min="9" max="9" width="21.42578125" style="2" bestFit="1" customWidth="1"/>
    <col min="10" max="10" width="18" style="2" bestFit="1" customWidth="1"/>
    <col min="11" max="11" width="21.85546875" style="2" bestFit="1" customWidth="1"/>
    <col min="12" max="12" width="14.140625" style="2" bestFit="1" customWidth="1"/>
    <col min="13" max="13" width="11.7109375" style="2" bestFit="1" customWidth="1"/>
    <col min="14" max="14" width="35.140625" style="2" bestFit="1" customWidth="1"/>
    <col min="15" max="15" width="10.85546875" style="2" bestFit="1" customWidth="1"/>
    <col min="16" max="16" width="15.140625" style="2" bestFit="1" customWidth="1"/>
    <col min="17" max="17" width="12.5703125" style="2" bestFit="1" customWidth="1"/>
    <col min="18" max="18" width="12.85546875" style="2" bestFit="1" customWidth="1"/>
    <col min="19" max="19" width="14.42578125" style="2" bestFit="1" customWidth="1"/>
    <col min="20" max="20" width="11.28515625" style="2" bestFit="1" customWidth="1"/>
    <col min="21" max="21" width="3.85546875" style="2" bestFit="1" customWidth="1"/>
    <col min="22" max="22" width="12.28515625" style="2" bestFit="1" customWidth="1"/>
    <col min="23" max="23" width="18.42578125" style="2" bestFit="1" customWidth="1"/>
    <col min="24" max="24" width="17.5703125" style="2" bestFit="1" customWidth="1"/>
    <col min="25" max="25" width="29.140625" style="2" bestFit="1" customWidth="1"/>
    <col min="26" max="26" width="23.42578125" style="2" bestFit="1" customWidth="1"/>
    <col min="27" max="27" width="14.85546875" style="2" bestFit="1" customWidth="1"/>
    <col min="28" max="28" width="32.85546875" style="2" bestFit="1" customWidth="1"/>
    <col min="29" max="29" width="18.5703125" style="7" bestFit="1" customWidth="1"/>
    <col min="30" max="30" width="25.5703125" style="7" bestFit="1" customWidth="1"/>
    <col min="31" max="31" width="8" style="7" bestFit="1" customWidth="1"/>
    <col min="32" max="32" width="14.140625" style="7" bestFit="1" customWidth="1"/>
    <col min="33" max="33" width="19.85546875" style="7" bestFit="1" customWidth="1"/>
    <col min="34" max="34" width="23.5703125" style="2" bestFit="1" customWidth="1"/>
    <col min="35" max="35" width="26.5703125" style="2" bestFit="1" customWidth="1"/>
    <col min="36" max="36" width="9.140625" style="2"/>
    <col min="37" max="37" width="26.5703125" style="2" bestFit="1" customWidth="1"/>
    <col min="38" max="16384" width="9.140625" style="2"/>
  </cols>
  <sheetData>
    <row r="1" spans="1:38" x14ac:dyDescent="0.25">
      <c r="A1" s="1" t="s">
        <v>164</v>
      </c>
      <c r="B1" s="1" t="s">
        <v>165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153</v>
      </c>
      <c r="Z1" s="1" t="s">
        <v>154</v>
      </c>
      <c r="AA1" s="1" t="s">
        <v>155</v>
      </c>
      <c r="AB1" s="1" t="s">
        <v>156</v>
      </c>
      <c r="AC1" s="6" t="s">
        <v>157</v>
      </c>
      <c r="AD1" s="6" t="s">
        <v>158</v>
      </c>
      <c r="AE1" s="6" t="s">
        <v>159</v>
      </c>
      <c r="AF1" s="6" t="s">
        <v>160</v>
      </c>
      <c r="AG1" s="6" t="s">
        <v>161</v>
      </c>
      <c r="AH1" s="1" t="s">
        <v>187</v>
      </c>
      <c r="AI1" s="26" t="s">
        <v>188</v>
      </c>
      <c r="AJ1" s="1" t="s">
        <v>162</v>
      </c>
      <c r="AK1" s="1" t="s">
        <v>163</v>
      </c>
    </row>
    <row r="2" spans="1:38" x14ac:dyDescent="0.25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>
        <v>46229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8</v>
      </c>
      <c r="M2" s="4" t="s">
        <v>8</v>
      </c>
      <c r="N2" s="4" t="s">
        <v>10</v>
      </c>
      <c r="O2" s="4" t="s">
        <v>8</v>
      </c>
      <c r="P2" s="4" t="s">
        <v>11</v>
      </c>
      <c r="Q2" s="5">
        <v>46229</v>
      </c>
      <c r="R2" s="4" t="s">
        <v>12</v>
      </c>
      <c r="S2" s="4" t="s">
        <v>12</v>
      </c>
      <c r="T2" s="4" t="s">
        <v>8</v>
      </c>
      <c r="U2" s="4" t="s">
        <v>13</v>
      </c>
      <c r="V2" s="4" t="s">
        <v>8</v>
      </c>
      <c r="W2" s="4" t="s">
        <v>8</v>
      </c>
      <c r="X2" s="4" t="s">
        <v>14</v>
      </c>
      <c r="Y2" s="4" t="s">
        <v>15</v>
      </c>
      <c r="Z2" s="4" t="s">
        <v>16</v>
      </c>
      <c r="AA2" s="4" t="s">
        <v>8</v>
      </c>
      <c r="AB2" s="4" t="s">
        <v>17</v>
      </c>
      <c r="AC2" s="7">
        <v>329.35</v>
      </c>
      <c r="AD2" s="7">
        <v>15</v>
      </c>
      <c r="AE2" s="7">
        <v>49.4</v>
      </c>
      <c r="AF2" s="7" t="s">
        <v>18</v>
      </c>
      <c r="AG2" s="7">
        <v>378.75</v>
      </c>
      <c r="AH2" s="7">
        <f>IF(AND(LEFT($AK2)="A",SUM($AC2)&gt;=1),$AC2*0.03,IF(LEFT($AK2)="H",$AC2*0.05,0))*1.15</f>
        <v>11.362574999999998</v>
      </c>
      <c r="AI2" s="27">
        <f>AG2-AH2</f>
        <v>367.38742500000001</v>
      </c>
      <c r="AJ2" s="4" t="s">
        <v>19</v>
      </c>
      <c r="AK2" s="4" t="s">
        <v>20</v>
      </c>
      <c r="AL2" s="31"/>
    </row>
    <row r="3" spans="1:38" x14ac:dyDescent="0.25">
      <c r="A3" s="3" t="s">
        <v>0</v>
      </c>
      <c r="B3" s="3" t="s">
        <v>1</v>
      </c>
      <c r="C3" s="4" t="s">
        <v>2</v>
      </c>
      <c r="D3" s="4" t="s">
        <v>21</v>
      </c>
      <c r="E3" s="4" t="s">
        <v>4</v>
      </c>
      <c r="F3" s="4" t="s">
        <v>5</v>
      </c>
      <c r="G3" s="5">
        <v>46230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8</v>
      </c>
      <c r="M3" s="4" t="s">
        <v>8</v>
      </c>
      <c r="N3" s="4" t="s">
        <v>10</v>
      </c>
      <c r="O3" s="4" t="s">
        <v>8</v>
      </c>
      <c r="P3" s="4" t="s">
        <v>22</v>
      </c>
      <c r="Q3" s="5">
        <v>46230</v>
      </c>
      <c r="R3" s="4" t="s">
        <v>23</v>
      </c>
      <c r="S3" s="4" t="s">
        <v>23</v>
      </c>
      <c r="T3" s="4" t="s">
        <v>8</v>
      </c>
      <c r="U3" s="4" t="s">
        <v>13</v>
      </c>
      <c r="V3" s="4" t="s">
        <v>8</v>
      </c>
      <c r="W3" s="4" t="s">
        <v>8</v>
      </c>
      <c r="X3" s="4" t="s">
        <v>24</v>
      </c>
      <c r="Y3" s="4" t="s">
        <v>25</v>
      </c>
      <c r="Z3" s="4" t="s">
        <v>26</v>
      </c>
      <c r="AA3" s="4" t="s">
        <v>8</v>
      </c>
      <c r="AB3" s="4" t="s">
        <v>17</v>
      </c>
      <c r="AC3" s="7">
        <v>275</v>
      </c>
      <c r="AD3" s="7">
        <v>15</v>
      </c>
      <c r="AE3" s="7">
        <v>41.25</v>
      </c>
      <c r="AF3" s="7" t="s">
        <v>18</v>
      </c>
      <c r="AG3" s="7">
        <v>316.25</v>
      </c>
      <c r="AH3" s="7">
        <f>IF(AND(LEFT($AK3)="A",SUM($AC3)&gt;=1),$AC3*0.03,IF(LEFT($AK3)="H",$AC3*0.05,0))*1.15</f>
        <v>9.4874999999999989</v>
      </c>
      <c r="AI3" s="27">
        <f t="shared" ref="AI3:AI18" si="0">AG3-AH3</f>
        <v>306.76249999999999</v>
      </c>
      <c r="AJ3" s="4" t="s">
        <v>19</v>
      </c>
      <c r="AK3" s="4" t="s">
        <v>27</v>
      </c>
      <c r="AL3" s="31"/>
    </row>
    <row r="4" spans="1:38" x14ac:dyDescent="0.25">
      <c r="A4" s="3" t="s">
        <v>0</v>
      </c>
      <c r="B4" s="3" t="s">
        <v>1</v>
      </c>
      <c r="C4" s="4" t="s">
        <v>2</v>
      </c>
      <c r="D4" s="4" t="s">
        <v>28</v>
      </c>
      <c r="E4" s="4" t="s">
        <v>4</v>
      </c>
      <c r="F4" s="4" t="s">
        <v>5</v>
      </c>
      <c r="G4" s="5">
        <v>46231</v>
      </c>
      <c r="H4" s="4" t="s">
        <v>6</v>
      </c>
      <c r="I4" s="4" t="s">
        <v>29</v>
      </c>
      <c r="J4" s="4" t="s">
        <v>8</v>
      </c>
      <c r="K4" s="4" t="s">
        <v>9</v>
      </c>
      <c r="L4" s="4" t="s">
        <v>8</v>
      </c>
      <c r="M4" s="4" t="s">
        <v>8</v>
      </c>
      <c r="N4" s="4" t="s">
        <v>10</v>
      </c>
      <c r="O4" s="4" t="s">
        <v>8</v>
      </c>
      <c r="P4" s="4" t="s">
        <v>30</v>
      </c>
      <c r="Q4" s="5">
        <v>46231</v>
      </c>
      <c r="R4" s="4" t="s">
        <v>12</v>
      </c>
      <c r="S4" s="4" t="s">
        <v>31</v>
      </c>
      <c r="T4" s="4" t="s">
        <v>8</v>
      </c>
      <c r="U4" s="4" t="s">
        <v>13</v>
      </c>
      <c r="V4" s="4" t="s">
        <v>8</v>
      </c>
      <c r="W4" s="4" t="s">
        <v>8</v>
      </c>
      <c r="X4" s="4" t="s">
        <v>32</v>
      </c>
      <c r="Y4" s="4" t="s">
        <v>33</v>
      </c>
      <c r="Z4" s="4" t="s">
        <v>34</v>
      </c>
      <c r="AA4" s="4" t="s">
        <v>8</v>
      </c>
      <c r="AB4" s="4" t="s">
        <v>17</v>
      </c>
      <c r="AC4" s="7">
        <v>1566.96</v>
      </c>
      <c r="AD4" s="7">
        <v>15</v>
      </c>
      <c r="AE4" s="7">
        <v>235.04</v>
      </c>
      <c r="AF4" s="7" t="s">
        <v>18</v>
      </c>
      <c r="AG4" s="7">
        <v>1802</v>
      </c>
      <c r="AH4" s="7">
        <f t="shared" ref="AH3:AH18" si="1">IF(AND(LEFT($AK4)="A",SUM($AC4)&gt;=1),$AC4*0.03,IF(LEFT($AK4)="H",$AC4*0.05,0))*1.15</f>
        <v>54.060119999999998</v>
      </c>
      <c r="AI4" s="27">
        <f t="shared" si="0"/>
        <v>1747.9398799999999</v>
      </c>
      <c r="AJ4" s="4" t="s">
        <v>19</v>
      </c>
      <c r="AK4" s="4" t="s">
        <v>35</v>
      </c>
      <c r="AL4" s="31"/>
    </row>
    <row r="5" spans="1:38" x14ac:dyDescent="0.25">
      <c r="A5" s="3" t="s">
        <v>0</v>
      </c>
      <c r="B5" s="3" t="s">
        <v>36</v>
      </c>
      <c r="C5" s="4" t="s">
        <v>2</v>
      </c>
      <c r="D5" s="4" t="s">
        <v>37</v>
      </c>
      <c r="E5" s="4" t="s">
        <v>4</v>
      </c>
      <c r="F5" s="4" t="s">
        <v>5</v>
      </c>
      <c r="G5" s="5">
        <v>46233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8</v>
      </c>
      <c r="N5" s="4" t="s">
        <v>10</v>
      </c>
      <c r="O5" s="4" t="s">
        <v>8</v>
      </c>
      <c r="P5" s="4" t="s">
        <v>8</v>
      </c>
      <c r="Q5" s="5">
        <v>46231</v>
      </c>
      <c r="R5" s="4" t="s">
        <v>43</v>
      </c>
      <c r="S5" s="4" t="s">
        <v>44</v>
      </c>
      <c r="T5" s="4" t="s">
        <v>8</v>
      </c>
      <c r="U5" s="4" t="s">
        <v>13</v>
      </c>
      <c r="V5" s="4" t="s">
        <v>13</v>
      </c>
      <c r="W5" s="4" t="s">
        <v>45</v>
      </c>
      <c r="X5" s="4" t="s">
        <v>46</v>
      </c>
      <c r="Y5" s="4" t="s">
        <v>47</v>
      </c>
      <c r="Z5" s="4" t="s">
        <v>8</v>
      </c>
      <c r="AA5" s="4" t="s">
        <v>48</v>
      </c>
      <c r="AB5" s="4" t="s">
        <v>49</v>
      </c>
      <c r="AC5" s="7">
        <v>1278.32</v>
      </c>
      <c r="AD5" s="7">
        <v>0</v>
      </c>
      <c r="AE5" s="7">
        <v>0</v>
      </c>
      <c r="AF5" s="7" t="s">
        <v>18</v>
      </c>
      <c r="AG5" s="7">
        <v>1278.32</v>
      </c>
      <c r="AH5" s="7">
        <f t="shared" si="1"/>
        <v>73.503399999999985</v>
      </c>
      <c r="AI5" s="27">
        <f t="shared" si="0"/>
        <v>1204.8165999999999</v>
      </c>
      <c r="AJ5" s="4" t="s">
        <v>19</v>
      </c>
      <c r="AK5" s="4" t="s">
        <v>50</v>
      </c>
      <c r="AL5" s="31"/>
    </row>
    <row r="6" spans="1:38" x14ac:dyDescent="0.25">
      <c r="A6" s="3" t="s">
        <v>0</v>
      </c>
      <c r="B6" s="3" t="s">
        <v>1</v>
      </c>
      <c r="C6" s="4" t="s">
        <v>2</v>
      </c>
      <c r="D6" s="4" t="s">
        <v>52</v>
      </c>
      <c r="E6" s="4" t="s">
        <v>4</v>
      </c>
      <c r="F6" s="4" t="s">
        <v>5</v>
      </c>
      <c r="G6" s="5">
        <v>46231</v>
      </c>
      <c r="H6" s="4" t="s">
        <v>6</v>
      </c>
      <c r="I6" s="4" t="s">
        <v>29</v>
      </c>
      <c r="J6" s="4" t="s">
        <v>8</v>
      </c>
      <c r="K6" s="4" t="s">
        <v>9</v>
      </c>
      <c r="L6" s="4" t="s">
        <v>8</v>
      </c>
      <c r="M6" s="4" t="s">
        <v>8</v>
      </c>
      <c r="N6" s="4" t="s">
        <v>10</v>
      </c>
      <c r="O6" s="4" t="s">
        <v>8</v>
      </c>
      <c r="P6" s="4" t="s">
        <v>53</v>
      </c>
      <c r="Q6" s="5">
        <v>46231</v>
      </c>
      <c r="R6" s="4" t="s">
        <v>12</v>
      </c>
      <c r="S6" s="4" t="s">
        <v>31</v>
      </c>
      <c r="T6" s="4" t="s">
        <v>8</v>
      </c>
      <c r="U6" s="4" t="s">
        <v>13</v>
      </c>
      <c r="V6" s="4" t="s">
        <v>8</v>
      </c>
      <c r="W6" s="4" t="s">
        <v>8</v>
      </c>
      <c r="X6" s="4" t="s">
        <v>54</v>
      </c>
      <c r="Y6" s="4" t="s">
        <v>55</v>
      </c>
      <c r="Z6" s="4" t="s">
        <v>34</v>
      </c>
      <c r="AA6" s="4" t="s">
        <v>8</v>
      </c>
      <c r="AB6" s="4" t="s">
        <v>17</v>
      </c>
      <c r="AC6" s="7">
        <v>1566.96</v>
      </c>
      <c r="AD6" s="7">
        <v>15</v>
      </c>
      <c r="AE6" s="7">
        <v>235.04</v>
      </c>
      <c r="AF6" s="7" t="s">
        <v>18</v>
      </c>
      <c r="AG6" s="7">
        <v>1802</v>
      </c>
      <c r="AH6" s="7">
        <f t="shared" si="1"/>
        <v>54.060119999999998</v>
      </c>
      <c r="AI6" s="27">
        <f t="shared" si="0"/>
        <v>1747.9398799999999</v>
      </c>
      <c r="AJ6" s="4" t="s">
        <v>19</v>
      </c>
      <c r="AK6" s="4" t="s">
        <v>56</v>
      </c>
      <c r="AL6" s="31"/>
    </row>
    <row r="7" spans="1:38" x14ac:dyDescent="0.25">
      <c r="A7" s="3" t="s">
        <v>0</v>
      </c>
      <c r="B7" s="3" t="s">
        <v>1</v>
      </c>
      <c r="C7" s="4" t="s">
        <v>2</v>
      </c>
      <c r="D7" s="4" t="s">
        <v>57</v>
      </c>
      <c r="E7" s="4" t="s">
        <v>4</v>
      </c>
      <c r="F7" s="4" t="s">
        <v>5</v>
      </c>
      <c r="G7" s="5">
        <v>46231</v>
      </c>
      <c r="H7" s="4" t="s">
        <v>6</v>
      </c>
      <c r="I7" s="4" t="s">
        <v>29</v>
      </c>
      <c r="J7" s="4" t="s">
        <v>8</v>
      </c>
      <c r="K7" s="4" t="s">
        <v>9</v>
      </c>
      <c r="L7" s="4" t="s">
        <v>8</v>
      </c>
      <c r="M7" s="4" t="s">
        <v>8</v>
      </c>
      <c r="N7" s="4" t="s">
        <v>10</v>
      </c>
      <c r="O7" s="4" t="s">
        <v>8</v>
      </c>
      <c r="P7" s="4" t="s">
        <v>58</v>
      </c>
      <c r="Q7" s="5">
        <v>46231</v>
      </c>
      <c r="R7" s="4" t="s">
        <v>12</v>
      </c>
      <c r="S7" s="4" t="s">
        <v>31</v>
      </c>
      <c r="T7" s="4" t="s">
        <v>8</v>
      </c>
      <c r="U7" s="4" t="s">
        <v>13</v>
      </c>
      <c r="V7" s="4" t="s">
        <v>8</v>
      </c>
      <c r="W7" s="4" t="s">
        <v>8</v>
      </c>
      <c r="X7" s="4" t="s">
        <v>59</v>
      </c>
      <c r="Y7" s="4" t="s">
        <v>60</v>
      </c>
      <c r="Z7" s="4" t="s">
        <v>34</v>
      </c>
      <c r="AA7" s="4" t="s">
        <v>8</v>
      </c>
      <c r="AB7" s="4" t="s">
        <v>17</v>
      </c>
      <c r="AC7" s="7">
        <v>783.48</v>
      </c>
      <c r="AD7" s="7">
        <v>15</v>
      </c>
      <c r="AE7" s="7">
        <v>117.52</v>
      </c>
      <c r="AF7" s="7" t="s">
        <v>18</v>
      </c>
      <c r="AG7" s="7">
        <v>901</v>
      </c>
      <c r="AH7" s="7">
        <f t="shared" si="1"/>
        <v>27.030059999999999</v>
      </c>
      <c r="AI7" s="27">
        <f t="shared" si="0"/>
        <v>873.96993999999995</v>
      </c>
      <c r="AJ7" s="4" t="s">
        <v>19</v>
      </c>
      <c r="AK7" s="4" t="s">
        <v>61</v>
      </c>
      <c r="AL7" s="31"/>
    </row>
    <row r="8" spans="1:38" x14ac:dyDescent="0.25">
      <c r="A8" s="3" t="s">
        <v>0</v>
      </c>
      <c r="B8" s="3" t="s">
        <v>36</v>
      </c>
      <c r="C8" s="4" t="s">
        <v>2</v>
      </c>
      <c r="D8" s="4" t="s">
        <v>62</v>
      </c>
      <c r="E8" s="4" t="s">
        <v>4</v>
      </c>
      <c r="F8" s="4" t="s">
        <v>5</v>
      </c>
      <c r="G8" s="5">
        <v>46232</v>
      </c>
      <c r="H8" s="4" t="s">
        <v>6</v>
      </c>
      <c r="I8" s="4" t="s">
        <v>63</v>
      </c>
      <c r="J8" s="4" t="s">
        <v>8</v>
      </c>
      <c r="K8" s="4" t="s">
        <v>9</v>
      </c>
      <c r="L8" s="4" t="s">
        <v>8</v>
      </c>
      <c r="M8" s="4" t="s">
        <v>8</v>
      </c>
      <c r="N8" s="4" t="s">
        <v>10</v>
      </c>
      <c r="O8" s="4" t="s">
        <v>8</v>
      </c>
      <c r="P8" s="4" t="s">
        <v>64</v>
      </c>
      <c r="Q8" s="5">
        <v>46232</v>
      </c>
      <c r="R8" s="4" t="s">
        <v>31</v>
      </c>
      <c r="S8" s="4" t="s">
        <v>31</v>
      </c>
      <c r="T8" s="4" t="s">
        <v>8</v>
      </c>
      <c r="U8" s="4" t="s">
        <v>13</v>
      </c>
      <c r="V8" s="4" t="s">
        <v>8</v>
      </c>
      <c r="W8" s="4" t="s">
        <v>8</v>
      </c>
      <c r="X8" s="4" t="s">
        <v>65</v>
      </c>
      <c r="Y8" s="4" t="s">
        <v>66</v>
      </c>
      <c r="Z8" s="4" t="s">
        <v>67</v>
      </c>
      <c r="AA8" s="4" t="s">
        <v>8</v>
      </c>
      <c r="AB8" s="4" t="s">
        <v>68</v>
      </c>
      <c r="AC8" s="7">
        <v>8272.9699999999993</v>
      </c>
      <c r="AD8" s="7">
        <v>0</v>
      </c>
      <c r="AE8" s="7">
        <v>0</v>
      </c>
      <c r="AF8" s="7" t="s">
        <v>18</v>
      </c>
      <c r="AG8" s="7">
        <v>8272.9699999999993</v>
      </c>
      <c r="AH8" s="7">
        <f t="shared" si="1"/>
        <v>285.41746499999994</v>
      </c>
      <c r="AI8" s="27">
        <f t="shared" si="0"/>
        <v>7987.5525349999998</v>
      </c>
      <c r="AJ8" s="4" t="s">
        <v>19</v>
      </c>
      <c r="AK8" s="4" t="s">
        <v>69</v>
      </c>
      <c r="AL8" s="31"/>
    </row>
    <row r="9" spans="1:38" x14ac:dyDescent="0.25">
      <c r="A9" s="3" t="s">
        <v>0</v>
      </c>
      <c r="B9" s="3" t="s">
        <v>36</v>
      </c>
      <c r="C9" s="4" t="s">
        <v>2</v>
      </c>
      <c r="D9" s="4" t="s">
        <v>62</v>
      </c>
      <c r="E9" s="4" t="s">
        <v>51</v>
      </c>
      <c r="F9" s="4" t="s">
        <v>5</v>
      </c>
      <c r="G9" s="5">
        <v>46232</v>
      </c>
      <c r="H9" s="4" t="s">
        <v>6</v>
      </c>
      <c r="I9" s="4" t="s">
        <v>70</v>
      </c>
      <c r="J9" s="4" t="s">
        <v>71</v>
      </c>
      <c r="K9" s="4" t="s">
        <v>9</v>
      </c>
      <c r="L9" s="4" t="s">
        <v>8</v>
      </c>
      <c r="M9" s="4" t="s">
        <v>8</v>
      </c>
      <c r="N9" s="4" t="s">
        <v>10</v>
      </c>
      <c r="O9" s="4" t="s">
        <v>8</v>
      </c>
      <c r="P9" s="4" t="s">
        <v>72</v>
      </c>
      <c r="Q9" s="5">
        <v>46232</v>
      </c>
      <c r="R9" s="4" t="s">
        <v>12</v>
      </c>
      <c r="S9" s="4" t="s">
        <v>12</v>
      </c>
      <c r="T9" s="4" t="s">
        <v>8</v>
      </c>
      <c r="U9" s="4" t="s">
        <v>13</v>
      </c>
      <c r="V9" s="4" t="s">
        <v>8</v>
      </c>
      <c r="W9" s="4" t="s">
        <v>8</v>
      </c>
      <c r="X9" s="4" t="s">
        <v>65</v>
      </c>
      <c r="Y9" s="4" t="s">
        <v>66</v>
      </c>
      <c r="Z9" s="4" t="s">
        <v>73</v>
      </c>
      <c r="AA9" s="4" t="s">
        <v>8</v>
      </c>
      <c r="AB9" s="4" t="s">
        <v>68</v>
      </c>
      <c r="AC9" s="7">
        <v>5287.8</v>
      </c>
      <c r="AD9" s="7">
        <v>0</v>
      </c>
      <c r="AE9" s="7">
        <v>0</v>
      </c>
      <c r="AF9" s="7" t="s">
        <v>18</v>
      </c>
      <c r="AG9" s="7">
        <v>5287.8</v>
      </c>
      <c r="AH9" s="7">
        <f t="shared" si="1"/>
        <v>182.42909999999998</v>
      </c>
      <c r="AI9" s="27">
        <f t="shared" si="0"/>
        <v>5105.3708999999999</v>
      </c>
      <c r="AJ9" s="4" t="s">
        <v>19</v>
      </c>
      <c r="AK9" s="4" t="s">
        <v>69</v>
      </c>
      <c r="AL9" s="31"/>
    </row>
    <row r="10" spans="1:38" x14ac:dyDescent="0.25">
      <c r="A10" s="3" t="s">
        <v>0</v>
      </c>
      <c r="B10" s="3" t="s">
        <v>36</v>
      </c>
      <c r="C10" s="4" t="s">
        <v>2</v>
      </c>
      <c r="D10" s="4" t="s">
        <v>74</v>
      </c>
      <c r="E10" s="4" t="s">
        <v>4</v>
      </c>
      <c r="F10" s="4" t="s">
        <v>5</v>
      </c>
      <c r="G10" s="5">
        <v>46233</v>
      </c>
      <c r="H10" s="4" t="s">
        <v>38</v>
      </c>
      <c r="I10" s="4" t="s">
        <v>75</v>
      </c>
      <c r="J10" s="4" t="s">
        <v>76</v>
      </c>
      <c r="K10" s="4" t="s">
        <v>41</v>
      </c>
      <c r="L10" s="4" t="s">
        <v>77</v>
      </c>
      <c r="M10" s="4" t="s">
        <v>8</v>
      </c>
      <c r="N10" s="4" t="s">
        <v>10</v>
      </c>
      <c r="O10" s="4" t="s">
        <v>8</v>
      </c>
      <c r="P10" s="4" t="s">
        <v>8</v>
      </c>
      <c r="Q10" s="5">
        <v>46232</v>
      </c>
      <c r="R10" s="4" t="s">
        <v>12</v>
      </c>
      <c r="S10" s="4" t="s">
        <v>31</v>
      </c>
      <c r="T10" s="4" t="s">
        <v>8</v>
      </c>
      <c r="U10" s="4" t="s">
        <v>13</v>
      </c>
      <c r="V10" s="4" t="s">
        <v>13</v>
      </c>
      <c r="W10" s="4" t="s">
        <v>45</v>
      </c>
      <c r="X10" s="4" t="s">
        <v>78</v>
      </c>
      <c r="Y10" s="4" t="s">
        <v>79</v>
      </c>
      <c r="Z10" s="4" t="s">
        <v>8</v>
      </c>
      <c r="AA10" s="4" t="s">
        <v>80</v>
      </c>
      <c r="AB10" s="4" t="s">
        <v>81</v>
      </c>
      <c r="AC10" s="7">
        <v>951.49</v>
      </c>
      <c r="AD10" s="7">
        <v>0</v>
      </c>
      <c r="AE10" s="7">
        <v>0</v>
      </c>
      <c r="AF10" s="7" t="s">
        <v>18</v>
      </c>
      <c r="AG10" s="7">
        <v>951.49</v>
      </c>
      <c r="AH10" s="7">
        <f t="shared" si="1"/>
        <v>54.710674999999995</v>
      </c>
      <c r="AI10" s="27">
        <f t="shared" si="0"/>
        <v>896.77932499999997</v>
      </c>
      <c r="AJ10" s="4" t="s">
        <v>19</v>
      </c>
      <c r="AK10" s="4" t="s">
        <v>82</v>
      </c>
      <c r="AL10" s="31"/>
    </row>
    <row r="11" spans="1:38" x14ac:dyDescent="0.25">
      <c r="A11" s="3" t="s">
        <v>0</v>
      </c>
      <c r="B11" s="3" t="s">
        <v>36</v>
      </c>
      <c r="C11" s="4" t="s">
        <v>2</v>
      </c>
      <c r="D11" s="4" t="s">
        <v>83</v>
      </c>
      <c r="E11" s="4" t="s">
        <v>4</v>
      </c>
      <c r="F11" s="4" t="s">
        <v>5</v>
      </c>
      <c r="G11" s="5">
        <v>46233</v>
      </c>
      <c r="H11" s="4" t="s">
        <v>6</v>
      </c>
      <c r="I11" s="4" t="s">
        <v>84</v>
      </c>
      <c r="J11" s="4" t="s">
        <v>85</v>
      </c>
      <c r="K11" s="4" t="s">
        <v>9</v>
      </c>
      <c r="L11" s="4" t="s">
        <v>8</v>
      </c>
      <c r="M11" s="4" t="s">
        <v>8</v>
      </c>
      <c r="N11" s="4" t="s">
        <v>10</v>
      </c>
      <c r="O11" s="4" t="s">
        <v>8</v>
      </c>
      <c r="P11" s="4" t="s">
        <v>86</v>
      </c>
      <c r="Q11" s="5">
        <v>46233</v>
      </c>
      <c r="R11" s="4" t="s">
        <v>87</v>
      </c>
      <c r="S11" s="4" t="s">
        <v>87</v>
      </c>
      <c r="T11" s="4" t="s">
        <v>8</v>
      </c>
      <c r="U11" s="4" t="s">
        <v>13</v>
      </c>
      <c r="V11" s="4" t="s">
        <v>8</v>
      </c>
      <c r="W11" s="4" t="s">
        <v>8</v>
      </c>
      <c r="X11" s="4" t="s">
        <v>88</v>
      </c>
      <c r="Y11" s="4" t="s">
        <v>89</v>
      </c>
      <c r="Z11" s="4" t="s">
        <v>90</v>
      </c>
      <c r="AA11" s="4" t="s">
        <v>8</v>
      </c>
      <c r="AB11" s="4" t="s">
        <v>91</v>
      </c>
      <c r="AC11" s="7">
        <v>4876.1099999999997</v>
      </c>
      <c r="AD11" s="7">
        <v>0</v>
      </c>
      <c r="AE11" s="7">
        <v>0</v>
      </c>
      <c r="AF11" s="7" t="s">
        <v>18</v>
      </c>
      <c r="AG11" s="7">
        <v>4876.1099999999997</v>
      </c>
      <c r="AH11" s="7">
        <f t="shared" si="1"/>
        <v>168.22579499999998</v>
      </c>
      <c r="AI11" s="27">
        <f t="shared" si="0"/>
        <v>4707.8842049999994</v>
      </c>
      <c r="AJ11" s="4" t="s">
        <v>19</v>
      </c>
      <c r="AK11" s="4" t="s">
        <v>92</v>
      </c>
      <c r="AL11" s="31"/>
    </row>
    <row r="12" spans="1:38" x14ac:dyDescent="0.25">
      <c r="A12" s="3" t="s">
        <v>0</v>
      </c>
      <c r="B12" s="3" t="s">
        <v>1</v>
      </c>
      <c r="C12" s="4" t="s">
        <v>2</v>
      </c>
      <c r="D12" s="4" t="s">
        <v>93</v>
      </c>
      <c r="E12" s="4" t="s">
        <v>4</v>
      </c>
      <c r="F12" s="4" t="s">
        <v>5</v>
      </c>
      <c r="G12" s="5">
        <v>46233</v>
      </c>
      <c r="H12" s="4" t="s">
        <v>6</v>
      </c>
      <c r="I12" s="4" t="s">
        <v>29</v>
      </c>
      <c r="J12" s="4" t="s">
        <v>8</v>
      </c>
      <c r="K12" s="4" t="s">
        <v>9</v>
      </c>
      <c r="L12" s="4" t="s">
        <v>8</v>
      </c>
      <c r="M12" s="4" t="s">
        <v>8</v>
      </c>
      <c r="N12" s="4" t="s">
        <v>10</v>
      </c>
      <c r="O12" s="4" t="s">
        <v>8</v>
      </c>
      <c r="P12" s="4" t="s">
        <v>94</v>
      </c>
      <c r="Q12" s="5">
        <v>46233</v>
      </c>
      <c r="R12" s="4" t="s">
        <v>95</v>
      </c>
      <c r="S12" s="4" t="s">
        <v>95</v>
      </c>
      <c r="T12" s="4" t="s">
        <v>8</v>
      </c>
      <c r="U12" s="4" t="s">
        <v>13</v>
      </c>
      <c r="V12" s="4" t="s">
        <v>8</v>
      </c>
      <c r="W12" s="4" t="s">
        <v>8</v>
      </c>
      <c r="X12" s="4" t="s">
        <v>96</v>
      </c>
      <c r="Y12" s="4" t="s">
        <v>8</v>
      </c>
      <c r="Z12" s="4" t="s">
        <v>97</v>
      </c>
      <c r="AA12" s="4" t="s">
        <v>8</v>
      </c>
      <c r="AB12" s="4" t="s">
        <v>17</v>
      </c>
      <c r="AC12" s="7">
        <v>276.89999999999998</v>
      </c>
      <c r="AD12" s="7">
        <v>15</v>
      </c>
      <c r="AE12" s="7">
        <v>41.54</v>
      </c>
      <c r="AF12" s="7" t="s">
        <v>18</v>
      </c>
      <c r="AG12" s="7">
        <v>318.44</v>
      </c>
      <c r="AH12" s="7">
        <f t="shared" si="1"/>
        <v>9.5530499999999972</v>
      </c>
      <c r="AI12" s="27">
        <f t="shared" si="0"/>
        <v>308.88695000000001</v>
      </c>
      <c r="AJ12" s="4" t="s">
        <v>19</v>
      </c>
      <c r="AK12" s="4" t="s">
        <v>98</v>
      </c>
      <c r="AL12" s="31"/>
    </row>
    <row r="13" spans="1:38" x14ac:dyDescent="0.25">
      <c r="A13" s="3" t="s">
        <v>0</v>
      </c>
      <c r="B13" s="3" t="s">
        <v>1</v>
      </c>
      <c r="C13" s="4" t="s">
        <v>2</v>
      </c>
      <c r="D13" s="4" t="s">
        <v>99</v>
      </c>
      <c r="E13" s="4" t="s">
        <v>4</v>
      </c>
      <c r="F13" s="4" t="s">
        <v>5</v>
      </c>
      <c r="G13" s="5">
        <v>46233</v>
      </c>
      <c r="H13" s="4" t="s">
        <v>6</v>
      </c>
      <c r="I13" s="4" t="s">
        <v>29</v>
      </c>
      <c r="J13" s="4" t="s">
        <v>8</v>
      </c>
      <c r="K13" s="4" t="s">
        <v>9</v>
      </c>
      <c r="L13" s="4" t="s">
        <v>8</v>
      </c>
      <c r="M13" s="4" t="s">
        <v>8</v>
      </c>
      <c r="N13" s="4" t="s">
        <v>10</v>
      </c>
      <c r="O13" s="4" t="s">
        <v>8</v>
      </c>
      <c r="P13" s="4" t="s">
        <v>100</v>
      </c>
      <c r="Q13" s="5">
        <v>46233</v>
      </c>
      <c r="R13" s="4" t="s">
        <v>101</v>
      </c>
      <c r="S13" s="4" t="s">
        <v>101</v>
      </c>
      <c r="T13" s="4" t="s">
        <v>8</v>
      </c>
      <c r="U13" s="4" t="s">
        <v>13</v>
      </c>
      <c r="V13" s="4" t="s">
        <v>8</v>
      </c>
      <c r="W13" s="4" t="s">
        <v>8</v>
      </c>
      <c r="X13" s="4" t="s">
        <v>102</v>
      </c>
      <c r="Y13" s="4" t="s">
        <v>103</v>
      </c>
      <c r="Z13" s="4" t="s">
        <v>104</v>
      </c>
      <c r="AA13" s="4" t="s">
        <v>8</v>
      </c>
      <c r="AB13" s="4" t="s">
        <v>17</v>
      </c>
      <c r="AC13" s="7">
        <v>1757.71</v>
      </c>
      <c r="AD13" s="7">
        <v>15</v>
      </c>
      <c r="AE13" s="7">
        <v>263.66000000000003</v>
      </c>
      <c r="AF13" s="7" t="s">
        <v>18</v>
      </c>
      <c r="AG13" s="7">
        <v>2021.37</v>
      </c>
      <c r="AH13" s="7">
        <f t="shared" si="1"/>
        <v>60.64099499999999</v>
      </c>
      <c r="AI13" s="27">
        <f t="shared" si="0"/>
        <v>1960.7290049999999</v>
      </c>
      <c r="AJ13" s="4" t="s">
        <v>19</v>
      </c>
      <c r="AK13" s="4" t="s">
        <v>105</v>
      </c>
      <c r="AL13" s="31"/>
    </row>
    <row r="14" spans="1:38" x14ac:dyDescent="0.25">
      <c r="A14" s="3" t="s">
        <v>0</v>
      </c>
      <c r="B14" s="3" t="s">
        <v>1</v>
      </c>
      <c r="C14" s="4" t="s">
        <v>2</v>
      </c>
      <c r="D14" s="4" t="s">
        <v>106</v>
      </c>
      <c r="E14" s="4" t="s">
        <v>4</v>
      </c>
      <c r="F14" s="4" t="s">
        <v>5</v>
      </c>
      <c r="G14" s="5">
        <v>46234</v>
      </c>
      <c r="H14" s="4" t="s">
        <v>6</v>
      </c>
      <c r="I14" s="4" t="s">
        <v>7</v>
      </c>
      <c r="J14" s="4" t="s">
        <v>8</v>
      </c>
      <c r="K14" s="4" t="s">
        <v>9</v>
      </c>
      <c r="L14" s="4" t="s">
        <v>8</v>
      </c>
      <c r="M14" s="4" t="s">
        <v>8</v>
      </c>
      <c r="N14" s="4" t="s">
        <v>10</v>
      </c>
      <c r="O14" s="4" t="s">
        <v>8</v>
      </c>
      <c r="P14" s="4" t="s">
        <v>107</v>
      </c>
      <c r="Q14" s="5">
        <v>46234</v>
      </c>
      <c r="R14" s="4" t="s">
        <v>108</v>
      </c>
      <c r="S14" s="4" t="s">
        <v>108</v>
      </c>
      <c r="T14" s="4" t="s">
        <v>8</v>
      </c>
      <c r="U14" s="4" t="s">
        <v>13</v>
      </c>
      <c r="V14" s="4" t="s">
        <v>8</v>
      </c>
      <c r="W14" s="4" t="s">
        <v>8</v>
      </c>
      <c r="X14" s="4" t="s">
        <v>109</v>
      </c>
      <c r="Y14" s="4" t="s">
        <v>110</v>
      </c>
      <c r="Z14" s="4" t="s">
        <v>26</v>
      </c>
      <c r="AA14" s="4" t="s">
        <v>8</v>
      </c>
      <c r="AB14" s="4" t="s">
        <v>17</v>
      </c>
      <c r="AC14" s="7">
        <v>1445.55</v>
      </c>
      <c r="AD14" s="7">
        <v>15</v>
      </c>
      <c r="AE14" s="7">
        <v>216.83</v>
      </c>
      <c r="AF14" s="7" t="s">
        <v>18</v>
      </c>
      <c r="AG14" s="7">
        <v>1662.38</v>
      </c>
      <c r="AH14" s="7">
        <f t="shared" si="1"/>
        <v>49.87147499999999</v>
      </c>
      <c r="AI14" s="27">
        <f t="shared" si="0"/>
        <v>1612.5085250000002</v>
      </c>
      <c r="AJ14" s="4" t="s">
        <v>19</v>
      </c>
      <c r="AK14" s="4" t="s">
        <v>111</v>
      </c>
      <c r="AL14" s="31"/>
    </row>
    <row r="15" spans="1:38" x14ac:dyDescent="0.25">
      <c r="A15" s="3" t="s">
        <v>0</v>
      </c>
      <c r="B15" s="3" t="s">
        <v>1</v>
      </c>
      <c r="C15" s="4" t="s">
        <v>2</v>
      </c>
      <c r="D15" s="4" t="s">
        <v>112</v>
      </c>
      <c r="E15" s="4" t="s">
        <v>4</v>
      </c>
      <c r="F15" s="4" t="s">
        <v>5</v>
      </c>
      <c r="G15" s="5">
        <v>46234</v>
      </c>
      <c r="H15" s="4" t="s">
        <v>6</v>
      </c>
      <c r="I15" s="4" t="s">
        <v>29</v>
      </c>
      <c r="J15" s="4" t="s">
        <v>8</v>
      </c>
      <c r="K15" s="4" t="s">
        <v>9</v>
      </c>
      <c r="L15" s="4" t="s">
        <v>8</v>
      </c>
      <c r="M15" s="4" t="s">
        <v>8</v>
      </c>
      <c r="N15" s="4" t="s">
        <v>10</v>
      </c>
      <c r="O15" s="4" t="s">
        <v>8</v>
      </c>
      <c r="P15" s="4" t="s">
        <v>113</v>
      </c>
      <c r="Q15" s="5">
        <v>46234</v>
      </c>
      <c r="R15" s="4" t="s">
        <v>87</v>
      </c>
      <c r="S15" s="4" t="s">
        <v>87</v>
      </c>
      <c r="T15" s="4" t="s">
        <v>8</v>
      </c>
      <c r="U15" s="4" t="s">
        <v>13</v>
      </c>
      <c r="V15" s="4" t="s">
        <v>8</v>
      </c>
      <c r="W15" s="4" t="s">
        <v>8</v>
      </c>
      <c r="X15" s="4" t="s">
        <v>114</v>
      </c>
      <c r="Y15" s="4" t="s">
        <v>115</v>
      </c>
      <c r="Z15" s="4" t="s">
        <v>116</v>
      </c>
      <c r="AA15" s="4" t="s">
        <v>8</v>
      </c>
      <c r="AB15" s="4" t="s">
        <v>17</v>
      </c>
      <c r="AC15" s="7">
        <v>319.41000000000003</v>
      </c>
      <c r="AD15" s="7">
        <v>15</v>
      </c>
      <c r="AE15" s="7">
        <v>47.91</v>
      </c>
      <c r="AF15" s="7" t="s">
        <v>18</v>
      </c>
      <c r="AG15" s="7">
        <v>367.32</v>
      </c>
      <c r="AH15" s="7">
        <f t="shared" si="1"/>
        <v>11.019644999999999</v>
      </c>
      <c r="AI15" s="27">
        <f t="shared" si="0"/>
        <v>356.30035499999997</v>
      </c>
      <c r="AJ15" s="4" t="s">
        <v>19</v>
      </c>
      <c r="AK15" s="4" t="s">
        <v>117</v>
      </c>
      <c r="AL15" s="31"/>
    </row>
    <row r="16" spans="1:38" x14ac:dyDescent="0.25">
      <c r="A16" s="3" t="s">
        <v>0</v>
      </c>
      <c r="B16" s="3" t="s">
        <v>36</v>
      </c>
      <c r="C16" s="4" t="s">
        <v>2</v>
      </c>
      <c r="D16" s="4" t="s">
        <v>118</v>
      </c>
      <c r="E16" s="4" t="s">
        <v>4</v>
      </c>
      <c r="F16" s="4" t="s">
        <v>119</v>
      </c>
      <c r="G16" s="5">
        <v>46229</v>
      </c>
      <c r="H16" s="4" t="s">
        <v>6</v>
      </c>
      <c r="I16" s="4" t="s">
        <v>84</v>
      </c>
      <c r="J16" s="4" t="s">
        <v>120</v>
      </c>
      <c r="K16" s="4" t="s">
        <v>9</v>
      </c>
      <c r="L16" s="4" t="s">
        <v>8</v>
      </c>
      <c r="M16" s="4" t="s">
        <v>8</v>
      </c>
      <c r="N16" s="4" t="s">
        <v>10</v>
      </c>
      <c r="O16" s="4" t="s">
        <v>8</v>
      </c>
      <c r="P16" s="4" t="s">
        <v>121</v>
      </c>
      <c r="Q16" s="5">
        <v>46217</v>
      </c>
      <c r="R16" s="4" t="s">
        <v>122</v>
      </c>
      <c r="S16" s="4" t="s">
        <v>123</v>
      </c>
      <c r="T16" s="4" t="s">
        <v>8</v>
      </c>
      <c r="U16" s="4" t="s">
        <v>13</v>
      </c>
      <c r="V16" s="4" t="s">
        <v>8</v>
      </c>
      <c r="W16" s="4" t="s">
        <v>8</v>
      </c>
      <c r="X16" s="4" t="s">
        <v>124</v>
      </c>
      <c r="Y16" s="4" t="s">
        <v>125</v>
      </c>
      <c r="Z16" s="4" t="s">
        <v>126</v>
      </c>
      <c r="AA16" s="4" t="s">
        <v>8</v>
      </c>
      <c r="AB16" s="4" t="s">
        <v>127</v>
      </c>
      <c r="AC16" s="7">
        <v>-15017</v>
      </c>
      <c r="AD16" s="7">
        <v>0</v>
      </c>
      <c r="AE16" s="7">
        <v>0</v>
      </c>
      <c r="AF16" s="7" t="s">
        <v>128</v>
      </c>
      <c r="AG16" s="7">
        <v>-14193</v>
      </c>
      <c r="AH16" s="7">
        <f t="shared" si="1"/>
        <v>0</v>
      </c>
      <c r="AI16" s="27">
        <f t="shared" si="0"/>
        <v>-14193</v>
      </c>
      <c r="AJ16" s="4" t="s">
        <v>19</v>
      </c>
      <c r="AK16" s="4" t="s">
        <v>129</v>
      </c>
      <c r="AL16" s="31"/>
    </row>
    <row r="17" spans="1:38" x14ac:dyDescent="0.25">
      <c r="A17" s="3" t="s">
        <v>0</v>
      </c>
      <c r="B17" s="3" t="s">
        <v>36</v>
      </c>
      <c r="C17" s="4" t="s">
        <v>2</v>
      </c>
      <c r="D17" s="4" t="s">
        <v>118</v>
      </c>
      <c r="E17" s="4" t="s">
        <v>51</v>
      </c>
      <c r="F17" s="4" t="s">
        <v>119</v>
      </c>
      <c r="G17" s="5">
        <v>46229</v>
      </c>
      <c r="H17" s="4" t="s">
        <v>6</v>
      </c>
      <c r="I17" s="4" t="s">
        <v>84</v>
      </c>
      <c r="J17" s="4" t="s">
        <v>120</v>
      </c>
      <c r="K17" s="4" t="s">
        <v>130</v>
      </c>
      <c r="L17" s="4" t="s">
        <v>8</v>
      </c>
      <c r="M17" s="4" t="s">
        <v>8</v>
      </c>
      <c r="N17" s="4" t="s">
        <v>10</v>
      </c>
      <c r="O17" s="4" t="s">
        <v>8</v>
      </c>
      <c r="P17" s="4" t="s">
        <v>121</v>
      </c>
      <c r="Q17" s="5">
        <v>46217</v>
      </c>
      <c r="R17" s="4" t="s">
        <v>122</v>
      </c>
      <c r="S17" s="4" t="s">
        <v>123</v>
      </c>
      <c r="T17" s="4" t="s">
        <v>8</v>
      </c>
      <c r="U17" s="4" t="s">
        <v>13</v>
      </c>
      <c r="V17" s="4" t="s">
        <v>8</v>
      </c>
      <c r="W17" s="4" t="s">
        <v>8</v>
      </c>
      <c r="X17" s="4" t="s">
        <v>8</v>
      </c>
      <c r="Y17" s="4" t="s">
        <v>125</v>
      </c>
      <c r="Z17" s="4" t="s">
        <v>126</v>
      </c>
      <c r="AA17" s="4" t="s">
        <v>8</v>
      </c>
      <c r="AB17" s="4" t="s">
        <v>127</v>
      </c>
      <c r="AC17" s="7">
        <v>30</v>
      </c>
      <c r="AD17" s="7">
        <v>0</v>
      </c>
      <c r="AE17" s="7">
        <v>0</v>
      </c>
      <c r="AF17" s="7" t="s">
        <v>18</v>
      </c>
      <c r="AG17" s="7">
        <v>30</v>
      </c>
      <c r="AH17" s="7">
        <v>0</v>
      </c>
      <c r="AI17" s="27">
        <f t="shared" si="0"/>
        <v>30</v>
      </c>
      <c r="AJ17" s="4" t="s">
        <v>19</v>
      </c>
      <c r="AK17" s="4" t="s">
        <v>129</v>
      </c>
      <c r="AL17" s="31"/>
    </row>
    <row r="18" spans="1:38" s="30" customFormat="1" x14ac:dyDescent="0.25">
      <c r="A18" s="3" t="s">
        <v>0</v>
      </c>
      <c r="B18" s="3" t="s">
        <v>36</v>
      </c>
      <c r="C18" s="3" t="s">
        <v>2</v>
      </c>
      <c r="D18" s="3" t="s">
        <v>173</v>
      </c>
      <c r="E18" s="3" t="s">
        <v>4</v>
      </c>
      <c r="F18" s="3" t="s">
        <v>5</v>
      </c>
      <c r="G18" s="28">
        <v>46202</v>
      </c>
      <c r="H18" s="3" t="s">
        <v>6</v>
      </c>
      <c r="I18" s="3" t="s">
        <v>172</v>
      </c>
      <c r="J18" s="3" t="s">
        <v>176</v>
      </c>
      <c r="K18" s="3" t="s">
        <v>9</v>
      </c>
      <c r="L18" s="3" t="s">
        <v>10</v>
      </c>
      <c r="M18" s="3"/>
      <c r="N18" s="3" t="s">
        <v>10</v>
      </c>
      <c r="O18" s="3"/>
      <c r="P18" s="3" t="s">
        <v>171</v>
      </c>
      <c r="Q18" s="28">
        <v>46202</v>
      </c>
      <c r="R18" s="3" t="s">
        <v>170</v>
      </c>
      <c r="S18" s="3" t="s">
        <v>169</v>
      </c>
      <c r="T18" s="3"/>
      <c r="U18" s="3" t="s">
        <v>13</v>
      </c>
      <c r="V18" s="3"/>
      <c r="W18" s="3"/>
      <c r="X18" s="3" t="s">
        <v>168</v>
      </c>
      <c r="Y18" s="3" t="s">
        <v>167</v>
      </c>
      <c r="Z18" s="3" t="s">
        <v>175</v>
      </c>
      <c r="AA18" s="3"/>
      <c r="AB18" s="3" t="s">
        <v>174</v>
      </c>
      <c r="AC18" s="29">
        <v>8472.9500000000007</v>
      </c>
      <c r="AD18" s="29">
        <v>0</v>
      </c>
      <c r="AE18" s="29">
        <v>0</v>
      </c>
      <c r="AF18" s="29" t="s">
        <v>18</v>
      </c>
      <c r="AG18" s="7">
        <v>6536</v>
      </c>
      <c r="AH18" s="7">
        <f t="shared" si="1"/>
        <v>292.31677500000001</v>
      </c>
      <c r="AI18" s="27">
        <f t="shared" si="0"/>
        <v>6243.6832249999998</v>
      </c>
      <c r="AJ18" s="3" t="s">
        <v>19</v>
      </c>
      <c r="AK18" s="3" t="s">
        <v>166</v>
      </c>
      <c r="AL18" s="31"/>
    </row>
    <row r="19" spans="1:38" x14ac:dyDescent="0.25">
      <c r="AG19" s="8">
        <f>SUM(AG2:AG18)</f>
        <v>22609.200000000001</v>
      </c>
      <c r="AH19" s="8">
        <f>SUM(AH2:AH18)</f>
        <v>1343.6887499999998</v>
      </c>
      <c r="AI19" s="8">
        <f>SUM(AI2:AI18)</f>
        <v>21265.51125</v>
      </c>
    </row>
    <row r="20" spans="1:38" x14ac:dyDescent="0.25">
      <c r="AH20" s="7"/>
    </row>
  </sheetData>
  <autoFilter ref="A1:AK20" xr:uid="{32D3AC81-F998-4006-9FA3-2724C482E55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87C8-6780-4A8E-9C5C-E628F0C2B6CF}">
  <dimension ref="A1:F8"/>
  <sheetViews>
    <sheetView workbookViewId="0">
      <selection sqref="A1:F8"/>
    </sheetView>
  </sheetViews>
  <sheetFormatPr defaultRowHeight="15" x14ac:dyDescent="0.25"/>
  <cols>
    <col min="1" max="1" width="31.5703125" bestFit="1" customWidth="1"/>
    <col min="2" max="2" width="10.85546875" bestFit="1" customWidth="1"/>
    <col min="3" max="3" width="19.5703125" bestFit="1" customWidth="1"/>
    <col min="4" max="4" width="20.140625" bestFit="1" customWidth="1"/>
    <col min="5" max="5" width="12.7109375" bestFit="1" customWidth="1"/>
    <col min="6" max="6" width="16" bestFit="1" customWidth="1"/>
  </cols>
  <sheetData>
    <row r="1" spans="1:6" x14ac:dyDescent="0.25">
      <c r="A1" s="9" t="s">
        <v>177</v>
      </c>
      <c r="B1" s="9" t="s">
        <v>178</v>
      </c>
      <c r="C1" s="22" t="s">
        <v>179</v>
      </c>
      <c r="D1" s="10" t="s">
        <v>180</v>
      </c>
      <c r="E1" s="9" t="s">
        <v>181</v>
      </c>
      <c r="F1" s="10" t="s">
        <v>182</v>
      </c>
    </row>
    <row r="2" spans="1:6" x14ac:dyDescent="0.25">
      <c r="A2" s="11" t="s">
        <v>183</v>
      </c>
      <c r="B2" s="12">
        <v>1739.96</v>
      </c>
      <c r="C2" s="23">
        <v>100.04770000000001</v>
      </c>
      <c r="D2" s="13">
        <f>B2-C2</f>
        <v>1639.9123</v>
      </c>
      <c r="E2" s="12">
        <v>0</v>
      </c>
      <c r="F2" s="14">
        <f>D2-E2</f>
        <v>1639.9123</v>
      </c>
    </row>
    <row r="3" spans="1:6" x14ac:dyDescent="0.25">
      <c r="A3" s="15" t="s">
        <v>190</v>
      </c>
      <c r="B3" s="16">
        <v>23535.8</v>
      </c>
      <c r="C3" s="24">
        <v>757.70486999999991</v>
      </c>
      <c r="D3" s="13">
        <v>22778.095129999994</v>
      </c>
      <c r="E3" s="12">
        <v>22778.095129999994</v>
      </c>
      <c r="F3" s="14">
        <f>D3-E3</f>
        <v>0</v>
      </c>
    </row>
    <row r="4" spans="1:6" x14ac:dyDescent="0.25">
      <c r="A4" s="15" t="s">
        <v>189</v>
      </c>
      <c r="B4" s="16">
        <v>91522.280000000028</v>
      </c>
      <c r="C4" s="24">
        <v>3263.8933150000007</v>
      </c>
      <c r="D4" s="13">
        <f>B4-C4</f>
        <v>88258.386685000034</v>
      </c>
      <c r="E4" s="12">
        <v>88258.386685000034</v>
      </c>
      <c r="F4" s="14">
        <f>D4-E4</f>
        <v>0</v>
      </c>
    </row>
    <row r="5" spans="1:6" x14ac:dyDescent="0.25">
      <c r="A5" s="15" t="s">
        <v>184</v>
      </c>
      <c r="B5" s="16">
        <v>22201.25</v>
      </c>
      <c r="C5" s="24">
        <v>989.85651999999993</v>
      </c>
      <c r="D5" s="17">
        <v>21211.393479999995</v>
      </c>
      <c r="E5" s="12">
        <v>0</v>
      </c>
      <c r="F5" s="18">
        <f>D5-E5</f>
        <v>21211.393479999995</v>
      </c>
    </row>
    <row r="6" spans="1:6" x14ac:dyDescent="0.25">
      <c r="A6" s="15" t="s">
        <v>185</v>
      </c>
      <c r="B6" s="16">
        <v>3708.9700000000003</v>
      </c>
      <c r="C6" s="24">
        <v>111.26905499999999</v>
      </c>
      <c r="D6" s="17">
        <v>3597.700945</v>
      </c>
      <c r="E6" s="16"/>
      <c r="F6" s="18">
        <f>D6-E6</f>
        <v>3597.700945</v>
      </c>
    </row>
    <row r="7" spans="1:6" x14ac:dyDescent="0.25">
      <c r="A7" s="15" t="s">
        <v>186</v>
      </c>
      <c r="B7" s="16">
        <v>22609.200000000001</v>
      </c>
      <c r="C7" s="24">
        <v>1343.6887499999998</v>
      </c>
      <c r="D7" s="17">
        <v>21265.51125</v>
      </c>
      <c r="E7" s="16"/>
      <c r="F7" s="18">
        <f>D7-E7</f>
        <v>21265.51125</v>
      </c>
    </row>
    <row r="8" spans="1:6" ht="15.75" thickBot="1" x14ac:dyDescent="0.3">
      <c r="A8" s="19"/>
      <c r="B8" s="19"/>
      <c r="C8" s="25">
        <f>SUM(C2:C7)</f>
        <v>6566.4602100000011</v>
      </c>
      <c r="D8" s="21">
        <f>SUM(D2:D7)</f>
        <v>158750.99979000003</v>
      </c>
      <c r="E8" s="20">
        <f>SUM(E2:E7)</f>
        <v>111036.48181500004</v>
      </c>
      <c r="F8" s="21">
        <f>SUM(F2:F7)</f>
        <v>47714.517974999995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39</vt:i4>
      </vt:variant>
    </vt:vector>
  </HeadingPairs>
  <TitlesOfParts>
    <vt:vector size="41" baseType="lpstr">
      <vt:lpstr>Sheet1</vt:lpstr>
      <vt:lpstr>Sheet2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DATA2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DATA36</vt:lpstr>
      <vt:lpstr>DATA37</vt:lpstr>
      <vt:lpstr>DATA38</vt:lpstr>
      <vt:lpstr>DATA39</vt:lpstr>
      <vt:lpstr>DATA4</vt:lpstr>
      <vt:lpstr>DATA40</vt:lpstr>
      <vt:lpstr>DATA41</vt:lpstr>
      <vt:lpstr>DATA44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Team7</dc:creator>
  <cp:lastModifiedBy>Finance Team7</cp:lastModifiedBy>
  <dcterms:created xsi:type="dcterms:W3CDTF">2026-08-03T12:59:25Z</dcterms:created>
  <dcterms:modified xsi:type="dcterms:W3CDTF">2026-08-03T13:39:26Z</dcterms:modified>
</cp:coreProperties>
</file>