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2026\Vendor or Merchant related\ECOM VENDORS\14 DAYS Rayhanat Makkah\SOA\"/>
    </mc:Choice>
  </mc:AlternateContent>
  <xr:revisionPtr revIDLastSave="0" documentId="8_{0740ED85-4651-4017-8944-9902CABE1A37}" xr6:coauthVersionLast="47" xr6:coauthVersionMax="47" xr10:uidLastSave="{00000000-0000-0000-0000-000000000000}"/>
  <bookViews>
    <workbookView xWindow="-108" yWindow="-108" windowWidth="46296" windowHeight="25416" activeTab="3" xr2:uid="{AC3A5183-1CBA-45AC-A362-BA225A19D06E}"/>
  </bookViews>
  <sheets>
    <sheet name="Table004 (Page 2)" sheetId="3" r:id="rId1"/>
    <sheet name="Table002 (Page 1)" sheetId="2" r:id="rId2"/>
    <sheet name="Sheet1" sheetId="1" r:id="rId3"/>
    <sheet name="Sheet1 (2)" sheetId="4" r:id="rId4"/>
  </sheets>
  <definedNames>
    <definedName name="ExternalData_1" localSheetId="2" hidden="1">Sheet1!$A$1:$I$71</definedName>
    <definedName name="ExternalData_1" localSheetId="3" hidden="1">'Sheet1 (2)'!$A$1:$I$2</definedName>
    <definedName name="ExternalData_1" localSheetId="1" hidden="1">'Table002 (Page 1)'!$A$1:$I$72</definedName>
    <definedName name="ExternalData_2" localSheetId="0" hidden="1">'Table004 (Page 2)'!$A$1:$H$35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0" i="4" l="1"/>
  <c r="L25" i="4"/>
  <c r="D6" i="4"/>
  <c r="D7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8" i="4"/>
  <c r="D59" i="4"/>
  <c r="D61" i="4"/>
  <c r="D62" i="4"/>
  <c r="D63" i="4"/>
  <c r="D64" i="4"/>
  <c r="D65" i="4"/>
  <c r="D66" i="4"/>
  <c r="D67" i="4"/>
  <c r="D68" i="4"/>
  <c r="D69" i="4"/>
  <c r="D70" i="4"/>
  <c r="D71" i="4"/>
  <c r="D5" i="4"/>
  <c r="K25" i="4"/>
  <c r="J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7" i="4"/>
  <c r="K6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7" i="4"/>
  <c r="J6" i="4"/>
  <c r="L12" i="4" l="1"/>
  <c r="M11" i="4"/>
  <c r="L11" i="4"/>
  <c r="L13" i="4" l="1"/>
  <c r="C69" i="4" l="1"/>
  <c r="C6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6CDC6D-82D4-47EE-9B3B-24290CF92ED5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2" xr16:uid="{765E907E-089F-46F9-8F60-9FD14F28796C}" keepAlive="1" name="Query - Table002 (Page 1) (2)" description="Connection to the 'Table002 (Page 1) (2)' query in the workbook." type="5" refreshedVersion="8" background="1" saveData="1">
    <dbPr connection="Provider=Microsoft.Mashup.OleDb.1;Data Source=$Workbook$;Location=&quot;Table002 (Page 1) (2)&quot;;Extended Properties=&quot;&quot;" command="SELECT * FROM [Table002 (Page 1) (2)]"/>
  </connection>
  <connection id="3" xr16:uid="{4EA6D0D4-10F0-42E6-90EF-F7014BB09709}" keepAlive="1" name="Query - Table002 (Page 1) (3)" description="Connection to the 'Table002 (Page 1) (3)' query in the workbook." type="5" refreshedVersion="8" background="1" saveData="1">
    <dbPr connection="Provider=Microsoft.Mashup.OleDb.1;Data Source=$Workbook$;Location=&quot;Table002 (Page 1) (3)&quot;;Extended Properties=&quot;&quot;" command="SELECT * FROM [Table002 (Page 1) (3)]"/>
  </connection>
  <connection id="4" xr16:uid="{98D495F4-B579-44B6-9029-4B23AAE09BC1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</connections>
</file>

<file path=xl/sharedStrings.xml><?xml version="1.0" encoding="utf-8"?>
<sst xmlns="http://schemas.openxmlformats.org/spreadsheetml/2006/main" count="1663" uniqueCount="377">
  <si>
    <t>Turki Aldhry- SG-SH-01990</t>
  </si>
  <si>
    <t>SG-SH-0139</t>
  </si>
  <si>
    <t>SG-SH-0136</t>
  </si>
  <si>
    <t>SG-SH-0169</t>
  </si>
  <si>
    <t>SG-SH-0199</t>
  </si>
  <si>
    <t>SG-SH-0202</t>
  </si>
  <si>
    <t>SG-SH-0212</t>
  </si>
  <si>
    <t>SG-SH-0265</t>
  </si>
  <si>
    <t>SG-SH-0268</t>
  </si>
  <si>
    <t>SG-SH-0334</t>
  </si>
  <si>
    <t>SG-SH-0311</t>
  </si>
  <si>
    <t>SG-SH-0387</t>
  </si>
  <si>
    <t>SG-SH-0410</t>
  </si>
  <si>
    <t>SG-SH-0397</t>
  </si>
  <si>
    <t>SG-SH-0446</t>
  </si>
  <si>
    <t>SG-SH-0449</t>
  </si>
  <si>
    <t>SG-SH-0426</t>
  </si>
  <si>
    <t>SG-SH-0482</t>
  </si>
  <si>
    <t>SG-SH-0499</t>
  </si>
  <si>
    <t>SG-SH-0525</t>
  </si>
  <si>
    <t>SG-SH-0529</t>
  </si>
  <si>
    <t>SG-SH-0535</t>
  </si>
  <si>
    <t>SG-SH-0542</t>
  </si>
  <si>
    <t>SG-SH-0548</t>
  </si>
  <si>
    <t>SG-SH-0552</t>
  </si>
  <si>
    <t>SG-SH-0558</t>
  </si>
  <si>
    <t>SG-SH-0565</t>
  </si>
  <si>
    <t>SG-SH-0568</t>
  </si>
  <si>
    <t>SG-SH-0575</t>
  </si>
  <si>
    <t>SG-SH-0545</t>
  </si>
  <si>
    <t>SG-SH-0595</t>
  </si>
  <si>
    <t>SG-SH-0611</t>
  </si>
  <si>
    <t>SG-SH-0578</t>
  </si>
  <si>
    <t>SG-SH-0624</t>
  </si>
  <si>
    <t>SG-SH-0687</t>
  </si>
  <si>
    <t>SG-SH-0710</t>
  </si>
  <si>
    <t>SG-SH-0717</t>
  </si>
  <si>
    <t>SG-SH-0743</t>
  </si>
  <si>
    <t>SG-SH-0756</t>
  </si>
  <si>
    <t>SG-SH-0779</t>
  </si>
  <si>
    <t>SG-SH-0802</t>
  </si>
  <si>
    <t>SG-SH-0806</t>
  </si>
  <si>
    <t>SG-SH-0845</t>
  </si>
  <si>
    <t>SG-SH-0839</t>
  </si>
  <si>
    <t>SG-SH-0829</t>
  </si>
  <si>
    <t>SG-SH-0826</t>
  </si>
  <si>
    <t>SG-SH-0849</t>
  </si>
  <si>
    <t>SG-SH-0819</t>
  </si>
  <si>
    <t>SG-SH-0885</t>
  </si>
  <si>
    <t>SG-SH-0898</t>
  </si>
  <si>
    <t>SG-SH-0555</t>
  </si>
  <si>
    <t>SG-SH-1014</t>
  </si>
  <si>
    <t>SG-SH-1070</t>
  </si>
  <si>
    <t>SG-SH-1215</t>
  </si>
  <si>
    <t>SG-SH-1219</t>
  </si>
  <si>
    <t>SG-SH-0862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</si>
  <si>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</si>
  <si>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</si>
  <si>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</si>
  <si>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</si>
  <si>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</si>
  <si>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</si>
  <si>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</si>
  <si>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</si>
  <si>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</si>
  <si>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SR</t>
  </si>
  <si>
    <t>‫العملة :‬</t>
  </si>
  <si>
    <t>103990596</t>
  </si>
  <si>
    <t>‫رقم الحساب‬</t>
  </si>
  <si>
    <t>‫شركة قطون رقمية التجارية‬</t>
  </si>
  <si>
    <t>‫رقم العميل‬</t>
  </si>
  <si>
    <t>‫﷼ سعودي‬</t>
  </si>
  <si>
    <t>‫الرصيدالحالي‬‏</t>
  </si>
  <si>
    <t>‫دائن‬‏</t>
  </si>
  <si>
    <t>‫مدين‬‏</t>
  </si>
  <si>
    <t>‫رقم المرجع‬‏</t>
  </si>
  <si>
    <t>‫البيان‬‏</t>
  </si>
  <si>
    <t>‫رقم المستند‬‏</t>
  </si>
  <si>
    <t>‫نوع المستند‬‏</t>
  </si>
  <si>
    <t>‫التاريخ‬‏</t>
  </si>
  <si>
    <t/>
  </si>
  <si>
    <t>‫الرصيد الإفتتاحي‬‏</t>
  </si>
  <si>
    <t>82.00</t>
  </si>
  <si>
    <t>‪-SG-SH-01397# طلب‬‎</t>
  </si>
  <si>
    <t>692870</t>
  </si>
  <si>
    <t>‫فاتورة بيع أجل‬‏</t>
  </si>
  <si>
    <t>2026/05/18</t>
  </si>
  <si>
    <t>324.00</t>
  </si>
  <si>
    <t>242.01</t>
  </si>
  <si>
    <t>‪SG-SH-01363# طلب‬‎</t>
  </si>
  <si>
    <t>692871</t>
  </si>
  <si>
    <t>589.01</t>
  </si>
  <si>
    <t>265.01</t>
  </si>
  <si>
    <t>-SG-SH-01694</t>
  </si>
  <si>
    <t>706679</t>
  </si>
  <si>
    <t>2026/06/03</t>
  </si>
  <si>
    <t>507.01</t>
  </si>
  <si>
    <t>‫العميل لم يتم استلام طلب‬‏</t>
  </si>
  <si>
    <t>33919</t>
  </si>
  <si>
    <t>‫فاتورة مردود بيع أجل‬‏</t>
  </si>
  <si>
    <t>938.01</t>
  </si>
  <si>
    <t>431.00</t>
  </si>
  <si>
    <t>714761</t>
  </si>
  <si>
    <t>2026/06/13</t>
  </si>
  <si>
    <t>1,634.01</t>
  </si>
  <si>
    <t>696.00</t>
  </si>
  <si>
    <t>‪SG-SH-02023# طلب‬‎</t>
  </si>
  <si>
    <t>720111</t>
  </si>
  <si>
    <t>2026/06/20</t>
  </si>
  <si>
    <t>1,966.02</t>
  </si>
  <si>
    <t>332.01</t>
  </si>
  <si>
    <t>‪SG-SH-02122# طلب‬‎</t>
  </si>
  <si>
    <t>720112</t>
  </si>
  <si>
    <t>2,065.02</t>
  </si>
  <si>
    <t>99.00</t>
  </si>
  <si>
    <t>‪SG-SH-02650# طلب‬‎</t>
  </si>
  <si>
    <t>725320</t>
  </si>
  <si>
    <t>2026/06/27</t>
  </si>
  <si>
    <t>2,537.03</t>
  </si>
  <si>
    <t>472.01</t>
  </si>
  <si>
    <t>‪SG-SH-02683# طلب‬‎</t>
  </si>
  <si>
    <t>725321</t>
  </si>
  <si>
    <t>2,818.03</t>
  </si>
  <si>
    <t>281.00</t>
  </si>
  <si>
    <t>‪-SG-SH-03344# طلب‬‎</t>
  </si>
  <si>
    <t>732029</t>
  </si>
  <si>
    <t>2026/07/04</t>
  </si>
  <si>
    <t>2,883.03</t>
  </si>
  <si>
    <t>65.00</t>
  </si>
  <si>
    <t>‪SG-SH-03112# طلب‬‎</t>
  </si>
  <si>
    <t>732030</t>
  </si>
  <si>
    <t>2,997.03</t>
  </si>
  <si>
    <t>114.00</t>
  </si>
  <si>
    <t>‪SG-SH-03872# طلب‬‎</t>
  </si>
  <si>
    <t>733856</t>
  </si>
  <si>
    <t>2026/07/06</t>
  </si>
  <si>
    <t>3,237.03</t>
  </si>
  <si>
    <t>240.01</t>
  </si>
  <si>
    <t>‪-SG-SH-04104# طلب‬‎</t>
  </si>
  <si>
    <t>734733</t>
  </si>
  <si>
    <t>2026/07/07</t>
  </si>
  <si>
    <t>5,122.03</t>
  </si>
  <si>
    <t>1,885.00</t>
  </si>
  <si>
    <t>‪SG-SH-04106# طلب‬‎</t>
  </si>
  <si>
    <t>734734</t>
  </si>
  <si>
    <t>5,280.03</t>
  </si>
  <si>
    <t>158.00</t>
  </si>
  <si>
    <t>‪SG-SH-03970# طلب‬‎</t>
  </si>
  <si>
    <t>735612</t>
  </si>
  <si>
    <t>2026/07/08</t>
  </si>
  <si>
    <t>5,520.03</t>
  </si>
  <si>
    <t>‪SG-SH-04465# طلب‬‎</t>
  </si>
  <si>
    <t>736536</t>
  </si>
  <si>
    <t>2026/07/09</t>
  </si>
  <si>
    <t>6,085.03</t>
  </si>
  <si>
    <t>565.00</t>
  </si>
  <si>
    <t>‪SG-SH-04498# طلب‬‎</t>
  </si>
  <si>
    <t>736538</t>
  </si>
  <si>
    <t>6,253.03</t>
  </si>
  <si>
    <t>168.00</t>
  </si>
  <si>
    <t>‪SG-SH-04267# طلب‬‎</t>
  </si>
  <si>
    <t>739919</t>
  </si>
  <si>
    <t>2026/07/13</t>
  </si>
  <si>
    <t>6,936.03</t>
  </si>
  <si>
    <t>683.00</t>
  </si>
  <si>
    <t>‪SG-SH-04828# طلب‬‎</t>
  </si>
  <si>
    <t>739920</t>
  </si>
  <si>
    <t>7,888.03</t>
  </si>
  <si>
    <t>952.00</t>
  </si>
  <si>
    <t>‪SG-SH-04993# طلب‬‎</t>
  </si>
  <si>
    <t>739921</t>
  </si>
  <si>
    <t>7,607.03</t>
  </si>
  <si>
    <t>35839</t>
  </si>
  <si>
    <t>2026/07/21</t>
  </si>
  <si>
    <t>6,558.60</t>
  </si>
  <si>
    <t>1,048.43</t>
  </si>
  <si>
    <t>‫عمولة قطون- مرشنست‬‏</t>
  </si>
  <si>
    <t>9930</t>
  </si>
  <si>
    <t>‫قيد يومية‬‏</t>
  </si>
  <si>
    <t>-146.25</t>
  </si>
  <si>
    <t>6,704.85</t>
  </si>
  <si>
    <t>‫CO الفرع٤٦٢٢٣حوالات فورية واردة١٤٤٨-‬‏</t>
  </si>
  <si>
    <t>165.75</t>
  </si>
  <si>
    <t>312.00</t>
  </si>
  <si>
    <t>‪SG-SH-05257# طلب‬‎</t>
  </si>
  <si>
    <t>747717</t>
  </si>
  <si>
    <t>2026/07/23</t>
  </si>
  <si>
    <t>465.75</t>
  </si>
  <si>
    <t>300.00</t>
  </si>
  <si>
    <t>‪SG-SH-05290# طلب‬‎</t>
  </si>
  <si>
    <t>747720</t>
  </si>
  <si>
    <t>700.75</t>
  </si>
  <si>
    <t>235.00</t>
  </si>
  <si>
    <t>‪SG-SH-05356# طلب‬‎</t>
  </si>
  <si>
    <t>747724</t>
  </si>
  <si>
    <t>922.75</t>
  </si>
  <si>
    <t>222.00</t>
  </si>
  <si>
    <t>‪SG-SH-05422# طلب‬‎</t>
  </si>
  <si>
    <t>748998</t>
  </si>
  <si>
    <t>2026/07/25</t>
  </si>
  <si>
    <t>4,871.74</t>
  </si>
  <si>
    <t>3,949.00</t>
  </si>
  <si>
    <t>‪SG-SH-05488# طلب‬‎</t>
  </si>
  <si>
    <t>748999</t>
  </si>
  <si>
    <t>5,029.74</t>
  </si>
  <si>
    <t>‪SG-SH-05521# طلب‬‎</t>
  </si>
  <si>
    <t>749000</t>
  </si>
  <si>
    <t>5,129.74</t>
  </si>
  <si>
    <t>100.00</t>
  </si>
  <si>
    <t>‪SG-SH-05587# طلب‬‎</t>
  </si>
  <si>
    <t>749759</t>
  </si>
  <si>
    <t>2026/07/26</t>
  </si>
  <si>
    <t>5,515.74</t>
  </si>
  <si>
    <t>386.00</t>
  </si>
  <si>
    <t>‪SG-SH-05653# طلب‬‎</t>
  </si>
  <si>
    <t>750596</t>
  </si>
  <si>
    <t>2026/07/27</t>
  </si>
  <si>
    <t>5,742.74</t>
  </si>
  <si>
    <t>227.00</t>
  </si>
  <si>
    <t>‪SG-SH-05686# طلب‬‎</t>
  </si>
  <si>
    <t>750598</t>
  </si>
  <si>
    <t>5,928.74</t>
  </si>
  <si>
    <t>186.00</t>
  </si>
  <si>
    <t>‪SG-SH-05752# طلب‬‎</t>
  </si>
  <si>
    <t>750599</t>
  </si>
  <si>
    <t>6,183.74</t>
  </si>
  <si>
    <t>255.00</t>
  </si>
  <si>
    <t>‪SG-SH-05455# طلب‬‎</t>
  </si>
  <si>
    <t>751541</t>
  </si>
  <si>
    <t>2026/07/28</t>
  </si>
  <si>
    <t>6,368.74</t>
  </si>
  <si>
    <t>185.00</t>
  </si>
  <si>
    <t>‪SG-SH-05950# طلب‬‎</t>
  </si>
  <si>
    <t>752459</t>
  </si>
  <si>
    <t>2026/07/29</t>
  </si>
  <si>
    <t>6,536.75</t>
  </si>
  <si>
    <t>‪-SG-SH-06118# طلب‬‎</t>
  </si>
  <si>
    <t>755120</t>
  </si>
  <si>
    <t>2026/08/01</t>
  </si>
  <si>
    <t>‫الرصيدالحالي‬</t>
  </si>
  <si>
    <t>‫دائن‬</t>
  </si>
  <si>
    <t>‫مدين‬</t>
  </si>
  <si>
    <t>‫رقم المرجع‬</t>
  </si>
  <si>
    <t>‫البيان‬</t>
  </si>
  <si>
    <t>‫رقم المستند‬</t>
  </si>
  <si>
    <t>‫نوع المستند‬</t>
  </si>
  <si>
    <t>‫التاريخ‬</t>
  </si>
  <si>
    <t>6,961.75</t>
  </si>
  <si>
    <t>425.01</t>
  </si>
  <si>
    <t>SG-SH-05785# طلب</t>
  </si>
  <si>
    <t>756954</t>
  </si>
  <si>
    <t>‫فاتورة بيع أجل‬</t>
  </si>
  <si>
    <t>2026/08/03</t>
  </si>
  <si>
    <t>7,290.76</t>
  </si>
  <si>
    <t>329.00</t>
  </si>
  <si>
    <t>SG-SH-06247# طلب</t>
  </si>
  <si>
    <t>756956</t>
  </si>
  <si>
    <t>7,715.76</t>
  </si>
  <si>
    <t>SG-SH-06874# طلب</t>
  </si>
  <si>
    <t>758844</t>
  </si>
  <si>
    <t>2026/08/05</t>
  </si>
  <si>
    <t>7,913.76</t>
  </si>
  <si>
    <t>198.00</t>
  </si>
  <si>
    <t>SG-SH-07105# طلب</t>
  </si>
  <si>
    <t>758847</t>
  </si>
  <si>
    <t>8,206.75</t>
  </si>
  <si>
    <t>293.00</t>
  </si>
  <si>
    <t>SG-SH-07173# طلب</t>
  </si>
  <si>
    <t>758848</t>
  </si>
  <si>
    <t>8,314.75</t>
  </si>
  <si>
    <t>108.00</t>
  </si>
  <si>
    <t>SG-SH-07435# طلب</t>
  </si>
  <si>
    <t>758849</t>
  </si>
  <si>
    <t>10,541.66</t>
  </si>
  <si>
    <t>2,226.91</t>
  </si>
  <si>
    <t>SG-SH-07568# طلب</t>
  </si>
  <si>
    <t>759718</t>
  </si>
  <si>
    <t>2026/08/06</t>
  </si>
  <si>
    <t>10,706.55</t>
  </si>
  <si>
    <t>164.90</t>
  </si>
  <si>
    <t>SG-SH-07798# طلب</t>
  </si>
  <si>
    <t>761228</t>
  </si>
  <si>
    <t>2026/08/08</t>
  </si>
  <si>
    <t>11,226.35</t>
  </si>
  <si>
    <t>519.80</t>
  </si>
  <si>
    <t>SG-SH-08029# طلب</t>
  </si>
  <si>
    <t>762150</t>
  </si>
  <si>
    <t>2026/08/09</t>
  </si>
  <si>
    <t>11,361.25</t>
  </si>
  <si>
    <t>134.90</t>
  </si>
  <si>
    <t>SG-SH-08062# طلب</t>
  </si>
  <si>
    <t>762151</t>
  </si>
  <si>
    <t>11,829.96</t>
  </si>
  <si>
    <t>468.71</t>
  </si>
  <si>
    <t>SG-SH-08458# طلب</t>
  </si>
  <si>
    <t>763835</t>
  </si>
  <si>
    <t>2026/08/11</t>
  </si>
  <si>
    <t>12,194.76</t>
  </si>
  <si>
    <t>364.80</t>
  </si>
  <si>
    <t>SG-SH-08392# طلب</t>
  </si>
  <si>
    <t>763838</t>
  </si>
  <si>
    <t>12,328.56</t>
  </si>
  <si>
    <t>133.80</t>
  </si>
  <si>
    <t>SG-SH-08293# طلب</t>
  </si>
  <si>
    <t>763844</t>
  </si>
  <si>
    <t>12,405.36</t>
  </si>
  <si>
    <t>76.80</t>
  </si>
  <si>
    <t>SG-SH-08260# طلب</t>
  </si>
  <si>
    <t>763849</t>
  </si>
  <si>
    <t>13,363.26</t>
  </si>
  <si>
    <t>957.90</t>
  </si>
  <si>
    <t>SG-SH-08491# طلب</t>
  </si>
  <si>
    <t>764644</t>
  </si>
  <si>
    <t>2026/08/12</t>
  </si>
  <si>
    <t>13,830.86</t>
  </si>
  <si>
    <t>467.60</t>
  </si>
  <si>
    <t>SG-SH-08194# طلب</t>
  </si>
  <si>
    <t>765462</t>
  </si>
  <si>
    <t>2026/08/13</t>
  </si>
  <si>
    <t>13,608.87</t>
  </si>
  <si>
    <t>‫العميل لم يتم استلام طلب‬</t>
  </si>
  <si>
    <t>36712</t>
  </si>
  <si>
    <t>‫فاتورة مردود بيع أجل‬</t>
  </si>
  <si>
    <t>14,097.85</t>
  </si>
  <si>
    <t>488.98</t>
  </si>
  <si>
    <t>SG-SH-08854# طلب</t>
  </si>
  <si>
    <t>766995</t>
  </si>
  <si>
    <t>2026/08/15</t>
  </si>
  <si>
    <t>14,339.84</t>
  </si>
  <si>
    <t>241.99</t>
  </si>
  <si>
    <t>SG-SH-08986# طلب</t>
  </si>
  <si>
    <t>767835</t>
  </si>
  <si>
    <t>2026/08/16</t>
  </si>
  <si>
    <t>14,171.84</t>
  </si>
  <si>
    <t>36814</t>
  </si>
  <si>
    <t>14,279.83</t>
  </si>
  <si>
    <t>SG-SH-06115# طلب</t>
  </si>
  <si>
    <t>772861</t>
  </si>
  <si>
    <t>2026/08/23</t>
  </si>
  <si>
    <t>14,478.83</t>
  </si>
  <si>
    <t>199.00</t>
  </si>
  <si>
    <t>SG-SH-05554# طلب</t>
  </si>
  <si>
    <t>772862</t>
  </si>
  <si>
    <t>14,720.83</t>
  </si>
  <si>
    <t>SG-SH-10144# طلب</t>
  </si>
  <si>
    <t>772865</t>
  </si>
  <si>
    <t>15,345.80</t>
  </si>
  <si>
    <t>624.98</t>
  </si>
  <si>
    <t>SG-SH-10702# طلب</t>
  </si>
  <si>
    <t>774277</t>
  </si>
  <si>
    <t>2026/08/25</t>
  </si>
  <si>
    <t>15,543.80</t>
  </si>
  <si>
    <t>SG-SH-12154# طلب</t>
  </si>
  <si>
    <t>781883</t>
  </si>
  <si>
    <t>2026/09/03</t>
  </si>
  <si>
    <t>16,011.79</t>
  </si>
  <si>
    <t>467.99</t>
  </si>
  <si>
    <t>SG-SH-12195# طلب</t>
  </si>
  <si>
    <t>781887</t>
  </si>
  <si>
    <t>16,446.78</t>
  </si>
  <si>
    <t>434.99</t>
  </si>
  <si>
    <t>SG-SH-12196# طلب</t>
  </si>
  <si>
    <t>781890</t>
  </si>
  <si>
    <t>17,424.75</t>
  </si>
  <si>
    <t>977.97</t>
  </si>
  <si>
    <t>SG-SH-08624# طلب</t>
  </si>
  <si>
    <t>781896</t>
  </si>
  <si>
    <t>8,506.28</t>
  </si>
  <si>
    <t>25,931.03</t>
  </si>
  <si>
    <t>‫إجمالي العمليات‬</t>
  </si>
  <si>
    <t>64</t>
  </si>
  <si>
    <t>‫العدد :‬</t>
  </si>
  <si>
    <t>‫رصيد إفتتاحي مع الحركة‬</t>
  </si>
  <si>
    <t>‫ألف و أربعمائة و أربعة و عشرون ﷼ سعودي و خمسة و سبعون هلله‬</t>
  </si>
  <si>
    <t>‫سبعة عشر‬</t>
  </si>
  <si>
    <t>‪SG-SH-01694# طلب‬‎</t>
  </si>
  <si>
    <t>SG-SH-01990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</si>
</sst>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 applyAlignment="1">
      <alignment horizontal="left"/>
    </xf>
    <xf numFmtId="43" fontId="0" fillId="0" borderId="0" xfId="1" applyFont="1"/>
    <xf numFmtId="43" fontId="0" fillId="0" borderId="0" xfId="0" applyNumberFormat="1"/>
    <xf numFmtId="43" fontId="0" fillId="2" borderId="0" xfId="1" applyFont="1" applyFill="1" applyAlignment="1">
      <alignment horizontal="center"/>
    </xf>
  </cellXfs>
  <cellStyles count="2">
    <cellStyle name="Comma" xfId="1" builtinId="3"/>
    <cellStyle name="Normal" xfId="0" builtinId="0"/>
  </cellStyles>
  <dxfs count="35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9247441-C868-4B24-9DFC-C68D6CBBCDE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D9FB3E-01A2-4BBF-875A-4C282643081F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BBCDD3E-7B2C-4BB3-A634-5FEE97D9C05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C6F0598-001F-4088-86FF-327C569F5C8B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3C4D46-D19B-4C08-A158-4086CA602C11}" name="Table004__Page_2" displayName="Table004__Page_2" ref="A1:H35" tableType="queryTable" totalsRowShown="0">
  <autoFilter ref="A1:H35" xr:uid="{FA3C4D46-D19B-4C08-A158-4086CA602C11}"/>
  <tableColumns count="8">
    <tableColumn id="1" xr3:uid="{9200B36C-4033-4AB7-B46B-DC849FCC08FB}" uniqueName="1" name="Column1" queryTableFieldId="1" dataDxfId="25"/>
    <tableColumn id="2" xr3:uid="{E3C0A11F-0228-48EB-8E2C-57A59CF800F9}" uniqueName="2" name="Column2" queryTableFieldId="2" dataDxfId="24"/>
    <tableColumn id="3" xr3:uid="{90877EE1-7099-4A0A-AB9D-F5AC1167F14B}" uniqueName="3" name="Column3" queryTableFieldId="3" dataDxfId="23"/>
    <tableColumn id="4" xr3:uid="{EB95BB46-105F-4EE6-8163-5765EF03BE4E}" uniqueName="4" name="Column4" queryTableFieldId="4" dataDxfId="22"/>
    <tableColumn id="5" xr3:uid="{8CDB3A10-94C3-4A35-A99D-B1BCDAF2362A}" uniqueName="5" name="Column5" queryTableFieldId="5" dataDxfId="21"/>
    <tableColumn id="6" xr3:uid="{21D750C9-149B-4487-86A4-C5C0FB468F05}" uniqueName="6" name="Column6" queryTableFieldId="6" dataDxfId="20"/>
    <tableColumn id="7" xr3:uid="{08230E46-56C3-42AF-BF05-5CAF52F477E1}" uniqueName="7" name="Column7" queryTableFieldId="7" dataDxfId="19"/>
    <tableColumn id="8" xr3:uid="{AD3292CC-2176-4338-8AA7-71CD6D219F6E}" uniqueName="8" name="Column8" queryTableFieldId="8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FF1428-8285-44E2-86C8-95AA1DE3F078}" name="Table002__Page_1" displayName="Table002__Page_1" ref="A1:I72" tableType="queryTable" totalsRowShown="0">
  <autoFilter ref="A1:I72" xr:uid="{5CFF1428-8285-44E2-86C8-95AA1DE3F078}"/>
  <tableColumns count="9">
    <tableColumn id="1" xr3:uid="{F3E45C82-307B-4CCE-ABDA-2EFE90D1EA6F}" uniqueName="1" name="Column1" queryTableFieldId="1" dataDxfId="17"/>
    <tableColumn id="2" xr3:uid="{697CF312-2097-426E-8A8A-42AA9B8DA196}" uniqueName="2" name="Column2" queryTableFieldId="2" dataDxfId="16"/>
    <tableColumn id="3" xr3:uid="{A0CFF364-61C3-49F0-BE6A-74F4A2BC333F}" uniqueName="3" name="Column3" queryTableFieldId="3" dataDxfId="15"/>
    <tableColumn id="4" xr3:uid="{A75EE00F-D13E-4E19-A492-873728F8F61B}" uniqueName="4" name="Column4" queryTableFieldId="4" dataDxfId="14"/>
    <tableColumn id="5" xr3:uid="{9C3F3CBE-C313-45AB-AFF1-F87261A17E88}" uniqueName="5" name="Column5" queryTableFieldId="5" dataDxfId="13"/>
    <tableColumn id="6" xr3:uid="{2BC7A27A-126A-4C13-95D7-AEC4E34D058E}" uniqueName="6" name="Column6" queryTableFieldId="6" dataDxfId="12"/>
    <tableColumn id="7" xr3:uid="{4188453E-AED5-4365-BD55-D06471F34BC9}" uniqueName="7" name="Column7" queryTableFieldId="7" dataDxfId="11"/>
    <tableColumn id="8" xr3:uid="{7E210042-7467-4E1F-8A14-C3C93163C449}" uniqueName="8" name="Column8" queryTableFieldId="8" dataDxfId="10"/>
    <tableColumn id="9" xr3:uid="{AAFADF73-73C1-4285-8CCA-71A5A9DBB58F}" uniqueName="9" name="Column9" queryTableFieldId="9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A9C4FB-2BB6-4298-87F6-CC7E323D7FE2}" name="Table002__Page_15" displayName="Table002__Page_15" ref="A1:I71" tableType="queryTable" totalsRowShown="0">
  <autoFilter ref="A1:I71" xr:uid="{1BA9C4FB-2BB6-4298-87F6-CC7E323D7FE2}"/>
  <tableColumns count="9">
    <tableColumn id="1" xr3:uid="{5E00E0F7-180A-4EB6-B3C3-51642BC755B7}" uniqueName="1" name="Column1" queryTableFieldId="1" dataDxfId="8"/>
    <tableColumn id="2" xr3:uid="{70F41BAF-6FD9-44C8-88AE-22E66D68B836}" uniqueName="2" name="Column2" queryTableFieldId="2" dataDxfId="7"/>
    <tableColumn id="3" xr3:uid="{E13D1A85-6D27-4A7D-ABDD-9F62730EA176}" uniqueName="3" name="Column3" queryTableFieldId="3" dataDxfId="6"/>
    <tableColumn id="4" xr3:uid="{DC4D9717-8A39-48E0-B0FB-CCC421E8DF0D}" uniqueName="4" name="Column4" queryTableFieldId="4" dataDxfId="5"/>
    <tableColumn id="5" xr3:uid="{4EE1B6FE-D55B-4E83-85EB-84C2DEBCBE6F}" uniqueName="5" name="Column5" queryTableFieldId="5" dataDxfId="4"/>
    <tableColumn id="6" xr3:uid="{21E0D388-CA8A-487E-A3B0-5FE4E5FBC523}" uniqueName="6" name="Column6" queryTableFieldId="6" dataDxfId="3"/>
    <tableColumn id="7" xr3:uid="{3BB2E27A-0813-48D4-8FFD-AD0C9979F2D4}" uniqueName="7" name="Column7" queryTableFieldId="7" dataDxfId="2"/>
    <tableColumn id="8" xr3:uid="{3FE0FCD3-7A8B-4174-9BCB-58F5F5340FAC}" uniqueName="8" name="Column8" queryTableFieldId="8" dataDxfId="1"/>
    <tableColumn id="9" xr3:uid="{3DBBDB5B-6290-49C2-AE01-7BF254B5C915}" uniqueName="9" name="Column9" queryTableFieldId="9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4C6D69-25B2-4CEA-9E41-7B5378862B88}" name="Table002__Page_156" displayName="Table002__Page_156" ref="A1:I2" tableType="queryTable" totalsRowShown="0">
  <autoFilter ref="A1:I2" xr:uid="{1BA9C4FB-2BB6-4298-87F6-CC7E323D7FE2}"/>
  <tableColumns count="9">
    <tableColumn id="1" xr3:uid="{8301D418-0303-4199-9872-15AB8034861A}" uniqueName="1" name="Column1" queryTableFieldId="1" dataDxfId="34"/>
    <tableColumn id="2" xr3:uid="{42C5B796-3893-45D3-B8BB-A18EA63F7B10}" uniqueName="2" name="Column2" queryTableFieldId="2" dataDxfId="33"/>
    <tableColumn id="3" xr3:uid="{5C7F086C-3200-45D4-BAC3-4AD9F2422155}" uniqueName="3" name="Column3" queryTableFieldId="3" dataDxfId="32"/>
    <tableColumn id="4" xr3:uid="{BB05F4FB-F75D-4D97-BA91-3F35A95C9A75}" uniqueName="4" name="Column4" queryTableFieldId="4" dataDxfId="31"/>
    <tableColumn id="5" xr3:uid="{9B0BB60E-88C7-4A3E-A2A9-C9DC085E6577}" uniqueName="5" name="Column5" queryTableFieldId="5" dataDxfId="30"/>
    <tableColumn id="6" xr3:uid="{838F7FBD-5DDA-418E-A1BB-0B13645FC0D7}" uniqueName="6" name="Column6" queryTableFieldId="6" dataDxfId="29"/>
    <tableColumn id="7" xr3:uid="{AD8D31C7-9EE8-4071-B1E0-086A97774662}" uniqueName="7" name="Column7" queryTableFieldId="7" dataDxfId="28"/>
    <tableColumn id="8" xr3:uid="{AEA328F8-4F11-4672-9714-D776FB25E66C}" uniqueName="8" name="Column8" queryTableFieldId="8" dataDxfId="27"/>
    <tableColumn id="9" xr3:uid="{D46AAA0F-BC60-46DB-91B8-FE6A0A325338}" uniqueName="9" name="Column9" queryTableFieldId="9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B52E-8A31-499A-859D-197AB381118B}">
  <sheetPr codeName="Sheet1"/>
  <dimension ref="A1:H35"/>
  <sheetViews>
    <sheetView workbookViewId="0">
      <selection sqref="A1:H35"/>
    </sheetView>
  </sheetViews>
  <sheetFormatPr defaultRowHeight="14.4" x14ac:dyDescent="0.3"/>
  <cols>
    <col min="1" max="4" width="11.109375" bestFit="1" customWidth="1"/>
    <col min="5" max="5" width="19.6640625" bestFit="1" customWidth="1"/>
    <col min="6" max="6" width="19.5546875" bestFit="1" customWidth="1"/>
    <col min="7" max="7" width="49.44140625" bestFit="1" customWidth="1"/>
    <col min="8" max="8" width="11.109375" bestFit="1" customWidth="1"/>
  </cols>
  <sheetData>
    <row r="1" spans="1:8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 spans="1:8" x14ac:dyDescent="0.3">
      <c r="B2" t="s">
        <v>67</v>
      </c>
      <c r="C2" t="s">
        <v>68</v>
      </c>
      <c r="F2" t="s">
        <v>69</v>
      </c>
      <c r="G2" t="s">
        <v>67</v>
      </c>
      <c r="H2" t="s">
        <v>70</v>
      </c>
    </row>
    <row r="3" spans="1:8" x14ac:dyDescent="0.3">
      <c r="A3" t="s">
        <v>71</v>
      </c>
    </row>
    <row r="4" spans="1:8" x14ac:dyDescent="0.3">
      <c r="A4" t="s">
        <v>239</v>
      </c>
      <c r="B4" t="s">
        <v>240</v>
      </c>
      <c r="C4" t="s">
        <v>241</v>
      </c>
      <c r="D4" t="s">
        <v>242</v>
      </c>
      <c r="E4" t="s">
        <v>243</v>
      </c>
      <c r="F4" t="s">
        <v>244</v>
      </c>
      <c r="G4" t="s">
        <v>245</v>
      </c>
      <c r="H4" t="s">
        <v>246</v>
      </c>
    </row>
    <row r="5" spans="1:8" x14ac:dyDescent="0.3">
      <c r="A5" t="s">
        <v>247</v>
      </c>
      <c r="C5" t="s">
        <v>248</v>
      </c>
      <c r="D5" t="s">
        <v>32</v>
      </c>
      <c r="E5" t="s">
        <v>249</v>
      </c>
      <c r="F5" t="s">
        <v>250</v>
      </c>
      <c r="G5" t="s">
        <v>251</v>
      </c>
      <c r="H5" t="s">
        <v>252</v>
      </c>
    </row>
    <row r="6" spans="1:8" x14ac:dyDescent="0.3">
      <c r="A6" t="s">
        <v>253</v>
      </c>
      <c r="C6" t="s">
        <v>254</v>
      </c>
      <c r="D6" t="s">
        <v>33</v>
      </c>
      <c r="E6" t="s">
        <v>255</v>
      </c>
      <c r="F6" t="s">
        <v>256</v>
      </c>
      <c r="G6" t="s">
        <v>251</v>
      </c>
      <c r="H6" t="s">
        <v>252</v>
      </c>
    </row>
    <row r="7" spans="1:8" x14ac:dyDescent="0.3">
      <c r="A7" t="s">
        <v>257</v>
      </c>
      <c r="C7" t="s">
        <v>248</v>
      </c>
      <c r="D7" t="s">
        <v>34</v>
      </c>
      <c r="E7" t="s">
        <v>258</v>
      </c>
      <c r="F7" t="s">
        <v>259</v>
      </c>
      <c r="G7" t="s">
        <v>251</v>
      </c>
      <c r="H7" t="s">
        <v>260</v>
      </c>
    </row>
    <row r="8" spans="1:8" x14ac:dyDescent="0.3">
      <c r="A8" t="s">
        <v>261</v>
      </c>
      <c r="C8" t="s">
        <v>262</v>
      </c>
      <c r="D8" t="s">
        <v>35</v>
      </c>
      <c r="E8" t="s">
        <v>263</v>
      </c>
      <c r="F8" t="s">
        <v>264</v>
      </c>
      <c r="G8" t="s">
        <v>251</v>
      </c>
      <c r="H8" t="s">
        <v>260</v>
      </c>
    </row>
    <row r="9" spans="1:8" x14ac:dyDescent="0.3">
      <c r="A9" t="s">
        <v>265</v>
      </c>
      <c r="C9" t="s">
        <v>266</v>
      </c>
      <c r="D9" t="s">
        <v>36</v>
      </c>
      <c r="E9" t="s">
        <v>267</v>
      </c>
      <c r="F9" t="s">
        <v>268</v>
      </c>
      <c r="G9" t="s">
        <v>251</v>
      </c>
      <c r="H9" t="s">
        <v>260</v>
      </c>
    </row>
    <row r="10" spans="1:8" x14ac:dyDescent="0.3">
      <c r="A10" t="s">
        <v>269</v>
      </c>
      <c r="C10" t="s">
        <v>270</v>
      </c>
      <c r="D10" t="s">
        <v>37</v>
      </c>
      <c r="E10" t="s">
        <v>271</v>
      </c>
      <c r="F10" t="s">
        <v>272</v>
      </c>
      <c r="G10" t="s">
        <v>251</v>
      </c>
      <c r="H10" t="s">
        <v>260</v>
      </c>
    </row>
    <row r="11" spans="1:8" x14ac:dyDescent="0.3">
      <c r="A11" t="s">
        <v>273</v>
      </c>
      <c r="C11" t="s">
        <v>274</v>
      </c>
      <c r="D11" t="s">
        <v>38</v>
      </c>
      <c r="E11" t="s">
        <v>275</v>
      </c>
      <c r="F11" t="s">
        <v>276</v>
      </c>
      <c r="G11" t="s">
        <v>251</v>
      </c>
      <c r="H11" t="s">
        <v>277</v>
      </c>
    </row>
    <row r="12" spans="1:8" x14ac:dyDescent="0.3">
      <c r="A12" t="s">
        <v>278</v>
      </c>
      <c r="C12" t="s">
        <v>279</v>
      </c>
      <c r="D12" t="s">
        <v>39</v>
      </c>
      <c r="E12" t="s">
        <v>280</v>
      </c>
      <c r="F12" t="s">
        <v>281</v>
      </c>
      <c r="G12" t="s">
        <v>251</v>
      </c>
      <c r="H12" t="s">
        <v>282</v>
      </c>
    </row>
    <row r="13" spans="1:8" x14ac:dyDescent="0.3">
      <c r="A13" t="s">
        <v>283</v>
      </c>
      <c r="C13" t="s">
        <v>284</v>
      </c>
      <c r="D13" t="s">
        <v>40</v>
      </c>
      <c r="E13" t="s">
        <v>285</v>
      </c>
      <c r="F13" t="s">
        <v>286</v>
      </c>
      <c r="G13" t="s">
        <v>251</v>
      </c>
      <c r="H13" t="s">
        <v>287</v>
      </c>
    </row>
    <row r="14" spans="1:8" x14ac:dyDescent="0.3">
      <c r="A14" t="s">
        <v>288</v>
      </c>
      <c r="C14" t="s">
        <v>289</v>
      </c>
      <c r="D14" t="s">
        <v>41</v>
      </c>
      <c r="E14" t="s">
        <v>290</v>
      </c>
      <c r="F14" t="s">
        <v>291</v>
      </c>
      <c r="G14" t="s">
        <v>251</v>
      </c>
      <c r="H14" t="s">
        <v>287</v>
      </c>
    </row>
    <row r="15" spans="1:8" x14ac:dyDescent="0.3">
      <c r="A15" t="s">
        <v>292</v>
      </c>
      <c r="C15" t="s">
        <v>293</v>
      </c>
      <c r="D15" t="s">
        <v>42</v>
      </c>
      <c r="E15" t="s">
        <v>294</v>
      </c>
      <c r="F15" t="s">
        <v>295</v>
      </c>
      <c r="G15" t="s">
        <v>251</v>
      </c>
      <c r="H15" t="s">
        <v>296</v>
      </c>
    </row>
    <row r="16" spans="1:8" x14ac:dyDescent="0.3">
      <c r="A16" t="s">
        <v>297</v>
      </c>
      <c r="C16" t="s">
        <v>298</v>
      </c>
      <c r="D16" t="s">
        <v>43</v>
      </c>
      <c r="E16" t="s">
        <v>299</v>
      </c>
      <c r="F16" t="s">
        <v>300</v>
      </c>
      <c r="G16" t="s">
        <v>251</v>
      </c>
      <c r="H16" t="s">
        <v>296</v>
      </c>
    </row>
    <row r="17" spans="1:8" x14ac:dyDescent="0.3">
      <c r="A17" t="s">
        <v>301</v>
      </c>
      <c r="C17" t="s">
        <v>302</v>
      </c>
      <c r="D17" t="s">
        <v>44</v>
      </c>
      <c r="E17" t="s">
        <v>303</v>
      </c>
      <c r="F17" t="s">
        <v>304</v>
      </c>
      <c r="G17" t="s">
        <v>251</v>
      </c>
      <c r="H17" t="s">
        <v>296</v>
      </c>
    </row>
    <row r="18" spans="1:8" x14ac:dyDescent="0.3">
      <c r="A18" t="s">
        <v>305</v>
      </c>
      <c r="C18" t="s">
        <v>306</v>
      </c>
      <c r="D18" t="s">
        <v>45</v>
      </c>
      <c r="E18" t="s">
        <v>307</v>
      </c>
      <c r="F18" t="s">
        <v>308</v>
      </c>
      <c r="G18" t="s">
        <v>251</v>
      </c>
      <c r="H18" t="s">
        <v>296</v>
      </c>
    </row>
    <row r="19" spans="1:8" x14ac:dyDescent="0.3">
      <c r="A19" t="s">
        <v>309</v>
      </c>
      <c r="C19" t="s">
        <v>310</v>
      </c>
      <c r="D19" t="s">
        <v>46</v>
      </c>
      <c r="E19" t="s">
        <v>311</v>
      </c>
      <c r="F19" t="s">
        <v>312</v>
      </c>
      <c r="G19" t="s">
        <v>251</v>
      </c>
      <c r="H19" t="s">
        <v>313</v>
      </c>
    </row>
    <row r="20" spans="1:8" x14ac:dyDescent="0.3">
      <c r="A20" t="s">
        <v>314</v>
      </c>
      <c r="C20" t="s">
        <v>315</v>
      </c>
      <c r="D20" t="s">
        <v>47</v>
      </c>
      <c r="E20" t="s">
        <v>316</v>
      </c>
      <c r="F20" t="s">
        <v>317</v>
      </c>
      <c r="G20" t="s">
        <v>251</v>
      </c>
      <c r="H20" t="s">
        <v>318</v>
      </c>
    </row>
    <row r="21" spans="1:8" x14ac:dyDescent="0.3">
      <c r="A21" t="s">
        <v>319</v>
      </c>
      <c r="B21" t="s">
        <v>196</v>
      </c>
      <c r="D21" t="s">
        <v>22</v>
      </c>
      <c r="E21" t="s">
        <v>320</v>
      </c>
      <c r="F21" t="s">
        <v>321</v>
      </c>
      <c r="G21" t="s">
        <v>322</v>
      </c>
      <c r="H21" t="s">
        <v>318</v>
      </c>
    </row>
    <row r="22" spans="1:8" x14ac:dyDescent="0.3">
      <c r="A22" t="s">
        <v>323</v>
      </c>
      <c r="C22" t="s">
        <v>324</v>
      </c>
      <c r="D22" t="s">
        <v>48</v>
      </c>
      <c r="E22" t="s">
        <v>325</v>
      </c>
      <c r="F22" t="s">
        <v>326</v>
      </c>
      <c r="G22" t="s">
        <v>251</v>
      </c>
      <c r="H22" t="s">
        <v>327</v>
      </c>
    </row>
    <row r="23" spans="1:8" x14ac:dyDescent="0.3">
      <c r="A23" t="s">
        <v>328</v>
      </c>
      <c r="C23" t="s">
        <v>329</v>
      </c>
      <c r="D23" t="s">
        <v>49</v>
      </c>
      <c r="E23" t="s">
        <v>330</v>
      </c>
      <c r="F23" t="s">
        <v>331</v>
      </c>
      <c r="G23" t="s">
        <v>251</v>
      </c>
      <c r="H23" t="s">
        <v>332</v>
      </c>
    </row>
    <row r="24" spans="1:8" x14ac:dyDescent="0.3">
      <c r="A24" t="s">
        <v>333</v>
      </c>
      <c r="B24" t="s">
        <v>159</v>
      </c>
      <c r="D24" t="s">
        <v>31</v>
      </c>
      <c r="E24" t="s">
        <v>320</v>
      </c>
      <c r="F24" t="s">
        <v>334</v>
      </c>
      <c r="G24" t="s">
        <v>322</v>
      </c>
      <c r="H24" t="s">
        <v>332</v>
      </c>
    </row>
    <row r="25" spans="1:8" x14ac:dyDescent="0.3">
      <c r="A25" t="s">
        <v>335</v>
      </c>
      <c r="C25" t="s">
        <v>270</v>
      </c>
      <c r="D25" t="s">
        <v>31</v>
      </c>
      <c r="E25" t="s">
        <v>336</v>
      </c>
      <c r="F25" t="s">
        <v>337</v>
      </c>
      <c r="G25" t="s">
        <v>251</v>
      </c>
      <c r="H25" t="s">
        <v>338</v>
      </c>
    </row>
    <row r="26" spans="1:8" x14ac:dyDescent="0.3">
      <c r="A26" t="s">
        <v>339</v>
      </c>
      <c r="C26" t="s">
        <v>340</v>
      </c>
      <c r="D26" t="s">
        <v>50</v>
      </c>
      <c r="E26" t="s">
        <v>341</v>
      </c>
      <c r="F26" t="s">
        <v>342</v>
      </c>
      <c r="G26" t="s">
        <v>251</v>
      </c>
      <c r="H26" t="s">
        <v>338</v>
      </c>
    </row>
    <row r="27" spans="1:8" x14ac:dyDescent="0.3">
      <c r="A27" t="s">
        <v>343</v>
      </c>
      <c r="C27" t="s">
        <v>329</v>
      </c>
      <c r="D27" t="s">
        <v>51</v>
      </c>
      <c r="E27" t="s">
        <v>344</v>
      </c>
      <c r="F27" t="s">
        <v>345</v>
      </c>
      <c r="G27" t="s">
        <v>251</v>
      </c>
      <c r="H27" t="s">
        <v>338</v>
      </c>
    </row>
    <row r="28" spans="1:8" x14ac:dyDescent="0.3">
      <c r="A28" t="s">
        <v>346</v>
      </c>
      <c r="C28" t="s">
        <v>347</v>
      </c>
      <c r="D28" t="s">
        <v>52</v>
      </c>
      <c r="E28" t="s">
        <v>348</v>
      </c>
      <c r="F28" t="s">
        <v>349</v>
      </c>
      <c r="G28" t="s">
        <v>251</v>
      </c>
      <c r="H28" t="s">
        <v>350</v>
      </c>
    </row>
    <row r="29" spans="1:8" x14ac:dyDescent="0.3">
      <c r="A29" t="s">
        <v>351</v>
      </c>
      <c r="C29" t="s">
        <v>262</v>
      </c>
      <c r="D29" t="s">
        <v>53</v>
      </c>
      <c r="E29" t="s">
        <v>352</v>
      </c>
      <c r="F29" t="s">
        <v>353</v>
      </c>
      <c r="G29" t="s">
        <v>251</v>
      </c>
      <c r="H29" t="s">
        <v>354</v>
      </c>
    </row>
    <row r="30" spans="1:8" x14ac:dyDescent="0.3">
      <c r="A30" t="s">
        <v>355</v>
      </c>
      <c r="C30" t="s">
        <v>356</v>
      </c>
      <c r="D30" t="s">
        <v>54</v>
      </c>
      <c r="E30" t="s">
        <v>357</v>
      </c>
      <c r="F30" t="s">
        <v>358</v>
      </c>
      <c r="G30" t="s">
        <v>251</v>
      </c>
      <c r="H30" t="s">
        <v>354</v>
      </c>
    </row>
    <row r="31" spans="1:8" x14ac:dyDescent="0.3">
      <c r="A31" t="s">
        <v>359</v>
      </c>
      <c r="C31" t="s">
        <v>360</v>
      </c>
      <c r="D31" t="s">
        <v>54</v>
      </c>
      <c r="E31" t="s">
        <v>361</v>
      </c>
      <c r="F31" t="s">
        <v>362</v>
      </c>
      <c r="G31" t="s">
        <v>251</v>
      </c>
      <c r="H31" t="s">
        <v>354</v>
      </c>
    </row>
    <row r="32" spans="1:8" x14ac:dyDescent="0.3">
      <c r="A32" t="s">
        <v>363</v>
      </c>
      <c r="C32" t="s">
        <v>364</v>
      </c>
      <c r="D32" t="s">
        <v>55</v>
      </c>
      <c r="E32" t="s">
        <v>365</v>
      </c>
      <c r="F32" t="s">
        <v>366</v>
      </c>
      <c r="G32" t="s">
        <v>251</v>
      </c>
      <c r="H32" t="s">
        <v>354</v>
      </c>
    </row>
    <row r="33" spans="2:8" x14ac:dyDescent="0.3">
      <c r="B33" t="s">
        <v>367</v>
      </c>
      <c r="C33" t="s">
        <v>368</v>
      </c>
      <c r="E33" t="s">
        <v>369</v>
      </c>
      <c r="F33" t="s">
        <v>65</v>
      </c>
      <c r="G33" t="s">
        <v>370</v>
      </c>
      <c r="H33" t="s">
        <v>371</v>
      </c>
    </row>
    <row r="34" spans="2:8" x14ac:dyDescent="0.3">
      <c r="B34" t="s">
        <v>367</v>
      </c>
      <c r="C34" t="s">
        <v>368</v>
      </c>
      <c r="E34" t="s">
        <v>372</v>
      </c>
    </row>
    <row r="35" spans="2:8" x14ac:dyDescent="0.3">
      <c r="C35" t="s">
        <v>363</v>
      </c>
      <c r="G35" t="s">
        <v>373</v>
      </c>
      <c r="H35" t="s">
        <v>374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4026-AFEA-4F76-AB38-8B35F0D8C9CC}">
  <sheetPr codeName="Sheet2"/>
  <dimension ref="A1:I72"/>
  <sheetViews>
    <sheetView workbookViewId="0">
      <selection activeCell="A72" sqref="A1:I72"/>
    </sheetView>
  </sheetViews>
  <sheetFormatPr defaultRowHeight="14.4" x14ac:dyDescent="0.3"/>
  <cols>
    <col min="1" max="5" width="11.109375" bestFit="1" customWidth="1"/>
    <col min="6" max="6" width="32.5546875" bestFit="1" customWidth="1"/>
    <col min="7" max="7" width="19.5546875" bestFit="1" customWidth="1"/>
    <col min="8" max="8" width="15.88671875" bestFit="1" customWidth="1"/>
    <col min="9" max="9" width="11.109375" bestFit="1" customWidth="1"/>
  </cols>
  <sheetData>
    <row r="1" spans="1:9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</row>
    <row r="2" spans="1:9" x14ac:dyDescent="0.3">
      <c r="A2" t="s">
        <v>65</v>
      </c>
      <c r="B2" t="s">
        <v>66</v>
      </c>
      <c r="C2" t="s">
        <v>67</v>
      </c>
      <c r="D2" t="s">
        <v>68</v>
      </c>
      <c r="G2" t="s">
        <v>69</v>
      </c>
      <c r="H2" t="s">
        <v>67</v>
      </c>
      <c r="I2" t="s">
        <v>70</v>
      </c>
    </row>
    <row r="3" spans="1:9" x14ac:dyDescent="0.3">
      <c r="B3" t="s">
        <v>71</v>
      </c>
    </row>
    <row r="4" spans="1:9" x14ac:dyDescent="0.3">
      <c r="A4" t="s">
        <v>72</v>
      </c>
      <c r="B4" t="s">
        <v>73</v>
      </c>
      <c r="C4" t="s">
        <v>74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</row>
    <row r="5" spans="1:9" x14ac:dyDescent="0.3">
      <c r="B5" t="s">
        <v>80</v>
      </c>
      <c r="C5" t="s">
        <v>80</v>
      </c>
      <c r="H5" t="s">
        <v>81</v>
      </c>
    </row>
    <row r="6" spans="1:9" x14ac:dyDescent="0.3">
      <c r="A6" t="s">
        <v>82</v>
      </c>
      <c r="B6" t="s">
        <v>80</v>
      </c>
      <c r="C6" s="2" t="s">
        <v>82</v>
      </c>
      <c r="E6" t="s">
        <v>1</v>
      </c>
      <c r="F6" t="s">
        <v>83</v>
      </c>
      <c r="G6" t="s">
        <v>84</v>
      </c>
      <c r="H6" t="s">
        <v>85</v>
      </c>
      <c r="I6" t="s">
        <v>86</v>
      </c>
    </row>
    <row r="7" spans="1:9" x14ac:dyDescent="0.3">
      <c r="A7" t="s">
        <v>87</v>
      </c>
      <c r="B7" t="s">
        <v>80</v>
      </c>
      <c r="C7" s="2" t="s">
        <v>88</v>
      </c>
      <c r="E7" t="s">
        <v>2</v>
      </c>
      <c r="F7" t="s">
        <v>89</v>
      </c>
      <c r="G7" t="s">
        <v>90</v>
      </c>
      <c r="H7" t="s">
        <v>85</v>
      </c>
      <c r="I7" t="s">
        <v>86</v>
      </c>
    </row>
    <row r="8" spans="1:9" x14ac:dyDescent="0.3">
      <c r="A8" t="s">
        <v>91</v>
      </c>
      <c r="B8" t="s">
        <v>80</v>
      </c>
      <c r="C8" s="2" t="s">
        <v>92</v>
      </c>
      <c r="E8" t="s">
        <v>3</v>
      </c>
      <c r="F8" t="s">
        <v>93</v>
      </c>
      <c r="G8" t="s">
        <v>94</v>
      </c>
      <c r="H8" t="s">
        <v>85</v>
      </c>
      <c r="I8" t="s">
        <v>95</v>
      </c>
    </row>
    <row r="9" spans="1:9" x14ac:dyDescent="0.3">
      <c r="A9" t="s">
        <v>96</v>
      </c>
      <c r="B9" t="s">
        <v>82</v>
      </c>
      <c r="C9" s="2" t="s">
        <v>80</v>
      </c>
      <c r="E9" t="s">
        <v>1</v>
      </c>
      <c r="F9" t="s">
        <v>97</v>
      </c>
      <c r="G9" t="s">
        <v>98</v>
      </c>
      <c r="H9" t="s">
        <v>99</v>
      </c>
      <c r="I9" t="s">
        <v>95</v>
      </c>
    </row>
    <row r="10" spans="1:9" x14ac:dyDescent="0.3">
      <c r="A10" t="s">
        <v>100</v>
      </c>
      <c r="B10" t="s">
        <v>80</v>
      </c>
      <c r="C10" s="2" t="s">
        <v>101</v>
      </c>
      <c r="E10" t="s">
        <v>4</v>
      </c>
      <c r="F10" t="s">
        <v>0</v>
      </c>
      <c r="G10" t="s">
        <v>102</v>
      </c>
      <c r="H10" t="s">
        <v>85</v>
      </c>
      <c r="I10" t="s">
        <v>103</v>
      </c>
    </row>
    <row r="11" spans="1:9" x14ac:dyDescent="0.3">
      <c r="A11" t="s">
        <v>104</v>
      </c>
      <c r="B11" t="s">
        <v>80</v>
      </c>
      <c r="C11" s="2" t="s">
        <v>105</v>
      </c>
      <c r="E11" t="s">
        <v>5</v>
      </c>
      <c r="F11" t="s">
        <v>106</v>
      </c>
      <c r="G11" t="s">
        <v>107</v>
      </c>
      <c r="H11" t="s">
        <v>85</v>
      </c>
      <c r="I11" t="s">
        <v>108</v>
      </c>
    </row>
    <row r="12" spans="1:9" x14ac:dyDescent="0.3">
      <c r="A12" t="s">
        <v>109</v>
      </c>
      <c r="B12" t="s">
        <v>80</v>
      </c>
      <c r="C12" s="2" t="s">
        <v>110</v>
      </c>
      <c r="E12" t="s">
        <v>6</v>
      </c>
      <c r="F12" t="s">
        <v>111</v>
      </c>
      <c r="G12" t="s">
        <v>112</v>
      </c>
      <c r="H12" t="s">
        <v>85</v>
      </c>
      <c r="I12" t="s">
        <v>108</v>
      </c>
    </row>
    <row r="13" spans="1:9" x14ac:dyDescent="0.3">
      <c r="A13" t="s">
        <v>113</v>
      </c>
      <c r="B13" t="s">
        <v>80</v>
      </c>
      <c r="C13" s="2" t="s">
        <v>114</v>
      </c>
      <c r="E13" t="s">
        <v>7</v>
      </c>
      <c r="F13" t="s">
        <v>115</v>
      </c>
      <c r="G13" t="s">
        <v>116</v>
      </c>
      <c r="H13" t="s">
        <v>85</v>
      </c>
      <c r="I13" t="s">
        <v>117</v>
      </c>
    </row>
    <row r="14" spans="1:9" x14ac:dyDescent="0.3">
      <c r="A14" t="s">
        <v>118</v>
      </c>
      <c r="B14" t="s">
        <v>80</v>
      </c>
      <c r="C14" s="2" t="s">
        <v>119</v>
      </c>
      <c r="E14" t="s">
        <v>8</v>
      </c>
      <c r="F14" t="s">
        <v>120</v>
      </c>
      <c r="G14" t="s">
        <v>121</v>
      </c>
      <c r="H14" t="s">
        <v>85</v>
      </c>
      <c r="I14" t="s">
        <v>117</v>
      </c>
    </row>
    <row r="15" spans="1:9" x14ac:dyDescent="0.3">
      <c r="A15" t="s">
        <v>122</v>
      </c>
      <c r="B15" t="s">
        <v>80</v>
      </c>
      <c r="C15" s="2" t="s">
        <v>123</v>
      </c>
      <c r="E15" t="s">
        <v>9</v>
      </c>
      <c r="F15" t="s">
        <v>124</v>
      </c>
      <c r="G15" t="s">
        <v>125</v>
      </c>
      <c r="H15" t="s">
        <v>85</v>
      </c>
      <c r="I15" t="s">
        <v>126</v>
      </c>
    </row>
    <row r="16" spans="1:9" x14ac:dyDescent="0.3">
      <c r="A16" t="s">
        <v>127</v>
      </c>
      <c r="B16" t="s">
        <v>80</v>
      </c>
      <c r="C16" s="2" t="s">
        <v>128</v>
      </c>
      <c r="E16" t="s">
        <v>10</v>
      </c>
      <c r="F16" t="s">
        <v>129</v>
      </c>
      <c r="G16" t="s">
        <v>130</v>
      </c>
      <c r="H16" t="s">
        <v>85</v>
      </c>
      <c r="I16" t="s">
        <v>126</v>
      </c>
    </row>
    <row r="17" spans="1:9" x14ac:dyDescent="0.3">
      <c r="A17" t="s">
        <v>131</v>
      </c>
      <c r="B17" t="s">
        <v>80</v>
      </c>
      <c r="C17" s="2" t="s">
        <v>132</v>
      </c>
      <c r="E17" t="s">
        <v>11</v>
      </c>
      <c r="F17" t="s">
        <v>133</v>
      </c>
      <c r="G17" t="s">
        <v>134</v>
      </c>
      <c r="H17" t="s">
        <v>85</v>
      </c>
      <c r="I17" t="s">
        <v>135</v>
      </c>
    </row>
    <row r="18" spans="1:9" x14ac:dyDescent="0.3">
      <c r="A18" t="s">
        <v>136</v>
      </c>
      <c r="B18" t="s">
        <v>80</v>
      </c>
      <c r="C18" s="2" t="s">
        <v>137</v>
      </c>
      <c r="E18" t="s">
        <v>12</v>
      </c>
      <c r="F18" t="s">
        <v>138</v>
      </c>
      <c r="G18" t="s">
        <v>139</v>
      </c>
      <c r="H18" t="s">
        <v>85</v>
      </c>
      <c r="I18" t="s">
        <v>140</v>
      </c>
    </row>
    <row r="19" spans="1:9" x14ac:dyDescent="0.3">
      <c r="A19" t="s">
        <v>141</v>
      </c>
      <c r="B19" t="s">
        <v>80</v>
      </c>
      <c r="C19" s="2" t="s">
        <v>142</v>
      </c>
      <c r="E19" t="s">
        <v>12</v>
      </c>
      <c r="F19" t="s">
        <v>143</v>
      </c>
      <c r="G19" t="s">
        <v>144</v>
      </c>
      <c r="H19" t="s">
        <v>85</v>
      </c>
      <c r="I19" t="s">
        <v>140</v>
      </c>
    </row>
    <row r="20" spans="1:9" x14ac:dyDescent="0.3">
      <c r="A20" t="s">
        <v>145</v>
      </c>
      <c r="B20" t="s">
        <v>80</v>
      </c>
      <c r="C20" s="2" t="s">
        <v>146</v>
      </c>
      <c r="E20" t="s">
        <v>13</v>
      </c>
      <c r="F20" t="s">
        <v>147</v>
      </c>
      <c r="G20" t="s">
        <v>148</v>
      </c>
      <c r="H20" t="s">
        <v>85</v>
      </c>
      <c r="I20" t="s">
        <v>149</v>
      </c>
    </row>
    <row r="21" spans="1:9" x14ac:dyDescent="0.3">
      <c r="A21" t="s">
        <v>150</v>
      </c>
      <c r="B21" t="s">
        <v>80</v>
      </c>
      <c r="C21" s="2" t="s">
        <v>137</v>
      </c>
      <c r="E21" t="s">
        <v>14</v>
      </c>
      <c r="F21" t="s">
        <v>151</v>
      </c>
      <c r="G21" t="s">
        <v>152</v>
      </c>
      <c r="H21" t="s">
        <v>85</v>
      </c>
      <c r="I21" t="s">
        <v>153</v>
      </c>
    </row>
    <row r="22" spans="1:9" x14ac:dyDescent="0.3">
      <c r="A22" t="s">
        <v>154</v>
      </c>
      <c r="B22" t="s">
        <v>80</v>
      </c>
      <c r="C22" s="2" t="s">
        <v>155</v>
      </c>
      <c r="E22" t="s">
        <v>15</v>
      </c>
      <c r="F22" t="s">
        <v>156</v>
      </c>
      <c r="G22" t="s">
        <v>157</v>
      </c>
      <c r="H22" t="s">
        <v>85</v>
      </c>
      <c r="I22" t="s">
        <v>153</v>
      </c>
    </row>
    <row r="23" spans="1:9" x14ac:dyDescent="0.3">
      <c r="A23" t="s">
        <v>158</v>
      </c>
      <c r="B23" t="s">
        <v>80</v>
      </c>
      <c r="C23" s="2" t="s">
        <v>159</v>
      </c>
      <c r="E23" t="s">
        <v>16</v>
      </c>
      <c r="F23" t="s">
        <v>160</v>
      </c>
      <c r="G23" t="s">
        <v>161</v>
      </c>
      <c r="H23" t="s">
        <v>85</v>
      </c>
      <c r="I23" t="s">
        <v>162</v>
      </c>
    </row>
    <row r="24" spans="1:9" x14ac:dyDescent="0.3">
      <c r="A24" t="s">
        <v>163</v>
      </c>
      <c r="B24" t="s">
        <v>80</v>
      </c>
      <c r="C24" s="2" t="s">
        <v>164</v>
      </c>
      <c r="E24" t="s">
        <v>17</v>
      </c>
      <c r="F24" t="s">
        <v>165</v>
      </c>
      <c r="G24" t="s">
        <v>166</v>
      </c>
      <c r="H24" t="s">
        <v>85</v>
      </c>
      <c r="I24" t="s">
        <v>162</v>
      </c>
    </row>
    <row r="25" spans="1:9" x14ac:dyDescent="0.3">
      <c r="A25" t="s">
        <v>167</v>
      </c>
      <c r="B25" t="s">
        <v>80</v>
      </c>
      <c r="C25" s="2" t="s">
        <v>168</v>
      </c>
      <c r="E25" t="s">
        <v>18</v>
      </c>
      <c r="F25" t="s">
        <v>169</v>
      </c>
      <c r="G25" t="s">
        <v>170</v>
      </c>
      <c r="H25" t="s">
        <v>85</v>
      </c>
      <c r="I25" t="s">
        <v>162</v>
      </c>
    </row>
    <row r="26" spans="1:9" x14ac:dyDescent="0.3">
      <c r="A26" t="s">
        <v>171</v>
      </c>
      <c r="B26" t="s">
        <v>123</v>
      </c>
      <c r="C26" s="2" t="s">
        <v>80</v>
      </c>
      <c r="E26" t="s">
        <v>9</v>
      </c>
      <c r="F26" t="s">
        <v>97</v>
      </c>
      <c r="G26" t="s">
        <v>172</v>
      </c>
      <c r="H26" t="s">
        <v>99</v>
      </c>
      <c r="I26" t="s">
        <v>173</v>
      </c>
    </row>
    <row r="27" spans="1:9" x14ac:dyDescent="0.3">
      <c r="A27" t="s">
        <v>174</v>
      </c>
      <c r="B27" t="s">
        <v>175</v>
      </c>
      <c r="C27" s="2" t="s">
        <v>80</v>
      </c>
      <c r="E27" t="s">
        <v>80</v>
      </c>
      <c r="F27" t="s">
        <v>176</v>
      </c>
      <c r="G27" t="s">
        <v>177</v>
      </c>
      <c r="H27" t="s">
        <v>178</v>
      </c>
      <c r="I27" t="s">
        <v>173</v>
      </c>
    </row>
    <row r="28" spans="1:9" x14ac:dyDescent="0.3">
      <c r="A28" t="s">
        <v>179</v>
      </c>
      <c r="B28" t="s">
        <v>180</v>
      </c>
      <c r="C28" s="2" t="s">
        <v>80</v>
      </c>
      <c r="E28" t="s">
        <v>80</v>
      </c>
      <c r="F28" t="s">
        <v>181</v>
      </c>
      <c r="G28" t="s">
        <v>177</v>
      </c>
      <c r="H28" t="s">
        <v>178</v>
      </c>
      <c r="I28" t="s">
        <v>173</v>
      </c>
    </row>
    <row r="29" spans="1:9" x14ac:dyDescent="0.3">
      <c r="A29" t="s">
        <v>182</v>
      </c>
      <c r="B29" t="s">
        <v>80</v>
      </c>
      <c r="C29" s="2" t="s">
        <v>183</v>
      </c>
      <c r="E29" t="s">
        <v>19</v>
      </c>
      <c r="F29" t="s">
        <v>184</v>
      </c>
      <c r="G29" t="s">
        <v>185</v>
      </c>
      <c r="H29" t="s">
        <v>85</v>
      </c>
      <c r="I29" t="s">
        <v>186</v>
      </c>
    </row>
    <row r="30" spans="1:9" x14ac:dyDescent="0.3">
      <c r="A30" t="s">
        <v>187</v>
      </c>
      <c r="B30" t="s">
        <v>80</v>
      </c>
      <c r="C30" s="2" t="s">
        <v>188</v>
      </c>
      <c r="E30" t="s">
        <v>20</v>
      </c>
      <c r="F30" t="s">
        <v>189</v>
      </c>
      <c r="G30" t="s">
        <v>190</v>
      </c>
      <c r="H30" t="s">
        <v>85</v>
      </c>
      <c r="I30" t="s">
        <v>186</v>
      </c>
    </row>
    <row r="31" spans="1:9" x14ac:dyDescent="0.3">
      <c r="A31" t="s">
        <v>191</v>
      </c>
      <c r="B31" t="s">
        <v>80</v>
      </c>
      <c r="C31" s="2" t="s">
        <v>192</v>
      </c>
      <c r="E31" t="s">
        <v>21</v>
      </c>
      <c r="F31" t="s">
        <v>193</v>
      </c>
      <c r="G31" t="s">
        <v>194</v>
      </c>
      <c r="H31" t="s">
        <v>85</v>
      </c>
      <c r="I31" t="s">
        <v>186</v>
      </c>
    </row>
    <row r="32" spans="1:9" x14ac:dyDescent="0.3">
      <c r="A32" t="s">
        <v>195</v>
      </c>
      <c r="B32" t="s">
        <v>80</v>
      </c>
      <c r="C32" s="2" t="s">
        <v>196</v>
      </c>
      <c r="E32" t="s">
        <v>22</v>
      </c>
      <c r="F32" t="s">
        <v>197</v>
      </c>
      <c r="G32" t="s">
        <v>198</v>
      </c>
      <c r="H32" t="s">
        <v>85</v>
      </c>
      <c r="I32" t="s">
        <v>199</v>
      </c>
    </row>
    <row r="33" spans="1:9" x14ac:dyDescent="0.3">
      <c r="A33" t="s">
        <v>200</v>
      </c>
      <c r="B33" t="s">
        <v>80</v>
      </c>
      <c r="C33" s="2" t="s">
        <v>201</v>
      </c>
      <c r="E33" t="s">
        <v>23</v>
      </c>
      <c r="F33" t="s">
        <v>202</v>
      </c>
      <c r="G33" t="s">
        <v>203</v>
      </c>
      <c r="H33" t="s">
        <v>85</v>
      </c>
      <c r="I33" t="s">
        <v>199</v>
      </c>
    </row>
    <row r="34" spans="1:9" x14ac:dyDescent="0.3">
      <c r="A34" t="s">
        <v>204</v>
      </c>
      <c r="B34" t="s">
        <v>80</v>
      </c>
      <c r="C34" s="2" t="s">
        <v>146</v>
      </c>
      <c r="E34" t="s">
        <v>24</v>
      </c>
      <c r="F34" t="s">
        <v>205</v>
      </c>
      <c r="G34" t="s">
        <v>206</v>
      </c>
      <c r="H34" t="s">
        <v>85</v>
      </c>
      <c r="I34" t="s">
        <v>199</v>
      </c>
    </row>
    <row r="35" spans="1:9" x14ac:dyDescent="0.3">
      <c r="A35" t="s">
        <v>207</v>
      </c>
      <c r="B35" t="s">
        <v>80</v>
      </c>
      <c r="C35" s="2" t="s">
        <v>208</v>
      </c>
      <c r="E35" t="s">
        <v>25</v>
      </c>
      <c r="F35" t="s">
        <v>209</v>
      </c>
      <c r="G35" t="s">
        <v>210</v>
      </c>
      <c r="H35" t="s">
        <v>85</v>
      </c>
      <c r="I35" t="s">
        <v>211</v>
      </c>
    </row>
    <row r="36" spans="1:9" x14ac:dyDescent="0.3">
      <c r="A36" t="s">
        <v>212</v>
      </c>
      <c r="B36" t="s">
        <v>80</v>
      </c>
      <c r="C36" s="2" t="s">
        <v>213</v>
      </c>
      <c r="E36" t="s">
        <v>26</v>
      </c>
      <c r="F36" t="s">
        <v>214</v>
      </c>
      <c r="G36" t="s">
        <v>215</v>
      </c>
      <c r="H36" t="s">
        <v>85</v>
      </c>
      <c r="I36" t="s">
        <v>216</v>
      </c>
    </row>
    <row r="37" spans="1:9" x14ac:dyDescent="0.3">
      <c r="A37" t="s">
        <v>217</v>
      </c>
      <c r="B37" t="s">
        <v>80</v>
      </c>
      <c r="C37" s="2" t="s">
        <v>218</v>
      </c>
      <c r="E37" t="s">
        <v>27</v>
      </c>
      <c r="F37" t="s">
        <v>219</v>
      </c>
      <c r="G37" t="s">
        <v>220</v>
      </c>
      <c r="H37" t="s">
        <v>85</v>
      </c>
      <c r="I37" t="s">
        <v>216</v>
      </c>
    </row>
    <row r="38" spans="1:9" x14ac:dyDescent="0.3">
      <c r="A38" t="s">
        <v>221</v>
      </c>
      <c r="B38" t="s">
        <v>80</v>
      </c>
      <c r="C38" s="2" t="s">
        <v>222</v>
      </c>
      <c r="E38" t="s">
        <v>28</v>
      </c>
      <c r="F38" t="s">
        <v>223</v>
      </c>
      <c r="G38" t="s">
        <v>224</v>
      </c>
      <c r="H38" t="s">
        <v>85</v>
      </c>
      <c r="I38" t="s">
        <v>216</v>
      </c>
    </row>
    <row r="39" spans="1:9" x14ac:dyDescent="0.3">
      <c r="A39" t="s">
        <v>225</v>
      </c>
      <c r="B39" t="s">
        <v>80</v>
      </c>
      <c r="C39" s="2" t="s">
        <v>226</v>
      </c>
      <c r="E39" t="s">
        <v>29</v>
      </c>
      <c r="F39" t="s">
        <v>227</v>
      </c>
      <c r="G39" t="s">
        <v>228</v>
      </c>
      <c r="H39" t="s">
        <v>85</v>
      </c>
      <c r="I39" t="s">
        <v>229</v>
      </c>
    </row>
    <row r="40" spans="1:9" x14ac:dyDescent="0.3">
      <c r="A40" t="s">
        <v>230</v>
      </c>
      <c r="B40" t="s">
        <v>80</v>
      </c>
      <c r="C40" s="2" t="s">
        <v>231</v>
      </c>
      <c r="E40" t="s">
        <v>30</v>
      </c>
      <c r="F40" t="s">
        <v>232</v>
      </c>
      <c r="G40" t="s">
        <v>233</v>
      </c>
      <c r="H40" t="s">
        <v>85</v>
      </c>
      <c r="I40" t="s">
        <v>234</v>
      </c>
    </row>
    <row r="41" spans="1:9" x14ac:dyDescent="0.3">
      <c r="A41" t="s">
        <v>235</v>
      </c>
      <c r="B41" t="s">
        <v>80</v>
      </c>
      <c r="C41" s="2" t="s">
        <v>159</v>
      </c>
      <c r="E41" t="s">
        <v>31</v>
      </c>
      <c r="F41" t="s">
        <v>236</v>
      </c>
      <c r="G41" t="s">
        <v>237</v>
      </c>
      <c r="H41" t="s">
        <v>85</v>
      </c>
      <c r="I41" t="s">
        <v>238</v>
      </c>
    </row>
    <row r="42" spans="1:9" x14ac:dyDescent="0.3">
      <c r="A42" t="s">
        <v>247</v>
      </c>
      <c r="C42" s="2" t="s">
        <v>248</v>
      </c>
      <c r="E42" t="s">
        <v>32</v>
      </c>
      <c r="F42" t="s">
        <v>249</v>
      </c>
      <c r="G42" t="s">
        <v>250</v>
      </c>
      <c r="H42" t="s">
        <v>251</v>
      </c>
      <c r="I42" t="s">
        <v>252</v>
      </c>
    </row>
    <row r="43" spans="1:9" x14ac:dyDescent="0.3">
      <c r="A43" t="s">
        <v>253</v>
      </c>
      <c r="C43" s="2" t="s">
        <v>254</v>
      </c>
      <c r="E43" t="s">
        <v>33</v>
      </c>
      <c r="F43" t="s">
        <v>255</v>
      </c>
      <c r="G43" t="s">
        <v>256</v>
      </c>
      <c r="H43" t="s">
        <v>251</v>
      </c>
      <c r="I43" t="s">
        <v>252</v>
      </c>
    </row>
    <row r="44" spans="1:9" x14ac:dyDescent="0.3">
      <c r="A44" t="s">
        <v>257</v>
      </c>
      <c r="C44" s="2" t="s">
        <v>248</v>
      </c>
      <c r="E44" t="s">
        <v>34</v>
      </c>
      <c r="F44" t="s">
        <v>258</v>
      </c>
      <c r="G44" t="s">
        <v>259</v>
      </c>
      <c r="H44" t="s">
        <v>251</v>
      </c>
      <c r="I44" t="s">
        <v>260</v>
      </c>
    </row>
    <row r="45" spans="1:9" x14ac:dyDescent="0.3">
      <c r="A45" t="s">
        <v>261</v>
      </c>
      <c r="C45" s="2" t="s">
        <v>262</v>
      </c>
      <c r="E45" t="s">
        <v>35</v>
      </c>
      <c r="F45" t="s">
        <v>263</v>
      </c>
      <c r="G45" t="s">
        <v>264</v>
      </c>
      <c r="H45" t="s">
        <v>251</v>
      </c>
      <c r="I45" t="s">
        <v>260</v>
      </c>
    </row>
    <row r="46" spans="1:9" x14ac:dyDescent="0.3">
      <c r="A46" t="s">
        <v>265</v>
      </c>
      <c r="C46" s="2" t="s">
        <v>266</v>
      </c>
      <c r="E46" t="s">
        <v>36</v>
      </c>
      <c r="F46" t="s">
        <v>267</v>
      </c>
      <c r="G46" t="s">
        <v>268</v>
      </c>
      <c r="H46" t="s">
        <v>251</v>
      </c>
      <c r="I46" t="s">
        <v>260</v>
      </c>
    </row>
    <row r="47" spans="1:9" x14ac:dyDescent="0.3">
      <c r="A47" t="s">
        <v>269</v>
      </c>
      <c r="C47" s="2" t="s">
        <v>270</v>
      </c>
      <c r="E47" t="s">
        <v>37</v>
      </c>
      <c r="F47" t="s">
        <v>271</v>
      </c>
      <c r="G47" t="s">
        <v>272</v>
      </c>
      <c r="H47" t="s">
        <v>251</v>
      </c>
      <c r="I47" t="s">
        <v>260</v>
      </c>
    </row>
    <row r="48" spans="1:9" x14ac:dyDescent="0.3">
      <c r="A48" t="s">
        <v>273</v>
      </c>
      <c r="C48" s="2" t="s">
        <v>274</v>
      </c>
      <c r="E48" t="s">
        <v>38</v>
      </c>
      <c r="F48" t="s">
        <v>275</v>
      </c>
      <c r="G48" t="s">
        <v>276</v>
      </c>
      <c r="H48" t="s">
        <v>251</v>
      </c>
      <c r="I48" t="s">
        <v>277</v>
      </c>
    </row>
    <row r="49" spans="1:9" x14ac:dyDescent="0.3">
      <c r="A49" t="s">
        <v>278</v>
      </c>
      <c r="C49" s="2" t="s">
        <v>279</v>
      </c>
      <c r="E49" t="s">
        <v>39</v>
      </c>
      <c r="F49" t="s">
        <v>280</v>
      </c>
      <c r="G49" t="s">
        <v>281</v>
      </c>
      <c r="H49" t="s">
        <v>251</v>
      </c>
      <c r="I49" t="s">
        <v>282</v>
      </c>
    </row>
    <row r="50" spans="1:9" x14ac:dyDescent="0.3">
      <c r="A50" t="s">
        <v>283</v>
      </c>
      <c r="C50" s="2" t="s">
        <v>284</v>
      </c>
      <c r="E50" t="s">
        <v>40</v>
      </c>
      <c r="F50" t="s">
        <v>285</v>
      </c>
      <c r="G50" t="s">
        <v>286</v>
      </c>
      <c r="H50" t="s">
        <v>251</v>
      </c>
      <c r="I50" t="s">
        <v>287</v>
      </c>
    </row>
    <row r="51" spans="1:9" x14ac:dyDescent="0.3">
      <c r="A51" t="s">
        <v>288</v>
      </c>
      <c r="C51" s="2" t="s">
        <v>289</v>
      </c>
      <c r="E51" t="s">
        <v>41</v>
      </c>
      <c r="F51" t="s">
        <v>290</v>
      </c>
      <c r="G51" t="s">
        <v>291</v>
      </c>
      <c r="H51" t="s">
        <v>251</v>
      </c>
      <c r="I51" t="s">
        <v>287</v>
      </c>
    </row>
    <row r="52" spans="1:9" x14ac:dyDescent="0.3">
      <c r="A52" t="s">
        <v>292</v>
      </c>
      <c r="C52" s="2" t="s">
        <v>293</v>
      </c>
      <c r="E52" t="s">
        <v>42</v>
      </c>
      <c r="F52" t="s">
        <v>294</v>
      </c>
      <c r="G52" t="s">
        <v>295</v>
      </c>
      <c r="H52" t="s">
        <v>251</v>
      </c>
      <c r="I52" t="s">
        <v>296</v>
      </c>
    </row>
    <row r="53" spans="1:9" x14ac:dyDescent="0.3">
      <c r="A53" t="s">
        <v>297</v>
      </c>
      <c r="C53" s="2" t="s">
        <v>298</v>
      </c>
      <c r="E53" t="s">
        <v>43</v>
      </c>
      <c r="F53" t="s">
        <v>299</v>
      </c>
      <c r="G53" t="s">
        <v>300</v>
      </c>
      <c r="H53" t="s">
        <v>251</v>
      </c>
      <c r="I53" t="s">
        <v>296</v>
      </c>
    </row>
    <row r="54" spans="1:9" x14ac:dyDescent="0.3">
      <c r="A54" t="s">
        <v>301</v>
      </c>
      <c r="C54" s="2" t="s">
        <v>302</v>
      </c>
      <c r="E54" t="s">
        <v>44</v>
      </c>
      <c r="F54" t="s">
        <v>303</v>
      </c>
      <c r="G54" t="s">
        <v>304</v>
      </c>
      <c r="H54" t="s">
        <v>251</v>
      </c>
      <c r="I54" t="s">
        <v>296</v>
      </c>
    </row>
    <row r="55" spans="1:9" x14ac:dyDescent="0.3">
      <c r="A55" t="s">
        <v>305</v>
      </c>
      <c r="C55" s="2" t="s">
        <v>306</v>
      </c>
      <c r="E55" t="s">
        <v>45</v>
      </c>
      <c r="F55" t="s">
        <v>307</v>
      </c>
      <c r="G55" t="s">
        <v>308</v>
      </c>
      <c r="H55" t="s">
        <v>251</v>
      </c>
      <c r="I55" t="s">
        <v>296</v>
      </c>
    </row>
    <row r="56" spans="1:9" x14ac:dyDescent="0.3">
      <c r="A56" t="s">
        <v>309</v>
      </c>
      <c r="C56" s="2" t="s">
        <v>310</v>
      </c>
      <c r="E56" t="s">
        <v>46</v>
      </c>
      <c r="F56" t="s">
        <v>311</v>
      </c>
      <c r="G56" t="s">
        <v>312</v>
      </c>
      <c r="H56" t="s">
        <v>251</v>
      </c>
      <c r="I56" t="s">
        <v>313</v>
      </c>
    </row>
    <row r="57" spans="1:9" x14ac:dyDescent="0.3">
      <c r="A57" t="s">
        <v>314</v>
      </c>
      <c r="C57" s="2" t="s">
        <v>315</v>
      </c>
      <c r="E57" t="s">
        <v>47</v>
      </c>
      <c r="F57" t="s">
        <v>316</v>
      </c>
      <c r="G57" t="s">
        <v>317</v>
      </c>
      <c r="H57" t="s">
        <v>251</v>
      </c>
      <c r="I57" t="s">
        <v>318</v>
      </c>
    </row>
    <row r="58" spans="1:9" x14ac:dyDescent="0.3">
      <c r="A58" t="s">
        <v>319</v>
      </c>
      <c r="B58" t="s">
        <v>196</v>
      </c>
      <c r="C58" s="2"/>
      <c r="E58" t="s">
        <v>22</v>
      </c>
      <c r="F58" t="s">
        <v>320</v>
      </c>
      <c r="G58" t="s">
        <v>321</v>
      </c>
      <c r="H58" t="s">
        <v>322</v>
      </c>
      <c r="I58" t="s">
        <v>318</v>
      </c>
    </row>
    <row r="59" spans="1:9" x14ac:dyDescent="0.3">
      <c r="A59" t="s">
        <v>323</v>
      </c>
      <c r="C59" s="2" t="s">
        <v>324</v>
      </c>
      <c r="E59" t="s">
        <v>48</v>
      </c>
      <c r="F59" t="s">
        <v>325</v>
      </c>
      <c r="G59" t="s">
        <v>326</v>
      </c>
      <c r="H59" t="s">
        <v>251</v>
      </c>
      <c r="I59" t="s">
        <v>327</v>
      </c>
    </row>
    <row r="60" spans="1:9" x14ac:dyDescent="0.3">
      <c r="A60" t="s">
        <v>328</v>
      </c>
      <c r="C60" s="2" t="s">
        <v>329</v>
      </c>
      <c r="E60" t="s">
        <v>49</v>
      </c>
      <c r="F60" t="s">
        <v>330</v>
      </c>
      <c r="G60" t="s">
        <v>331</v>
      </c>
      <c r="H60" t="s">
        <v>251</v>
      </c>
      <c r="I60" t="s">
        <v>332</v>
      </c>
    </row>
    <row r="61" spans="1:9" x14ac:dyDescent="0.3">
      <c r="A61" t="s">
        <v>333</v>
      </c>
      <c r="B61" t="s">
        <v>159</v>
      </c>
      <c r="C61" s="2"/>
      <c r="E61" t="s">
        <v>31</v>
      </c>
      <c r="F61" t="s">
        <v>320</v>
      </c>
      <c r="G61" t="s">
        <v>334</v>
      </c>
      <c r="H61" t="s">
        <v>322</v>
      </c>
      <c r="I61" t="s">
        <v>332</v>
      </c>
    </row>
    <row r="62" spans="1:9" x14ac:dyDescent="0.3">
      <c r="A62" t="s">
        <v>335</v>
      </c>
      <c r="C62" s="2" t="s">
        <v>270</v>
      </c>
      <c r="E62" t="s">
        <v>31</v>
      </c>
      <c r="F62" t="s">
        <v>336</v>
      </c>
      <c r="G62" t="s">
        <v>337</v>
      </c>
      <c r="H62" t="s">
        <v>251</v>
      </c>
      <c r="I62" t="s">
        <v>338</v>
      </c>
    </row>
    <row r="63" spans="1:9" x14ac:dyDescent="0.3">
      <c r="A63" t="s">
        <v>339</v>
      </c>
      <c r="C63" s="2" t="s">
        <v>340</v>
      </c>
      <c r="E63" t="s">
        <v>50</v>
      </c>
      <c r="F63" t="s">
        <v>341</v>
      </c>
      <c r="G63" t="s">
        <v>342</v>
      </c>
      <c r="H63" t="s">
        <v>251</v>
      </c>
      <c r="I63" t="s">
        <v>338</v>
      </c>
    </row>
    <row r="64" spans="1:9" x14ac:dyDescent="0.3">
      <c r="A64" t="s">
        <v>343</v>
      </c>
      <c r="C64" s="2" t="s">
        <v>329</v>
      </c>
      <c r="E64" t="s">
        <v>51</v>
      </c>
      <c r="F64" t="s">
        <v>344</v>
      </c>
      <c r="G64" t="s">
        <v>345</v>
      </c>
      <c r="H64" t="s">
        <v>251</v>
      </c>
      <c r="I64" t="s">
        <v>338</v>
      </c>
    </row>
    <row r="65" spans="1:9" x14ac:dyDescent="0.3">
      <c r="A65" t="s">
        <v>346</v>
      </c>
      <c r="C65" s="2" t="s">
        <v>347</v>
      </c>
      <c r="E65" t="s">
        <v>52</v>
      </c>
      <c r="F65" t="s">
        <v>348</v>
      </c>
      <c r="G65" t="s">
        <v>349</v>
      </c>
      <c r="H65" t="s">
        <v>251</v>
      </c>
      <c r="I65" t="s">
        <v>350</v>
      </c>
    </row>
    <row r="66" spans="1:9" x14ac:dyDescent="0.3">
      <c r="A66" t="s">
        <v>351</v>
      </c>
      <c r="C66" s="2" t="s">
        <v>262</v>
      </c>
      <c r="E66" t="s">
        <v>53</v>
      </c>
      <c r="F66" t="s">
        <v>352</v>
      </c>
      <c r="G66" t="s">
        <v>353</v>
      </c>
      <c r="H66" t="s">
        <v>251</v>
      </c>
      <c r="I66" t="s">
        <v>354</v>
      </c>
    </row>
    <row r="67" spans="1:9" x14ac:dyDescent="0.3">
      <c r="A67" t="s">
        <v>355</v>
      </c>
      <c r="C67" s="2" t="s">
        <v>356</v>
      </c>
      <c r="E67" t="s">
        <v>54</v>
      </c>
      <c r="F67" t="s">
        <v>357</v>
      </c>
      <c r="G67" t="s">
        <v>358</v>
      </c>
      <c r="H67" t="s">
        <v>251</v>
      </c>
      <c r="I67" t="s">
        <v>354</v>
      </c>
    </row>
    <row r="68" spans="1:9" x14ac:dyDescent="0.3">
      <c r="A68" t="s">
        <v>359</v>
      </c>
      <c r="C68" s="2" t="s">
        <v>360</v>
      </c>
      <c r="E68" t="s">
        <v>54</v>
      </c>
      <c r="F68" t="s">
        <v>361</v>
      </c>
      <c r="G68" t="s">
        <v>362</v>
      </c>
      <c r="H68" t="s">
        <v>251</v>
      </c>
      <c r="I68" t="s">
        <v>354</v>
      </c>
    </row>
    <row r="69" spans="1:9" x14ac:dyDescent="0.3">
      <c r="A69" t="s">
        <v>363</v>
      </c>
      <c r="C69" s="2" t="s">
        <v>364</v>
      </c>
      <c r="E69" t="s">
        <v>55</v>
      </c>
      <c r="F69" t="s">
        <v>365</v>
      </c>
      <c r="G69" t="s">
        <v>366</v>
      </c>
      <c r="H69" t="s">
        <v>251</v>
      </c>
      <c r="I69" t="s">
        <v>354</v>
      </c>
    </row>
    <row r="70" spans="1:9" x14ac:dyDescent="0.3">
      <c r="B70" t="s">
        <v>367</v>
      </c>
      <c r="C70" t="s">
        <v>368</v>
      </c>
      <c r="E70" t="s">
        <v>369</v>
      </c>
      <c r="F70" t="s">
        <v>65</v>
      </c>
      <c r="G70" t="s">
        <v>370</v>
      </c>
      <c r="H70" t="s">
        <v>371</v>
      </c>
    </row>
    <row r="71" spans="1:9" x14ac:dyDescent="0.3">
      <c r="B71" t="s">
        <v>367</v>
      </c>
      <c r="C71" t="s">
        <v>368</v>
      </c>
      <c r="E71" t="s">
        <v>372</v>
      </c>
    </row>
    <row r="72" spans="1:9" x14ac:dyDescent="0.3">
      <c r="C72" t="s">
        <v>363</v>
      </c>
      <c r="G72" t="s">
        <v>373</v>
      </c>
      <c r="H72" t="s">
        <v>374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63DA-D490-465D-8557-79ECF6ED6236}">
  <sheetPr codeName="Sheet3"/>
  <dimension ref="A1:I72"/>
  <sheetViews>
    <sheetView workbookViewId="0">
      <selection activeCell="C68" sqref="A1:I71"/>
    </sheetView>
  </sheetViews>
  <sheetFormatPr defaultRowHeight="14.4" x14ac:dyDescent="0.3"/>
  <cols>
    <col min="1" max="1" width="11.109375" bestFit="1" customWidth="1"/>
    <col min="2" max="2" width="17.6640625" customWidth="1"/>
    <col min="3" max="4" width="11.109375" bestFit="1" customWidth="1"/>
    <col min="5" max="5" width="18" bestFit="1" customWidth="1"/>
    <col min="6" max="6" width="32.5546875" bestFit="1" customWidth="1"/>
    <col min="7" max="7" width="49.44140625" bestFit="1" customWidth="1"/>
    <col min="8" max="8" width="15.88671875" bestFit="1" customWidth="1"/>
    <col min="9" max="9" width="20" style="3" customWidth="1"/>
  </cols>
  <sheetData>
    <row r="1" spans="1:9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s="3" t="s">
        <v>64</v>
      </c>
    </row>
    <row r="2" spans="1:9" x14ac:dyDescent="0.3">
      <c r="A2" t="s">
        <v>65</v>
      </c>
      <c r="B2" t="s">
        <v>66</v>
      </c>
      <c r="C2" s="4" t="s">
        <v>67</v>
      </c>
      <c r="D2" t="s">
        <v>68</v>
      </c>
      <c r="G2" t="s">
        <v>69</v>
      </c>
      <c r="H2" t="s">
        <v>67</v>
      </c>
      <c r="I2" s="3" t="s">
        <v>70</v>
      </c>
    </row>
    <row r="3" spans="1:9" x14ac:dyDescent="0.3">
      <c r="B3" t="s">
        <v>71</v>
      </c>
      <c r="C3" s="4"/>
    </row>
    <row r="4" spans="1:9" x14ac:dyDescent="0.3">
      <c r="A4" t="s">
        <v>72</v>
      </c>
      <c r="B4" t="s">
        <v>73</v>
      </c>
      <c r="C4" s="4" t="s">
        <v>74</v>
      </c>
      <c r="E4" t="s">
        <v>75</v>
      </c>
      <c r="F4" t="s">
        <v>76</v>
      </c>
      <c r="G4" t="s">
        <v>77</v>
      </c>
      <c r="H4" t="s">
        <v>78</v>
      </c>
      <c r="I4" s="3" t="s">
        <v>79</v>
      </c>
    </row>
    <row r="5" spans="1:9" x14ac:dyDescent="0.3">
      <c r="A5" t="s">
        <v>82</v>
      </c>
      <c r="B5" s="5" t="s">
        <v>80</v>
      </c>
      <c r="C5" s="7" t="s">
        <v>82</v>
      </c>
      <c r="E5" t="s">
        <v>1</v>
      </c>
      <c r="F5" t="s">
        <v>83</v>
      </c>
      <c r="G5" t="s">
        <v>84</v>
      </c>
      <c r="H5" t="s">
        <v>85</v>
      </c>
      <c r="I5" s="3" t="s">
        <v>86</v>
      </c>
    </row>
    <row r="6" spans="1:9" x14ac:dyDescent="0.3">
      <c r="A6" t="s">
        <v>87</v>
      </c>
      <c r="B6" s="5" t="s">
        <v>80</v>
      </c>
      <c r="C6" s="7" t="s">
        <v>88</v>
      </c>
      <c r="E6" t="s">
        <v>2</v>
      </c>
      <c r="F6" t="s">
        <v>89</v>
      </c>
      <c r="G6" t="s">
        <v>90</v>
      </c>
      <c r="H6" t="s">
        <v>85</v>
      </c>
      <c r="I6" s="3" t="s">
        <v>86</v>
      </c>
    </row>
    <row r="7" spans="1:9" x14ac:dyDescent="0.3">
      <c r="A7" t="s">
        <v>91</v>
      </c>
      <c r="B7" s="5" t="s">
        <v>80</v>
      </c>
      <c r="C7" s="7" t="s">
        <v>92</v>
      </c>
      <c r="E7" t="s">
        <v>3</v>
      </c>
      <c r="F7" t="s">
        <v>93</v>
      </c>
      <c r="G7" t="s">
        <v>94</v>
      </c>
      <c r="H7" t="s">
        <v>85</v>
      </c>
      <c r="I7" s="3" t="s">
        <v>95</v>
      </c>
    </row>
    <row r="8" spans="1:9" x14ac:dyDescent="0.3">
      <c r="A8" t="s">
        <v>96</v>
      </c>
      <c r="B8" s="6" t="s">
        <v>82</v>
      </c>
      <c r="C8" s="7" t="s">
        <v>80</v>
      </c>
      <c r="E8" t="s">
        <v>1</v>
      </c>
      <c r="F8" t="s">
        <v>97</v>
      </c>
      <c r="G8" t="s">
        <v>98</v>
      </c>
      <c r="H8" t="s">
        <v>99</v>
      </c>
      <c r="I8" s="3" t="s">
        <v>95</v>
      </c>
    </row>
    <row r="9" spans="1:9" x14ac:dyDescent="0.3">
      <c r="A9" t="s">
        <v>100</v>
      </c>
      <c r="B9" s="5" t="s">
        <v>80</v>
      </c>
      <c r="C9" s="7" t="s">
        <v>101</v>
      </c>
      <c r="E9" t="s">
        <v>4</v>
      </c>
      <c r="F9" t="s">
        <v>0</v>
      </c>
      <c r="G9" t="s">
        <v>102</v>
      </c>
      <c r="H9" t="s">
        <v>85</v>
      </c>
      <c r="I9" s="3" t="s">
        <v>103</v>
      </c>
    </row>
    <row r="10" spans="1:9" x14ac:dyDescent="0.3">
      <c r="A10" t="s">
        <v>104</v>
      </c>
      <c r="B10" s="5" t="s">
        <v>80</v>
      </c>
      <c r="C10" s="7" t="s">
        <v>105</v>
      </c>
      <c r="E10" t="s">
        <v>5</v>
      </c>
      <c r="F10" t="s">
        <v>106</v>
      </c>
      <c r="G10" t="s">
        <v>107</v>
      </c>
      <c r="H10" t="s">
        <v>85</v>
      </c>
      <c r="I10" s="3" t="s">
        <v>108</v>
      </c>
    </row>
    <row r="11" spans="1:9" x14ac:dyDescent="0.3">
      <c r="A11" t="s">
        <v>109</v>
      </c>
      <c r="B11" s="5" t="s">
        <v>80</v>
      </c>
      <c r="C11" s="7" t="s">
        <v>110</v>
      </c>
      <c r="E11" t="s">
        <v>6</v>
      </c>
      <c r="F11" t="s">
        <v>111</v>
      </c>
      <c r="G11" t="s">
        <v>112</v>
      </c>
      <c r="H11" t="s">
        <v>85</v>
      </c>
      <c r="I11" s="3" t="s">
        <v>108</v>
      </c>
    </row>
    <row r="12" spans="1:9" x14ac:dyDescent="0.3">
      <c r="A12" t="s">
        <v>113</v>
      </c>
      <c r="B12" s="5" t="s">
        <v>80</v>
      </c>
      <c r="C12" s="7" t="s">
        <v>114</v>
      </c>
      <c r="E12" t="s">
        <v>7</v>
      </c>
      <c r="F12" t="s">
        <v>115</v>
      </c>
      <c r="G12" t="s">
        <v>116</v>
      </c>
      <c r="H12" t="s">
        <v>85</v>
      </c>
      <c r="I12" s="3" t="s">
        <v>117</v>
      </c>
    </row>
    <row r="13" spans="1:9" x14ac:dyDescent="0.3">
      <c r="A13" t="s">
        <v>118</v>
      </c>
      <c r="B13" s="5" t="s">
        <v>80</v>
      </c>
      <c r="C13" s="7" t="s">
        <v>119</v>
      </c>
      <c r="E13" t="s">
        <v>8</v>
      </c>
      <c r="F13" t="s">
        <v>120</v>
      </c>
      <c r="G13" t="s">
        <v>121</v>
      </c>
      <c r="H13" t="s">
        <v>85</v>
      </c>
      <c r="I13" s="3" t="s">
        <v>117</v>
      </c>
    </row>
    <row r="14" spans="1:9" x14ac:dyDescent="0.3">
      <c r="A14" t="s">
        <v>122</v>
      </c>
      <c r="B14" s="5" t="s">
        <v>80</v>
      </c>
      <c r="C14" s="7" t="s">
        <v>123</v>
      </c>
      <c r="E14" t="s">
        <v>9</v>
      </c>
      <c r="F14" t="s">
        <v>124</v>
      </c>
      <c r="G14" t="s">
        <v>125</v>
      </c>
      <c r="H14" t="s">
        <v>85</v>
      </c>
      <c r="I14" s="3" t="s">
        <v>126</v>
      </c>
    </row>
    <row r="15" spans="1:9" x14ac:dyDescent="0.3">
      <c r="A15" t="s">
        <v>127</v>
      </c>
      <c r="B15" s="5" t="s">
        <v>80</v>
      </c>
      <c r="C15" s="7" t="s">
        <v>128</v>
      </c>
      <c r="E15" t="s">
        <v>10</v>
      </c>
      <c r="F15" t="s">
        <v>129</v>
      </c>
      <c r="G15" t="s">
        <v>130</v>
      </c>
      <c r="H15" t="s">
        <v>85</v>
      </c>
      <c r="I15" s="3" t="s">
        <v>126</v>
      </c>
    </row>
    <row r="16" spans="1:9" x14ac:dyDescent="0.3">
      <c r="A16" t="s">
        <v>131</v>
      </c>
      <c r="B16" s="5" t="s">
        <v>80</v>
      </c>
      <c r="C16" s="7" t="s">
        <v>132</v>
      </c>
      <c r="E16" t="s">
        <v>11</v>
      </c>
      <c r="F16" t="s">
        <v>133</v>
      </c>
      <c r="G16" t="s">
        <v>134</v>
      </c>
      <c r="H16" t="s">
        <v>85</v>
      </c>
      <c r="I16" s="3" t="s">
        <v>135</v>
      </c>
    </row>
    <row r="17" spans="1:9" x14ac:dyDescent="0.3">
      <c r="A17" t="s">
        <v>136</v>
      </c>
      <c r="B17" s="5" t="s">
        <v>80</v>
      </c>
      <c r="C17" s="7" t="s">
        <v>137</v>
      </c>
      <c r="E17" t="s">
        <v>12</v>
      </c>
      <c r="F17" t="s">
        <v>138</v>
      </c>
      <c r="G17" t="s">
        <v>139</v>
      </c>
      <c r="H17" t="s">
        <v>85</v>
      </c>
      <c r="I17" s="3" t="s">
        <v>140</v>
      </c>
    </row>
    <row r="18" spans="1:9" x14ac:dyDescent="0.3">
      <c r="A18" t="s">
        <v>141</v>
      </c>
      <c r="B18" s="5" t="s">
        <v>80</v>
      </c>
      <c r="C18" s="7" t="s">
        <v>142</v>
      </c>
      <c r="E18" t="s">
        <v>12</v>
      </c>
      <c r="F18" t="s">
        <v>143</v>
      </c>
      <c r="G18" t="s">
        <v>144</v>
      </c>
      <c r="H18" t="s">
        <v>85</v>
      </c>
      <c r="I18" s="3" t="s">
        <v>140</v>
      </c>
    </row>
    <row r="19" spans="1:9" x14ac:dyDescent="0.3">
      <c r="A19" t="s">
        <v>145</v>
      </c>
      <c r="B19" s="5" t="s">
        <v>80</v>
      </c>
      <c r="C19" s="7" t="s">
        <v>146</v>
      </c>
      <c r="E19" t="s">
        <v>13</v>
      </c>
      <c r="F19" t="s">
        <v>147</v>
      </c>
      <c r="G19" t="s">
        <v>148</v>
      </c>
      <c r="H19" t="s">
        <v>85</v>
      </c>
      <c r="I19" s="3" t="s">
        <v>149</v>
      </c>
    </row>
    <row r="20" spans="1:9" x14ac:dyDescent="0.3">
      <c r="A20" t="s">
        <v>150</v>
      </c>
      <c r="B20" s="5" t="s">
        <v>80</v>
      </c>
      <c r="C20" s="7" t="s">
        <v>137</v>
      </c>
      <c r="E20" t="s">
        <v>14</v>
      </c>
      <c r="F20" t="s">
        <v>151</v>
      </c>
      <c r="G20" t="s">
        <v>152</v>
      </c>
      <c r="H20" t="s">
        <v>85</v>
      </c>
      <c r="I20" s="3" t="s">
        <v>153</v>
      </c>
    </row>
    <row r="21" spans="1:9" x14ac:dyDescent="0.3">
      <c r="A21" t="s">
        <v>154</v>
      </c>
      <c r="B21" s="5" t="s">
        <v>80</v>
      </c>
      <c r="C21" s="7" t="s">
        <v>155</v>
      </c>
      <c r="E21" t="s">
        <v>15</v>
      </c>
      <c r="F21" t="s">
        <v>156</v>
      </c>
      <c r="G21" t="s">
        <v>157</v>
      </c>
      <c r="H21" t="s">
        <v>85</v>
      </c>
      <c r="I21" s="3" t="s">
        <v>153</v>
      </c>
    </row>
    <row r="22" spans="1:9" x14ac:dyDescent="0.3">
      <c r="A22" t="s">
        <v>158</v>
      </c>
      <c r="B22" s="5" t="s">
        <v>80</v>
      </c>
      <c r="C22" s="7" t="s">
        <v>159</v>
      </c>
      <c r="E22" t="s">
        <v>16</v>
      </c>
      <c r="F22" t="s">
        <v>160</v>
      </c>
      <c r="G22" t="s">
        <v>161</v>
      </c>
      <c r="H22" t="s">
        <v>85</v>
      </c>
      <c r="I22" s="3" t="s">
        <v>162</v>
      </c>
    </row>
    <row r="23" spans="1:9" x14ac:dyDescent="0.3">
      <c r="A23" t="s">
        <v>163</v>
      </c>
      <c r="B23" s="5" t="s">
        <v>80</v>
      </c>
      <c r="C23" s="7" t="s">
        <v>164</v>
      </c>
      <c r="E23" t="s">
        <v>17</v>
      </c>
      <c r="F23" t="s">
        <v>165</v>
      </c>
      <c r="G23" t="s">
        <v>166</v>
      </c>
      <c r="H23" t="s">
        <v>85</v>
      </c>
      <c r="I23" s="3" t="s">
        <v>162</v>
      </c>
    </row>
    <row r="24" spans="1:9" x14ac:dyDescent="0.3">
      <c r="A24" t="s">
        <v>167</v>
      </c>
      <c r="B24" s="6" t="s">
        <v>80</v>
      </c>
      <c r="C24" s="7" t="s">
        <v>168</v>
      </c>
      <c r="E24" t="s">
        <v>18</v>
      </c>
      <c r="F24" t="s">
        <v>169</v>
      </c>
      <c r="G24" t="s">
        <v>170</v>
      </c>
      <c r="H24" t="s">
        <v>85</v>
      </c>
      <c r="I24" s="3" t="s">
        <v>162</v>
      </c>
    </row>
    <row r="25" spans="1:9" x14ac:dyDescent="0.3">
      <c r="A25" t="s">
        <v>171</v>
      </c>
      <c r="B25" s="6" t="s">
        <v>123</v>
      </c>
      <c r="C25" s="7" t="s">
        <v>80</v>
      </c>
      <c r="E25" t="s">
        <v>9</v>
      </c>
      <c r="F25" t="s">
        <v>97</v>
      </c>
      <c r="G25" t="s">
        <v>172</v>
      </c>
      <c r="H25" t="s">
        <v>99</v>
      </c>
      <c r="I25" s="3" t="s">
        <v>173</v>
      </c>
    </row>
    <row r="26" spans="1:9" x14ac:dyDescent="0.3">
      <c r="A26" t="s">
        <v>174</v>
      </c>
      <c r="B26" s="6" t="s">
        <v>175</v>
      </c>
      <c r="C26" s="7" t="s">
        <v>80</v>
      </c>
      <c r="E26" t="s">
        <v>80</v>
      </c>
      <c r="F26" t="s">
        <v>176</v>
      </c>
      <c r="G26" t="s">
        <v>177</v>
      </c>
      <c r="H26" t="s">
        <v>178</v>
      </c>
      <c r="I26" s="3" t="s">
        <v>173</v>
      </c>
    </row>
    <row r="27" spans="1:9" x14ac:dyDescent="0.3">
      <c r="A27" t="s">
        <v>179</v>
      </c>
      <c r="B27" s="6" t="s">
        <v>180</v>
      </c>
      <c r="C27" s="7" t="s">
        <v>80</v>
      </c>
      <c r="E27" t="s">
        <v>80</v>
      </c>
      <c r="F27" t="s">
        <v>181</v>
      </c>
      <c r="G27" t="s">
        <v>177</v>
      </c>
      <c r="H27" t="s">
        <v>178</v>
      </c>
      <c r="I27" s="3" t="s">
        <v>173</v>
      </c>
    </row>
    <row r="28" spans="1:9" x14ac:dyDescent="0.3">
      <c r="A28" t="s">
        <v>182</v>
      </c>
      <c r="B28" s="5" t="s">
        <v>80</v>
      </c>
      <c r="C28" s="7" t="s">
        <v>183</v>
      </c>
      <c r="E28" t="s">
        <v>19</v>
      </c>
      <c r="F28" t="s">
        <v>184</v>
      </c>
      <c r="G28" t="s">
        <v>185</v>
      </c>
      <c r="H28" t="s">
        <v>85</v>
      </c>
      <c r="I28" s="3" t="s">
        <v>186</v>
      </c>
    </row>
    <row r="29" spans="1:9" x14ac:dyDescent="0.3">
      <c r="A29" t="s">
        <v>187</v>
      </c>
      <c r="B29" s="5" t="s">
        <v>80</v>
      </c>
      <c r="C29" s="7" t="s">
        <v>188</v>
      </c>
      <c r="E29" t="s">
        <v>20</v>
      </c>
      <c r="F29" t="s">
        <v>189</v>
      </c>
      <c r="G29" t="s">
        <v>190</v>
      </c>
      <c r="H29" t="s">
        <v>85</v>
      </c>
      <c r="I29" s="3" t="s">
        <v>186</v>
      </c>
    </row>
    <row r="30" spans="1:9" x14ac:dyDescent="0.3">
      <c r="A30" t="s">
        <v>191</v>
      </c>
      <c r="B30" s="5" t="s">
        <v>80</v>
      </c>
      <c r="C30" s="7" t="s">
        <v>192</v>
      </c>
      <c r="E30" t="s">
        <v>21</v>
      </c>
      <c r="F30" t="s">
        <v>193</v>
      </c>
      <c r="G30" t="s">
        <v>194</v>
      </c>
      <c r="H30" t="s">
        <v>85</v>
      </c>
      <c r="I30" s="3" t="s">
        <v>186</v>
      </c>
    </row>
    <row r="31" spans="1:9" x14ac:dyDescent="0.3">
      <c r="A31" t="s">
        <v>195</v>
      </c>
      <c r="B31" s="5" t="s">
        <v>80</v>
      </c>
      <c r="C31" s="7" t="s">
        <v>196</v>
      </c>
      <c r="E31" t="s">
        <v>22</v>
      </c>
      <c r="F31" t="s">
        <v>197</v>
      </c>
      <c r="G31" t="s">
        <v>198</v>
      </c>
      <c r="H31" t="s">
        <v>85</v>
      </c>
      <c r="I31" s="3" t="s">
        <v>199</v>
      </c>
    </row>
    <row r="32" spans="1:9" x14ac:dyDescent="0.3">
      <c r="A32" t="s">
        <v>200</v>
      </c>
      <c r="B32" s="5" t="s">
        <v>80</v>
      </c>
      <c r="C32" s="7" t="s">
        <v>201</v>
      </c>
      <c r="E32" t="s">
        <v>23</v>
      </c>
      <c r="F32" t="s">
        <v>202</v>
      </c>
      <c r="G32" t="s">
        <v>203</v>
      </c>
      <c r="H32" t="s">
        <v>85</v>
      </c>
      <c r="I32" s="3" t="s">
        <v>199</v>
      </c>
    </row>
    <row r="33" spans="1:9" x14ac:dyDescent="0.3">
      <c r="A33" t="s">
        <v>204</v>
      </c>
      <c r="B33" s="5" t="s">
        <v>80</v>
      </c>
      <c r="C33" s="7" t="s">
        <v>146</v>
      </c>
      <c r="E33" t="s">
        <v>24</v>
      </c>
      <c r="F33" t="s">
        <v>205</v>
      </c>
      <c r="G33" t="s">
        <v>206</v>
      </c>
      <c r="H33" t="s">
        <v>85</v>
      </c>
      <c r="I33" s="3" t="s">
        <v>199</v>
      </c>
    </row>
    <row r="34" spans="1:9" x14ac:dyDescent="0.3">
      <c r="A34" t="s">
        <v>207</v>
      </c>
      <c r="B34" s="5" t="s">
        <v>80</v>
      </c>
      <c r="C34" s="7" t="s">
        <v>208</v>
      </c>
      <c r="E34" t="s">
        <v>25</v>
      </c>
      <c r="F34" t="s">
        <v>209</v>
      </c>
      <c r="G34" t="s">
        <v>210</v>
      </c>
      <c r="H34" t="s">
        <v>85</v>
      </c>
      <c r="I34" s="3" t="s">
        <v>211</v>
      </c>
    </row>
    <row r="35" spans="1:9" x14ac:dyDescent="0.3">
      <c r="A35" t="s">
        <v>212</v>
      </c>
      <c r="B35" s="5" t="s">
        <v>80</v>
      </c>
      <c r="C35" s="7" t="s">
        <v>213</v>
      </c>
      <c r="E35" t="s">
        <v>26</v>
      </c>
      <c r="F35" t="s">
        <v>214</v>
      </c>
      <c r="G35" t="s">
        <v>215</v>
      </c>
      <c r="H35" t="s">
        <v>85</v>
      </c>
      <c r="I35" s="3" t="s">
        <v>216</v>
      </c>
    </row>
    <row r="36" spans="1:9" x14ac:dyDescent="0.3">
      <c r="A36" t="s">
        <v>217</v>
      </c>
      <c r="B36" s="5" t="s">
        <v>80</v>
      </c>
      <c r="C36" s="7" t="s">
        <v>218</v>
      </c>
      <c r="E36" t="s">
        <v>27</v>
      </c>
      <c r="F36" t="s">
        <v>219</v>
      </c>
      <c r="G36" t="s">
        <v>220</v>
      </c>
      <c r="H36" t="s">
        <v>85</v>
      </c>
      <c r="I36" s="3" t="s">
        <v>216</v>
      </c>
    </row>
    <row r="37" spans="1:9" x14ac:dyDescent="0.3">
      <c r="A37" t="s">
        <v>221</v>
      </c>
      <c r="B37" s="5" t="s">
        <v>80</v>
      </c>
      <c r="C37" s="7" t="s">
        <v>222</v>
      </c>
      <c r="E37" t="s">
        <v>28</v>
      </c>
      <c r="F37" t="s">
        <v>223</v>
      </c>
      <c r="G37" t="s">
        <v>224</v>
      </c>
      <c r="H37" t="s">
        <v>85</v>
      </c>
      <c r="I37" s="3" t="s">
        <v>216</v>
      </c>
    </row>
    <row r="38" spans="1:9" x14ac:dyDescent="0.3">
      <c r="A38" t="s">
        <v>225</v>
      </c>
      <c r="B38" s="5" t="s">
        <v>80</v>
      </c>
      <c r="C38" s="7" t="s">
        <v>226</v>
      </c>
      <c r="E38" t="s">
        <v>29</v>
      </c>
      <c r="F38" t="s">
        <v>227</v>
      </c>
      <c r="G38" t="s">
        <v>228</v>
      </c>
      <c r="H38" t="s">
        <v>85</v>
      </c>
      <c r="I38" s="3" t="s">
        <v>229</v>
      </c>
    </row>
    <row r="39" spans="1:9" x14ac:dyDescent="0.3">
      <c r="A39" t="s">
        <v>230</v>
      </c>
      <c r="B39" s="5" t="s">
        <v>80</v>
      </c>
      <c r="C39" s="7" t="s">
        <v>231</v>
      </c>
      <c r="E39" t="s">
        <v>30</v>
      </c>
      <c r="F39" t="s">
        <v>232</v>
      </c>
      <c r="G39" t="s">
        <v>233</v>
      </c>
      <c r="H39" t="s">
        <v>85</v>
      </c>
      <c r="I39" s="3" t="s">
        <v>234</v>
      </c>
    </row>
    <row r="40" spans="1:9" x14ac:dyDescent="0.3">
      <c r="A40" t="s">
        <v>235</v>
      </c>
      <c r="B40" s="5" t="s">
        <v>80</v>
      </c>
      <c r="C40" s="7" t="s">
        <v>159</v>
      </c>
      <c r="E40" t="s">
        <v>31</v>
      </c>
      <c r="F40" t="s">
        <v>236</v>
      </c>
      <c r="G40" t="s">
        <v>237</v>
      </c>
      <c r="H40" t="s">
        <v>85</v>
      </c>
      <c r="I40" s="3" t="s">
        <v>238</v>
      </c>
    </row>
    <row r="41" spans="1:9" x14ac:dyDescent="0.3">
      <c r="A41" t="s">
        <v>247</v>
      </c>
      <c r="B41" s="5"/>
      <c r="C41" s="7" t="s">
        <v>248</v>
      </c>
      <c r="E41" t="s">
        <v>32</v>
      </c>
      <c r="F41" t="s">
        <v>249</v>
      </c>
      <c r="G41" t="s">
        <v>250</v>
      </c>
      <c r="H41" t="s">
        <v>251</v>
      </c>
      <c r="I41" s="3" t="s">
        <v>252</v>
      </c>
    </row>
    <row r="42" spans="1:9" x14ac:dyDescent="0.3">
      <c r="A42" t="s">
        <v>253</v>
      </c>
      <c r="B42" s="5"/>
      <c r="C42" s="7" t="s">
        <v>254</v>
      </c>
      <c r="E42" t="s">
        <v>33</v>
      </c>
      <c r="F42" t="s">
        <v>255</v>
      </c>
      <c r="G42" t="s">
        <v>256</v>
      </c>
      <c r="H42" t="s">
        <v>251</v>
      </c>
      <c r="I42" s="3" t="s">
        <v>252</v>
      </c>
    </row>
    <row r="43" spans="1:9" x14ac:dyDescent="0.3">
      <c r="A43" t="s">
        <v>257</v>
      </c>
      <c r="B43" s="5"/>
      <c r="C43" s="7" t="s">
        <v>248</v>
      </c>
      <c r="E43" t="s">
        <v>34</v>
      </c>
      <c r="F43" t="s">
        <v>258</v>
      </c>
      <c r="G43" t="s">
        <v>259</v>
      </c>
      <c r="H43" t="s">
        <v>251</v>
      </c>
      <c r="I43" s="3" t="s">
        <v>260</v>
      </c>
    </row>
    <row r="44" spans="1:9" x14ac:dyDescent="0.3">
      <c r="A44" t="s">
        <v>261</v>
      </c>
      <c r="B44" s="5"/>
      <c r="C44" s="7" t="s">
        <v>262</v>
      </c>
      <c r="E44" t="s">
        <v>35</v>
      </c>
      <c r="F44" t="s">
        <v>263</v>
      </c>
      <c r="G44" t="s">
        <v>264</v>
      </c>
      <c r="H44" t="s">
        <v>251</v>
      </c>
      <c r="I44" s="3" t="s">
        <v>260</v>
      </c>
    </row>
    <row r="45" spans="1:9" x14ac:dyDescent="0.3">
      <c r="A45" t="s">
        <v>265</v>
      </c>
      <c r="B45" s="5"/>
      <c r="C45" s="7" t="s">
        <v>266</v>
      </c>
      <c r="E45" t="s">
        <v>36</v>
      </c>
      <c r="F45" t="s">
        <v>267</v>
      </c>
      <c r="G45" t="s">
        <v>268</v>
      </c>
      <c r="H45" t="s">
        <v>251</v>
      </c>
      <c r="I45" s="3" t="s">
        <v>260</v>
      </c>
    </row>
    <row r="46" spans="1:9" x14ac:dyDescent="0.3">
      <c r="A46" t="s">
        <v>269</v>
      </c>
      <c r="B46" s="5"/>
      <c r="C46" s="7" t="s">
        <v>270</v>
      </c>
      <c r="E46" t="s">
        <v>37</v>
      </c>
      <c r="F46" t="s">
        <v>271</v>
      </c>
      <c r="G46" t="s">
        <v>272</v>
      </c>
      <c r="H46" t="s">
        <v>251</v>
      </c>
      <c r="I46" s="3" t="s">
        <v>260</v>
      </c>
    </row>
    <row r="47" spans="1:9" x14ac:dyDescent="0.3">
      <c r="A47" t="s">
        <v>273</v>
      </c>
      <c r="B47" s="5"/>
      <c r="C47" s="7" t="s">
        <v>274</v>
      </c>
      <c r="E47" t="s">
        <v>38</v>
      </c>
      <c r="F47" t="s">
        <v>275</v>
      </c>
      <c r="G47" t="s">
        <v>276</v>
      </c>
      <c r="H47" t="s">
        <v>251</v>
      </c>
      <c r="I47" s="3" t="s">
        <v>277</v>
      </c>
    </row>
    <row r="48" spans="1:9" x14ac:dyDescent="0.3">
      <c r="A48" t="s">
        <v>278</v>
      </c>
      <c r="B48" s="5"/>
      <c r="C48" s="7" t="s">
        <v>279</v>
      </c>
      <c r="E48" t="s">
        <v>39</v>
      </c>
      <c r="F48" t="s">
        <v>280</v>
      </c>
      <c r="G48" t="s">
        <v>281</v>
      </c>
      <c r="H48" t="s">
        <v>251</v>
      </c>
      <c r="I48" s="3" t="s">
        <v>282</v>
      </c>
    </row>
    <row r="49" spans="1:9" x14ac:dyDescent="0.3">
      <c r="A49" t="s">
        <v>283</v>
      </c>
      <c r="B49" s="5"/>
      <c r="C49" s="7" t="s">
        <v>284</v>
      </c>
      <c r="E49" t="s">
        <v>40</v>
      </c>
      <c r="F49" t="s">
        <v>285</v>
      </c>
      <c r="G49" t="s">
        <v>286</v>
      </c>
      <c r="H49" t="s">
        <v>251</v>
      </c>
      <c r="I49" s="3" t="s">
        <v>287</v>
      </c>
    </row>
    <row r="50" spans="1:9" x14ac:dyDescent="0.3">
      <c r="A50" t="s">
        <v>288</v>
      </c>
      <c r="B50" s="5"/>
      <c r="C50" s="7" t="s">
        <v>289</v>
      </c>
      <c r="E50" t="s">
        <v>41</v>
      </c>
      <c r="F50" t="s">
        <v>290</v>
      </c>
      <c r="G50" t="s">
        <v>291</v>
      </c>
      <c r="H50" t="s">
        <v>251</v>
      </c>
      <c r="I50" s="3" t="s">
        <v>287</v>
      </c>
    </row>
    <row r="51" spans="1:9" x14ac:dyDescent="0.3">
      <c r="A51" t="s">
        <v>292</v>
      </c>
      <c r="B51" s="5"/>
      <c r="C51" s="7" t="s">
        <v>293</v>
      </c>
      <c r="E51" t="s">
        <v>42</v>
      </c>
      <c r="F51" t="s">
        <v>294</v>
      </c>
      <c r="G51" t="s">
        <v>295</v>
      </c>
      <c r="H51" t="s">
        <v>251</v>
      </c>
      <c r="I51" s="3" t="s">
        <v>296</v>
      </c>
    </row>
    <row r="52" spans="1:9" x14ac:dyDescent="0.3">
      <c r="A52" t="s">
        <v>297</v>
      </c>
      <c r="B52" s="5"/>
      <c r="C52" s="7" t="s">
        <v>298</v>
      </c>
      <c r="E52" t="s">
        <v>43</v>
      </c>
      <c r="F52" t="s">
        <v>299</v>
      </c>
      <c r="G52" t="s">
        <v>300</v>
      </c>
      <c r="H52" t="s">
        <v>251</v>
      </c>
      <c r="I52" s="3" t="s">
        <v>296</v>
      </c>
    </row>
    <row r="53" spans="1:9" x14ac:dyDescent="0.3">
      <c r="A53" t="s">
        <v>301</v>
      </c>
      <c r="B53" s="5"/>
      <c r="C53" s="7" t="s">
        <v>302</v>
      </c>
      <c r="E53" t="s">
        <v>44</v>
      </c>
      <c r="F53" t="s">
        <v>303</v>
      </c>
      <c r="G53" t="s">
        <v>304</v>
      </c>
      <c r="H53" t="s">
        <v>251</v>
      </c>
      <c r="I53" s="3" t="s">
        <v>296</v>
      </c>
    </row>
    <row r="54" spans="1:9" x14ac:dyDescent="0.3">
      <c r="A54" t="s">
        <v>305</v>
      </c>
      <c r="B54" s="5"/>
      <c r="C54" s="7" t="s">
        <v>306</v>
      </c>
      <c r="E54" t="s">
        <v>45</v>
      </c>
      <c r="F54" t="s">
        <v>307</v>
      </c>
      <c r="G54" t="s">
        <v>308</v>
      </c>
      <c r="H54" t="s">
        <v>251</v>
      </c>
      <c r="I54" s="3" t="s">
        <v>296</v>
      </c>
    </row>
    <row r="55" spans="1:9" x14ac:dyDescent="0.3">
      <c r="A55" t="s">
        <v>309</v>
      </c>
      <c r="B55" s="5"/>
      <c r="C55" s="7" t="s">
        <v>310</v>
      </c>
      <c r="E55" t="s">
        <v>46</v>
      </c>
      <c r="F55" t="s">
        <v>311</v>
      </c>
      <c r="G55" t="s">
        <v>312</v>
      </c>
      <c r="H55" t="s">
        <v>251</v>
      </c>
      <c r="I55" s="3" t="s">
        <v>313</v>
      </c>
    </row>
    <row r="56" spans="1:9" x14ac:dyDescent="0.3">
      <c r="A56" t="s">
        <v>314</v>
      </c>
      <c r="B56" s="5"/>
      <c r="C56" s="7" t="s">
        <v>315</v>
      </c>
      <c r="E56" t="s">
        <v>47</v>
      </c>
      <c r="F56" t="s">
        <v>316</v>
      </c>
      <c r="G56" t="s">
        <v>317</v>
      </c>
      <c r="H56" t="s">
        <v>251</v>
      </c>
      <c r="I56" s="3" t="s">
        <v>318</v>
      </c>
    </row>
    <row r="57" spans="1:9" x14ac:dyDescent="0.3">
      <c r="A57" t="s">
        <v>319</v>
      </c>
      <c r="B57" s="6" t="s">
        <v>196</v>
      </c>
      <c r="C57" s="7"/>
      <c r="E57" t="s">
        <v>22</v>
      </c>
      <c r="F57" t="s">
        <v>320</v>
      </c>
      <c r="G57" t="s">
        <v>321</v>
      </c>
      <c r="H57" t="s">
        <v>322</v>
      </c>
      <c r="I57" s="3" t="s">
        <v>318</v>
      </c>
    </row>
    <row r="58" spans="1:9" x14ac:dyDescent="0.3">
      <c r="A58" t="s">
        <v>323</v>
      </c>
      <c r="B58" s="5"/>
      <c r="C58" s="7" t="s">
        <v>324</v>
      </c>
      <c r="E58" t="s">
        <v>48</v>
      </c>
      <c r="F58" t="s">
        <v>325</v>
      </c>
      <c r="G58" t="s">
        <v>326</v>
      </c>
      <c r="H58" t="s">
        <v>251</v>
      </c>
      <c r="I58" s="3" t="s">
        <v>327</v>
      </c>
    </row>
    <row r="59" spans="1:9" x14ac:dyDescent="0.3">
      <c r="A59" t="s">
        <v>328</v>
      </c>
      <c r="B59" s="5"/>
      <c r="C59" s="7" t="s">
        <v>329</v>
      </c>
      <c r="E59" t="s">
        <v>49</v>
      </c>
      <c r="F59" t="s">
        <v>330</v>
      </c>
      <c r="G59" t="s">
        <v>331</v>
      </c>
      <c r="H59" t="s">
        <v>251</v>
      </c>
      <c r="I59" s="3" t="s">
        <v>332</v>
      </c>
    </row>
    <row r="60" spans="1:9" x14ac:dyDescent="0.3">
      <c r="A60" t="s">
        <v>333</v>
      </c>
      <c r="B60" s="6" t="s">
        <v>159</v>
      </c>
      <c r="C60" s="7"/>
      <c r="E60" t="s">
        <v>31</v>
      </c>
      <c r="F60" t="s">
        <v>320</v>
      </c>
      <c r="G60" t="s">
        <v>334</v>
      </c>
      <c r="H60" t="s">
        <v>322</v>
      </c>
      <c r="I60" s="3" t="s">
        <v>332</v>
      </c>
    </row>
    <row r="61" spans="1:9" x14ac:dyDescent="0.3">
      <c r="A61" t="s">
        <v>335</v>
      </c>
      <c r="B61" s="5"/>
      <c r="C61" s="7" t="s">
        <v>270</v>
      </c>
      <c r="E61" t="s">
        <v>31</v>
      </c>
      <c r="F61" t="s">
        <v>336</v>
      </c>
      <c r="G61" t="s">
        <v>337</v>
      </c>
      <c r="H61" t="s">
        <v>251</v>
      </c>
      <c r="I61" s="3" t="s">
        <v>338</v>
      </c>
    </row>
    <row r="62" spans="1:9" x14ac:dyDescent="0.3">
      <c r="A62" t="s">
        <v>339</v>
      </c>
      <c r="B62" s="5"/>
      <c r="C62" s="7" t="s">
        <v>340</v>
      </c>
      <c r="E62" t="s">
        <v>50</v>
      </c>
      <c r="F62" t="s">
        <v>341</v>
      </c>
      <c r="G62" t="s">
        <v>342</v>
      </c>
      <c r="H62" t="s">
        <v>251</v>
      </c>
      <c r="I62" s="3" t="s">
        <v>338</v>
      </c>
    </row>
    <row r="63" spans="1:9" x14ac:dyDescent="0.3">
      <c r="A63" t="s">
        <v>343</v>
      </c>
      <c r="B63" s="5"/>
      <c r="C63" s="7" t="s">
        <v>329</v>
      </c>
      <c r="E63" t="s">
        <v>51</v>
      </c>
      <c r="F63" t="s">
        <v>344</v>
      </c>
      <c r="G63" t="s">
        <v>345</v>
      </c>
      <c r="H63" t="s">
        <v>251</v>
      </c>
      <c r="I63" s="3" t="s">
        <v>338</v>
      </c>
    </row>
    <row r="64" spans="1:9" x14ac:dyDescent="0.3">
      <c r="A64" t="s">
        <v>346</v>
      </c>
      <c r="B64" s="5"/>
      <c r="C64" s="7" t="s">
        <v>347</v>
      </c>
      <c r="E64" t="s">
        <v>52</v>
      </c>
      <c r="F64" t="s">
        <v>348</v>
      </c>
      <c r="G64" t="s">
        <v>349</v>
      </c>
      <c r="H64" t="s">
        <v>251</v>
      </c>
      <c r="I64" s="3" t="s">
        <v>350</v>
      </c>
    </row>
    <row r="65" spans="1:9" x14ac:dyDescent="0.3">
      <c r="A65" t="s">
        <v>351</v>
      </c>
      <c r="B65" s="5"/>
      <c r="C65" s="7" t="s">
        <v>262</v>
      </c>
      <c r="E65" t="s">
        <v>53</v>
      </c>
      <c r="F65" t="s">
        <v>352</v>
      </c>
      <c r="G65" t="s">
        <v>353</v>
      </c>
      <c r="H65" t="s">
        <v>251</v>
      </c>
      <c r="I65" s="3" t="s">
        <v>354</v>
      </c>
    </row>
    <row r="66" spans="1:9" x14ac:dyDescent="0.3">
      <c r="A66" t="s">
        <v>355</v>
      </c>
      <c r="B66" s="5"/>
      <c r="C66" s="7" t="s">
        <v>356</v>
      </c>
      <c r="E66" t="s">
        <v>54</v>
      </c>
      <c r="F66" t="s">
        <v>357</v>
      </c>
      <c r="G66" t="s">
        <v>358</v>
      </c>
      <c r="H66" t="s">
        <v>251</v>
      </c>
      <c r="I66" s="3" t="s">
        <v>354</v>
      </c>
    </row>
    <row r="67" spans="1:9" x14ac:dyDescent="0.3">
      <c r="A67" t="s">
        <v>359</v>
      </c>
      <c r="B67" s="5"/>
      <c r="C67" s="7" t="s">
        <v>360</v>
      </c>
      <c r="E67" t="s">
        <v>54</v>
      </c>
      <c r="F67" t="s">
        <v>361</v>
      </c>
      <c r="G67" t="s">
        <v>362</v>
      </c>
      <c r="H67" t="s">
        <v>251</v>
      </c>
      <c r="I67" s="3" t="s">
        <v>354</v>
      </c>
    </row>
    <row r="68" spans="1:9" x14ac:dyDescent="0.3">
      <c r="A68" t="s">
        <v>363</v>
      </c>
      <c r="B68" s="5"/>
      <c r="C68" s="7" t="s">
        <v>364</v>
      </c>
      <c r="E68" t="s">
        <v>55</v>
      </c>
      <c r="F68" t="s">
        <v>365</v>
      </c>
      <c r="G68" t="s">
        <v>366</v>
      </c>
      <c r="H68" t="s">
        <v>251</v>
      </c>
      <c r="I68" s="3" t="s">
        <v>354</v>
      </c>
    </row>
    <row r="69" spans="1:9" x14ac:dyDescent="0.3">
      <c r="B69" s="6" t="s">
        <v>367</v>
      </c>
      <c r="C69" s="4">
        <f>SUBTOTAL(109,C2:C68)</f>
        <v>0</v>
      </c>
      <c r="E69" t="s">
        <v>369</v>
      </c>
      <c r="F69" t="s">
        <v>65</v>
      </c>
      <c r="G69" t="s">
        <v>370</v>
      </c>
      <c r="H69" t="s">
        <v>371</v>
      </c>
    </row>
    <row r="70" spans="1:9" x14ac:dyDescent="0.3">
      <c r="B70" s="2" t="s">
        <v>367</v>
      </c>
      <c r="C70" s="4" t="s">
        <v>368</v>
      </c>
      <c r="E70" t="s">
        <v>372</v>
      </c>
    </row>
    <row r="71" spans="1:9" x14ac:dyDescent="0.3">
      <c r="B71" s="2"/>
      <c r="C71" s="4" t="s">
        <v>363</v>
      </c>
      <c r="G71" t="s">
        <v>373</v>
      </c>
      <c r="H71" t="s">
        <v>374</v>
      </c>
    </row>
    <row r="72" spans="1:9" x14ac:dyDescent="0.3">
      <c r="B7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A6DF-5101-4BEA-9297-5A7845F2C4C3}">
  <sheetPr codeName="Sheet4"/>
  <dimension ref="A1:M73"/>
  <sheetViews>
    <sheetView tabSelected="1" zoomScale="160" zoomScaleNormal="160" workbookViewId="0">
      <selection activeCell="G3" sqref="G3"/>
    </sheetView>
  </sheetViews>
  <sheetFormatPr defaultRowHeight="14.4" x14ac:dyDescent="0.3"/>
  <cols>
    <col min="1" max="1" width="11.109375" bestFit="1" customWidth="1"/>
    <col min="2" max="2" width="17.6640625" customWidth="1"/>
    <col min="3" max="3" width="11.109375" bestFit="1" customWidth="1"/>
    <col min="4" max="4" width="19.6640625" customWidth="1"/>
    <col min="5" max="5" width="18" style="4" bestFit="1" customWidth="1"/>
    <col min="6" max="6" width="35.109375" customWidth="1"/>
    <col min="7" max="7" width="49.44140625" bestFit="1" customWidth="1"/>
    <col min="8" max="8" width="22.109375" customWidth="1"/>
    <col min="9" max="9" width="24.88671875" style="3" customWidth="1"/>
    <col min="11" max="11" width="12.109375" customWidth="1"/>
    <col min="12" max="12" width="10.33203125" bestFit="1" customWidth="1"/>
  </cols>
  <sheetData>
    <row r="1" spans="1:13" x14ac:dyDescent="0.3">
      <c r="A1" t="s">
        <v>56</v>
      </c>
      <c r="B1" t="s">
        <v>57</v>
      </c>
      <c r="C1" t="s">
        <v>58</v>
      </c>
      <c r="D1" t="s">
        <v>59</v>
      </c>
      <c r="E1" s="4" t="s">
        <v>60</v>
      </c>
      <c r="F1" t="s">
        <v>61</v>
      </c>
      <c r="G1" t="s">
        <v>62</v>
      </c>
      <c r="H1" t="s">
        <v>63</v>
      </c>
      <c r="I1" s="3" t="s">
        <v>64</v>
      </c>
    </row>
    <row r="2" spans="1:13" x14ac:dyDescent="0.3">
      <c r="A2" t="s">
        <v>65</v>
      </c>
      <c r="B2" t="s">
        <v>66</v>
      </c>
      <c r="C2" s="4" t="s">
        <v>67</v>
      </c>
      <c r="D2" t="s">
        <v>68</v>
      </c>
      <c r="G2" t="s">
        <v>69</v>
      </c>
      <c r="H2" t="s">
        <v>67</v>
      </c>
      <c r="I2" s="3" t="s">
        <v>70</v>
      </c>
    </row>
    <row r="3" spans="1:13" x14ac:dyDescent="0.3">
      <c r="B3" t="s">
        <v>71</v>
      </c>
      <c r="C3" s="4"/>
    </row>
    <row r="4" spans="1:13" x14ac:dyDescent="0.3">
      <c r="A4" t="s">
        <v>72</v>
      </c>
      <c r="B4" t="s">
        <v>73</v>
      </c>
      <c r="C4" s="4" t="s">
        <v>74</v>
      </c>
      <c r="E4" s="4" t="s">
        <v>75</v>
      </c>
      <c r="F4" t="s">
        <v>76</v>
      </c>
      <c r="G4" t="s">
        <v>77</v>
      </c>
      <c r="H4" t="s">
        <v>78</v>
      </c>
      <c r="I4" s="3" t="s">
        <v>79</v>
      </c>
    </row>
    <row r="5" spans="1:13" x14ac:dyDescent="0.3">
      <c r="A5">
        <v>82</v>
      </c>
      <c r="B5" s="10" t="s">
        <v>80</v>
      </c>
      <c r="C5" s="9">
        <v>82</v>
      </c>
      <c r="D5" t="str">
        <f>_xlfn.TEXTBEFORE(F5, "#")</f>
        <v>‪-SG-SH-01397</v>
      </c>
      <c r="E5" s="4" t="s">
        <v>1</v>
      </c>
      <c r="F5" s="3" t="s">
        <v>83</v>
      </c>
      <c r="G5" s="3" t="s">
        <v>84</v>
      </c>
      <c r="H5" t="s">
        <v>85</v>
      </c>
      <c r="I5" s="3" t="s">
        <v>86</v>
      </c>
    </row>
    <row r="6" spans="1:13" x14ac:dyDescent="0.3">
      <c r="A6">
        <v>324</v>
      </c>
      <c r="B6" s="10" t="s">
        <v>80</v>
      </c>
      <c r="C6" s="9">
        <v>242.01</v>
      </c>
      <c r="D6" t="str">
        <f t="shared" ref="D6:D69" si="0">_xlfn.TEXTBEFORE(F6, "#")</f>
        <v>‪SG-SH-01363</v>
      </c>
      <c r="E6" s="4" t="s">
        <v>2</v>
      </c>
      <c r="F6" s="3" t="s">
        <v>89</v>
      </c>
      <c r="G6" s="3" t="s">
        <v>90</v>
      </c>
      <c r="H6" t="s">
        <v>85</v>
      </c>
      <c r="I6" s="3" t="s">
        <v>86</v>
      </c>
      <c r="J6">
        <f>+C6*0.15</f>
        <v>36.301499999999997</v>
      </c>
      <c r="K6" s="12">
        <f>+C6-J6</f>
        <v>205.70849999999999</v>
      </c>
    </row>
    <row r="7" spans="1:13" x14ac:dyDescent="0.3">
      <c r="A7">
        <v>589.01</v>
      </c>
      <c r="B7" s="10" t="s">
        <v>80</v>
      </c>
      <c r="C7" s="9">
        <v>265.01</v>
      </c>
      <c r="D7" t="str">
        <f t="shared" si="0"/>
        <v>‪SG-SH-01694</v>
      </c>
      <c r="E7" s="4" t="s">
        <v>3</v>
      </c>
      <c r="F7" s="3" t="s">
        <v>375</v>
      </c>
      <c r="G7" s="3" t="s">
        <v>94</v>
      </c>
      <c r="H7" t="s">
        <v>85</v>
      </c>
      <c r="I7" s="3" t="s">
        <v>95</v>
      </c>
      <c r="J7">
        <f t="shared" ref="J7:J24" si="1">+C7*0.15</f>
        <v>39.7515</v>
      </c>
      <c r="K7" s="12">
        <f t="shared" ref="K7:K24" si="2">+C7-J7</f>
        <v>225.2585</v>
      </c>
    </row>
    <row r="8" spans="1:13" x14ac:dyDescent="0.3">
      <c r="A8">
        <v>507.01</v>
      </c>
      <c r="B8" s="10">
        <v>82</v>
      </c>
      <c r="C8" s="9" t="s">
        <v>80</v>
      </c>
      <c r="E8" s="4" t="s">
        <v>1</v>
      </c>
      <c r="F8" s="3" t="s">
        <v>97</v>
      </c>
      <c r="G8" s="3" t="s">
        <v>98</v>
      </c>
      <c r="H8" t="s">
        <v>99</v>
      </c>
      <c r="I8" s="3" t="s">
        <v>95</v>
      </c>
      <c r="J8">
        <v>0</v>
      </c>
      <c r="K8" s="12">
        <v>0</v>
      </c>
    </row>
    <row r="9" spans="1:13" x14ac:dyDescent="0.3">
      <c r="A9">
        <v>938.01</v>
      </c>
      <c r="B9" s="10" t="s">
        <v>80</v>
      </c>
      <c r="C9" s="9">
        <v>431</v>
      </c>
      <c r="D9" t="s">
        <v>376</v>
      </c>
      <c r="E9" s="4" t="s">
        <v>4</v>
      </c>
      <c r="F9" s="3" t="s">
        <v>0</v>
      </c>
      <c r="G9" s="3" t="s">
        <v>102</v>
      </c>
      <c r="H9" t="s">
        <v>85</v>
      </c>
      <c r="I9" s="3" t="s">
        <v>103</v>
      </c>
      <c r="J9">
        <f t="shared" si="1"/>
        <v>64.649999999999991</v>
      </c>
      <c r="K9" s="12">
        <f t="shared" si="2"/>
        <v>366.35</v>
      </c>
    </row>
    <row r="10" spans="1:13" x14ac:dyDescent="0.3">
      <c r="A10" s="1">
        <v>1634.01</v>
      </c>
      <c r="B10" s="10" t="s">
        <v>80</v>
      </c>
      <c r="C10" s="9">
        <v>696</v>
      </c>
      <c r="D10" t="str">
        <f t="shared" si="0"/>
        <v>‪SG-SH-02023</v>
      </c>
      <c r="E10" s="4" t="s">
        <v>5</v>
      </c>
      <c r="F10" s="3" t="s">
        <v>106</v>
      </c>
      <c r="G10" s="3" t="s">
        <v>107</v>
      </c>
      <c r="H10" t="s">
        <v>85</v>
      </c>
      <c r="I10" s="3" t="s">
        <v>108</v>
      </c>
      <c r="J10">
        <f t="shared" si="1"/>
        <v>104.39999999999999</v>
      </c>
      <c r="K10" s="12">
        <f t="shared" si="2"/>
        <v>591.6</v>
      </c>
    </row>
    <row r="11" spans="1:13" x14ac:dyDescent="0.3">
      <c r="A11" s="1">
        <v>1966.02</v>
      </c>
      <c r="B11" s="10" t="s">
        <v>80</v>
      </c>
      <c r="C11" s="9">
        <v>332.01</v>
      </c>
      <c r="D11" t="str">
        <f t="shared" si="0"/>
        <v>‪SG-SH-02122</v>
      </c>
      <c r="E11" s="4" t="s">
        <v>6</v>
      </c>
      <c r="F11" s="3" t="s">
        <v>111</v>
      </c>
      <c r="G11" s="3" t="s">
        <v>112</v>
      </c>
      <c r="H11" t="s">
        <v>85</v>
      </c>
      <c r="I11" s="3" t="s">
        <v>108</v>
      </c>
      <c r="J11">
        <f t="shared" si="1"/>
        <v>49.801499999999997</v>
      </c>
      <c r="K11" s="12">
        <f t="shared" si="2"/>
        <v>282.20850000000002</v>
      </c>
      <c r="L11" s="12">
        <f>+SUM(C6:C24)</f>
        <v>7888.06</v>
      </c>
      <c r="M11">
        <f>+L11*0.15</f>
        <v>1183.2090000000001</v>
      </c>
    </row>
    <row r="12" spans="1:13" x14ac:dyDescent="0.3">
      <c r="A12" s="1">
        <v>2065.02</v>
      </c>
      <c r="B12" s="10" t="s">
        <v>80</v>
      </c>
      <c r="C12" s="9">
        <v>99</v>
      </c>
      <c r="D12" t="str">
        <f t="shared" si="0"/>
        <v>‪SG-SH-02650</v>
      </c>
      <c r="E12" s="4" t="s">
        <v>7</v>
      </c>
      <c r="F12" s="3" t="s">
        <v>115</v>
      </c>
      <c r="G12" s="3" t="s">
        <v>116</v>
      </c>
      <c r="H12" t="s">
        <v>85</v>
      </c>
      <c r="I12" s="3" t="s">
        <v>117</v>
      </c>
      <c r="J12">
        <f t="shared" si="1"/>
        <v>14.85</v>
      </c>
      <c r="K12" s="12">
        <f t="shared" si="2"/>
        <v>84.15</v>
      </c>
      <c r="L12" s="12">
        <f>-M11</f>
        <v>-1183.2090000000001</v>
      </c>
    </row>
    <row r="13" spans="1:13" x14ac:dyDescent="0.3">
      <c r="A13" s="1">
        <v>2537.0300000000002</v>
      </c>
      <c r="B13" s="10" t="s">
        <v>80</v>
      </c>
      <c r="C13" s="9">
        <v>472.01</v>
      </c>
      <c r="D13" t="str">
        <f t="shared" si="0"/>
        <v>‪SG-SH-02683</v>
      </c>
      <c r="E13" s="4" t="s">
        <v>8</v>
      </c>
      <c r="F13" s="3" t="s">
        <v>120</v>
      </c>
      <c r="G13" s="3" t="s">
        <v>121</v>
      </c>
      <c r="H13" t="s">
        <v>85</v>
      </c>
      <c r="I13" s="3" t="s">
        <v>117</v>
      </c>
      <c r="J13">
        <f t="shared" si="1"/>
        <v>70.80149999999999</v>
      </c>
      <c r="K13" s="12">
        <f t="shared" si="2"/>
        <v>401.20850000000002</v>
      </c>
      <c r="L13" s="12">
        <f>+L11+L12</f>
        <v>6704.8510000000006</v>
      </c>
    </row>
    <row r="14" spans="1:13" x14ac:dyDescent="0.3">
      <c r="A14" s="1">
        <v>2818.03</v>
      </c>
      <c r="B14" s="10" t="s">
        <v>80</v>
      </c>
      <c r="C14" s="13">
        <v>281</v>
      </c>
      <c r="D14" t="str">
        <f t="shared" si="0"/>
        <v>‪-SG-SH-03344</v>
      </c>
      <c r="E14" s="4" t="s">
        <v>9</v>
      </c>
      <c r="F14" s="3" t="s">
        <v>124</v>
      </c>
      <c r="G14" s="3" t="s">
        <v>125</v>
      </c>
      <c r="H14" t="s">
        <v>85</v>
      </c>
      <c r="I14" s="3" t="s">
        <v>126</v>
      </c>
      <c r="J14">
        <f t="shared" si="1"/>
        <v>42.15</v>
      </c>
      <c r="K14" s="12">
        <f t="shared" si="2"/>
        <v>238.85</v>
      </c>
    </row>
    <row r="15" spans="1:13" x14ac:dyDescent="0.3">
      <c r="A15" s="1">
        <v>2883.03</v>
      </c>
      <c r="B15" s="10" t="s">
        <v>80</v>
      </c>
      <c r="C15" s="9">
        <v>65</v>
      </c>
      <c r="D15" t="str">
        <f t="shared" si="0"/>
        <v>‪SG-SH-03112</v>
      </c>
      <c r="E15" s="4" t="s">
        <v>10</v>
      </c>
      <c r="F15" s="3" t="s">
        <v>129</v>
      </c>
      <c r="G15" s="3" t="s">
        <v>130</v>
      </c>
      <c r="H15" t="s">
        <v>85</v>
      </c>
      <c r="I15" s="3" t="s">
        <v>126</v>
      </c>
      <c r="J15">
        <f t="shared" si="1"/>
        <v>9.75</v>
      </c>
      <c r="K15" s="12">
        <f t="shared" si="2"/>
        <v>55.25</v>
      </c>
    </row>
    <row r="16" spans="1:13" x14ac:dyDescent="0.3">
      <c r="A16" s="1">
        <v>2997.03</v>
      </c>
      <c r="B16" s="10" t="s">
        <v>80</v>
      </c>
      <c r="C16" s="9">
        <v>114</v>
      </c>
      <c r="D16" t="str">
        <f t="shared" si="0"/>
        <v>‪SG-SH-03872</v>
      </c>
      <c r="E16" s="4" t="s">
        <v>11</v>
      </c>
      <c r="F16" s="3" t="s">
        <v>133</v>
      </c>
      <c r="G16" s="3" t="s">
        <v>134</v>
      </c>
      <c r="H16" t="s">
        <v>85</v>
      </c>
      <c r="I16" s="3" t="s">
        <v>135</v>
      </c>
      <c r="J16">
        <f t="shared" si="1"/>
        <v>17.099999999999998</v>
      </c>
      <c r="K16" s="12">
        <f t="shared" si="2"/>
        <v>96.9</v>
      </c>
    </row>
    <row r="17" spans="1:12" x14ac:dyDescent="0.3">
      <c r="A17" s="1">
        <v>3237.03</v>
      </c>
      <c r="B17" s="10" t="s">
        <v>80</v>
      </c>
      <c r="C17" s="9">
        <v>240.01</v>
      </c>
      <c r="D17" t="str">
        <f t="shared" si="0"/>
        <v>‪-SG-SH-04104</v>
      </c>
      <c r="E17" s="4" t="s">
        <v>12</v>
      </c>
      <c r="F17" s="3" t="s">
        <v>138</v>
      </c>
      <c r="G17" s="3" t="s">
        <v>139</v>
      </c>
      <c r="H17" t="s">
        <v>85</v>
      </c>
      <c r="I17" s="3" t="s">
        <v>140</v>
      </c>
      <c r="J17">
        <f t="shared" si="1"/>
        <v>36.0015</v>
      </c>
      <c r="K17" s="12">
        <f t="shared" si="2"/>
        <v>204.0085</v>
      </c>
    </row>
    <row r="18" spans="1:12" x14ac:dyDescent="0.3">
      <c r="A18" s="1">
        <v>5122.03</v>
      </c>
      <c r="B18" s="10" t="s">
        <v>80</v>
      </c>
      <c r="C18" s="9">
        <v>1885</v>
      </c>
      <c r="D18" t="str">
        <f t="shared" si="0"/>
        <v>‪SG-SH-04106</v>
      </c>
      <c r="E18" s="4" t="s">
        <v>12</v>
      </c>
      <c r="F18" s="3" t="s">
        <v>143</v>
      </c>
      <c r="G18" s="3" t="s">
        <v>144</v>
      </c>
      <c r="H18" t="s">
        <v>85</v>
      </c>
      <c r="I18" s="3" t="s">
        <v>140</v>
      </c>
      <c r="J18">
        <f t="shared" si="1"/>
        <v>282.75</v>
      </c>
      <c r="K18" s="12">
        <f t="shared" si="2"/>
        <v>1602.25</v>
      </c>
    </row>
    <row r="19" spans="1:12" x14ac:dyDescent="0.3">
      <c r="A19" s="1">
        <v>5280.03</v>
      </c>
      <c r="B19" s="10" t="s">
        <v>80</v>
      </c>
      <c r="C19" s="9">
        <v>158</v>
      </c>
      <c r="D19" t="str">
        <f t="shared" si="0"/>
        <v>‪SG-SH-03970</v>
      </c>
      <c r="E19" s="4" t="s">
        <v>13</v>
      </c>
      <c r="F19" s="3" t="s">
        <v>147</v>
      </c>
      <c r="G19" s="3" t="s">
        <v>148</v>
      </c>
      <c r="H19" t="s">
        <v>85</v>
      </c>
      <c r="I19" s="3" t="s">
        <v>149</v>
      </c>
      <c r="J19">
        <f t="shared" si="1"/>
        <v>23.7</v>
      </c>
      <c r="K19" s="12">
        <f t="shared" si="2"/>
        <v>134.30000000000001</v>
      </c>
    </row>
    <row r="20" spans="1:12" x14ac:dyDescent="0.3">
      <c r="A20" s="1">
        <v>5520.03</v>
      </c>
      <c r="B20" s="10" t="s">
        <v>80</v>
      </c>
      <c r="C20" s="9">
        <v>240.01</v>
      </c>
      <c r="D20" t="str">
        <f t="shared" si="0"/>
        <v>‪SG-SH-04465</v>
      </c>
      <c r="E20" s="4" t="s">
        <v>14</v>
      </c>
      <c r="F20" s="3" t="s">
        <v>151</v>
      </c>
      <c r="G20" s="3" t="s">
        <v>152</v>
      </c>
      <c r="H20" t="s">
        <v>85</v>
      </c>
      <c r="I20" s="3" t="s">
        <v>153</v>
      </c>
      <c r="J20">
        <f t="shared" si="1"/>
        <v>36.0015</v>
      </c>
      <c r="K20" s="12">
        <f t="shared" si="2"/>
        <v>204.0085</v>
      </c>
    </row>
    <row r="21" spans="1:12" x14ac:dyDescent="0.3">
      <c r="A21" s="1">
        <v>6085.03</v>
      </c>
      <c r="B21" s="10" t="s">
        <v>80</v>
      </c>
      <c r="C21" s="9">
        <v>565</v>
      </c>
      <c r="D21" t="str">
        <f t="shared" si="0"/>
        <v>‪SG-SH-04498</v>
      </c>
      <c r="E21" s="4" t="s">
        <v>15</v>
      </c>
      <c r="F21" s="3" t="s">
        <v>156</v>
      </c>
      <c r="G21" s="3" t="s">
        <v>157</v>
      </c>
      <c r="H21" t="s">
        <v>85</v>
      </c>
      <c r="I21" s="3" t="s">
        <v>153</v>
      </c>
      <c r="J21">
        <f t="shared" si="1"/>
        <v>84.75</v>
      </c>
      <c r="K21" s="12">
        <f t="shared" si="2"/>
        <v>480.25</v>
      </c>
    </row>
    <row r="22" spans="1:12" x14ac:dyDescent="0.3">
      <c r="A22" s="1">
        <v>6253.03</v>
      </c>
      <c r="B22" s="10" t="s">
        <v>80</v>
      </c>
      <c r="C22" s="9">
        <v>168</v>
      </c>
      <c r="D22" t="str">
        <f t="shared" si="0"/>
        <v>‪SG-SH-04267</v>
      </c>
      <c r="E22" s="4" t="s">
        <v>16</v>
      </c>
      <c r="F22" s="3" t="s">
        <v>160</v>
      </c>
      <c r="G22" s="3" t="s">
        <v>161</v>
      </c>
      <c r="H22" t="s">
        <v>85</v>
      </c>
      <c r="I22" s="3" t="s">
        <v>162</v>
      </c>
      <c r="J22">
        <f t="shared" si="1"/>
        <v>25.2</v>
      </c>
      <c r="K22" s="12">
        <f t="shared" si="2"/>
        <v>142.80000000000001</v>
      </c>
    </row>
    <row r="23" spans="1:12" x14ac:dyDescent="0.3">
      <c r="A23" s="1">
        <v>6936.03</v>
      </c>
      <c r="B23" s="10" t="s">
        <v>80</v>
      </c>
      <c r="C23" s="9">
        <v>683</v>
      </c>
      <c r="D23" t="str">
        <f t="shared" si="0"/>
        <v>‪SG-SH-04828</v>
      </c>
      <c r="E23" s="4" t="s">
        <v>17</v>
      </c>
      <c r="F23" s="3" t="s">
        <v>165</v>
      </c>
      <c r="G23" s="3" t="s">
        <v>166</v>
      </c>
      <c r="H23" t="s">
        <v>85</v>
      </c>
      <c r="I23" s="3" t="s">
        <v>162</v>
      </c>
      <c r="J23">
        <f t="shared" si="1"/>
        <v>102.45</v>
      </c>
      <c r="K23" s="12">
        <f t="shared" si="2"/>
        <v>580.54999999999995</v>
      </c>
    </row>
    <row r="24" spans="1:12" x14ac:dyDescent="0.3">
      <c r="A24" s="1">
        <v>7888.03</v>
      </c>
      <c r="B24" s="10" t="s">
        <v>80</v>
      </c>
      <c r="C24" s="9">
        <v>952</v>
      </c>
      <c r="D24" t="str">
        <f t="shared" si="0"/>
        <v>‪SG-SH-04993</v>
      </c>
      <c r="E24" s="4" t="s">
        <v>18</v>
      </c>
      <c r="F24" s="3" t="s">
        <v>169</v>
      </c>
      <c r="G24" s="3" t="s">
        <v>170</v>
      </c>
      <c r="H24" t="s">
        <v>85</v>
      </c>
      <c r="I24" s="3" t="s">
        <v>162</v>
      </c>
      <c r="J24">
        <f t="shared" si="1"/>
        <v>142.79999999999998</v>
      </c>
      <c r="K24" s="12">
        <f t="shared" si="2"/>
        <v>809.2</v>
      </c>
    </row>
    <row r="25" spans="1:12" x14ac:dyDescent="0.3">
      <c r="A25" s="1">
        <v>7607.03</v>
      </c>
      <c r="B25" s="10">
        <v>281</v>
      </c>
      <c r="C25" s="9" t="s">
        <v>80</v>
      </c>
      <c r="D25" t="e">
        <f t="shared" si="0"/>
        <v>#N/A</v>
      </c>
      <c r="E25" s="4" t="s">
        <v>9</v>
      </c>
      <c r="F25" s="3" t="s">
        <v>97</v>
      </c>
      <c r="G25" s="3" t="s">
        <v>172</v>
      </c>
      <c r="H25" t="s">
        <v>99</v>
      </c>
      <c r="I25" s="3" t="s">
        <v>173</v>
      </c>
      <c r="J25">
        <f>SUM(J6:J24)</f>
        <v>1183.2089999999998</v>
      </c>
      <c r="K25" s="12">
        <f>SUM(K6:K24)</f>
        <v>6704.8510000000006</v>
      </c>
      <c r="L25" s="12">
        <f>+K25-7607.03-281</f>
        <v>-1183.1789999999992</v>
      </c>
    </row>
    <row r="26" spans="1:12" x14ac:dyDescent="0.3">
      <c r="A26" s="1">
        <v>6558.6</v>
      </c>
      <c r="B26" s="10">
        <v>1048.43</v>
      </c>
      <c r="C26" s="9" t="s">
        <v>80</v>
      </c>
      <c r="D26" t="e">
        <f t="shared" si="0"/>
        <v>#N/A</v>
      </c>
      <c r="E26" s="4" t="s">
        <v>80</v>
      </c>
      <c r="F26" s="3" t="s">
        <v>176</v>
      </c>
      <c r="G26" s="3" t="s">
        <v>177</v>
      </c>
      <c r="H26" t="s">
        <v>178</v>
      </c>
      <c r="I26" s="3" t="s">
        <v>173</v>
      </c>
    </row>
    <row r="27" spans="1:12" x14ac:dyDescent="0.3">
      <c r="A27">
        <v>-146.25</v>
      </c>
      <c r="B27" s="10">
        <v>6704.85</v>
      </c>
      <c r="C27" s="9" t="s">
        <v>80</v>
      </c>
      <c r="D27" t="e">
        <f t="shared" si="0"/>
        <v>#N/A</v>
      </c>
      <c r="E27" s="4" t="s">
        <v>80</v>
      </c>
      <c r="F27" s="3" t="s">
        <v>181</v>
      </c>
      <c r="G27" s="3" t="s">
        <v>177</v>
      </c>
      <c r="H27" t="s">
        <v>178</v>
      </c>
      <c r="I27" s="3" t="s">
        <v>173</v>
      </c>
    </row>
    <row r="28" spans="1:12" x14ac:dyDescent="0.3">
      <c r="A28">
        <v>165.75</v>
      </c>
      <c r="B28" s="10" t="s">
        <v>80</v>
      </c>
      <c r="C28" s="9">
        <v>312</v>
      </c>
      <c r="D28" t="str">
        <f t="shared" si="0"/>
        <v>‪SG-SH-05257</v>
      </c>
      <c r="E28" s="4" t="s">
        <v>19</v>
      </c>
      <c r="F28" s="3" t="s">
        <v>184</v>
      </c>
      <c r="G28" s="3" t="s">
        <v>185</v>
      </c>
      <c r="H28" t="s">
        <v>85</v>
      </c>
      <c r="I28" s="3" t="s">
        <v>186</v>
      </c>
    </row>
    <row r="29" spans="1:12" x14ac:dyDescent="0.3">
      <c r="A29">
        <v>465.75</v>
      </c>
      <c r="B29" s="10" t="s">
        <v>80</v>
      </c>
      <c r="C29" s="9">
        <v>300</v>
      </c>
      <c r="D29" t="str">
        <f t="shared" si="0"/>
        <v>‪SG-SH-05290</v>
      </c>
      <c r="E29" s="4" t="s">
        <v>20</v>
      </c>
      <c r="F29" s="3" t="s">
        <v>189</v>
      </c>
      <c r="G29" s="3" t="s">
        <v>190</v>
      </c>
      <c r="H29" t="s">
        <v>85</v>
      </c>
      <c r="I29" s="3" t="s">
        <v>186</v>
      </c>
    </row>
    <row r="30" spans="1:12" x14ac:dyDescent="0.3">
      <c r="A30">
        <v>700.75</v>
      </c>
      <c r="B30" s="10" t="s">
        <v>80</v>
      </c>
      <c r="C30" s="9">
        <v>235</v>
      </c>
      <c r="D30" t="str">
        <f t="shared" si="0"/>
        <v>‪SG-SH-05356</v>
      </c>
      <c r="E30" s="4" t="s">
        <v>21</v>
      </c>
      <c r="F30" s="3" t="s">
        <v>193</v>
      </c>
      <c r="G30" s="3" t="s">
        <v>194</v>
      </c>
      <c r="H30" t="s">
        <v>85</v>
      </c>
      <c r="I30" s="3" t="s">
        <v>186</v>
      </c>
    </row>
    <row r="31" spans="1:12" x14ac:dyDescent="0.3">
      <c r="A31">
        <v>922.75</v>
      </c>
      <c r="B31" s="10" t="s">
        <v>80</v>
      </c>
      <c r="C31" s="9">
        <v>222</v>
      </c>
      <c r="D31" t="str">
        <f t="shared" si="0"/>
        <v>‪SG-SH-05422</v>
      </c>
      <c r="E31" s="4" t="s">
        <v>22</v>
      </c>
      <c r="F31" s="3" t="s">
        <v>197</v>
      </c>
      <c r="G31" s="3" t="s">
        <v>198</v>
      </c>
      <c r="H31" t="s">
        <v>85</v>
      </c>
      <c r="I31" s="3" t="s">
        <v>199</v>
      </c>
    </row>
    <row r="32" spans="1:12" x14ac:dyDescent="0.3">
      <c r="A32" s="1">
        <v>4871.74</v>
      </c>
      <c r="B32" s="10" t="s">
        <v>80</v>
      </c>
      <c r="C32" s="9">
        <v>3949</v>
      </c>
      <c r="D32" t="str">
        <f t="shared" si="0"/>
        <v>‪SG-SH-05488</v>
      </c>
      <c r="E32" s="4" t="s">
        <v>23</v>
      </c>
      <c r="F32" s="3" t="s">
        <v>202</v>
      </c>
      <c r="G32" s="3" t="s">
        <v>203</v>
      </c>
      <c r="H32" t="s">
        <v>85</v>
      </c>
      <c r="I32" s="3" t="s">
        <v>199</v>
      </c>
    </row>
    <row r="33" spans="1:9" x14ac:dyDescent="0.3">
      <c r="A33" s="1">
        <v>5029.74</v>
      </c>
      <c r="B33" s="10" t="s">
        <v>80</v>
      </c>
      <c r="C33" s="9">
        <v>158</v>
      </c>
      <c r="D33" t="str">
        <f t="shared" si="0"/>
        <v>‪SG-SH-05521</v>
      </c>
      <c r="E33" s="4" t="s">
        <v>24</v>
      </c>
      <c r="F33" s="3" t="s">
        <v>205</v>
      </c>
      <c r="G33" s="3" t="s">
        <v>206</v>
      </c>
      <c r="H33" t="s">
        <v>85</v>
      </c>
      <c r="I33" s="3" t="s">
        <v>199</v>
      </c>
    </row>
    <row r="34" spans="1:9" x14ac:dyDescent="0.3">
      <c r="A34" s="1">
        <v>5129.74</v>
      </c>
      <c r="B34" s="10" t="s">
        <v>80</v>
      </c>
      <c r="C34" s="9">
        <v>100</v>
      </c>
      <c r="D34" t="str">
        <f t="shared" si="0"/>
        <v>‪SG-SH-05587</v>
      </c>
      <c r="E34" s="4" t="s">
        <v>25</v>
      </c>
      <c r="F34" s="3" t="s">
        <v>209</v>
      </c>
      <c r="G34" s="3" t="s">
        <v>210</v>
      </c>
      <c r="H34" t="s">
        <v>85</v>
      </c>
      <c r="I34" s="3" t="s">
        <v>211</v>
      </c>
    </row>
    <row r="35" spans="1:9" x14ac:dyDescent="0.3">
      <c r="A35" s="1">
        <v>5515.74</v>
      </c>
      <c r="B35" s="10" t="s">
        <v>80</v>
      </c>
      <c r="C35" s="9">
        <v>386</v>
      </c>
      <c r="D35" t="str">
        <f t="shared" si="0"/>
        <v>‪SG-SH-05653</v>
      </c>
      <c r="E35" s="4" t="s">
        <v>26</v>
      </c>
      <c r="F35" s="3" t="s">
        <v>214</v>
      </c>
      <c r="G35" s="3" t="s">
        <v>215</v>
      </c>
      <c r="H35" t="s">
        <v>85</v>
      </c>
      <c r="I35" s="3" t="s">
        <v>216</v>
      </c>
    </row>
    <row r="36" spans="1:9" x14ac:dyDescent="0.3">
      <c r="A36" s="1">
        <v>5742.74</v>
      </c>
      <c r="B36" s="10" t="s">
        <v>80</v>
      </c>
      <c r="C36" s="9">
        <v>227</v>
      </c>
      <c r="D36" t="str">
        <f t="shared" si="0"/>
        <v>‪SG-SH-05686</v>
      </c>
      <c r="E36" s="4" t="s">
        <v>27</v>
      </c>
      <c r="F36" s="3" t="s">
        <v>219</v>
      </c>
      <c r="G36" s="3" t="s">
        <v>220</v>
      </c>
      <c r="H36" t="s">
        <v>85</v>
      </c>
      <c r="I36" s="3" t="s">
        <v>216</v>
      </c>
    </row>
    <row r="37" spans="1:9" x14ac:dyDescent="0.3">
      <c r="A37" s="1">
        <v>5928.74</v>
      </c>
      <c r="B37" s="10" t="s">
        <v>80</v>
      </c>
      <c r="C37" s="9">
        <v>186</v>
      </c>
      <c r="D37" t="str">
        <f t="shared" si="0"/>
        <v>‪SG-SH-05752</v>
      </c>
      <c r="E37" s="4" t="s">
        <v>28</v>
      </c>
      <c r="F37" s="3" t="s">
        <v>223</v>
      </c>
      <c r="G37" s="3" t="s">
        <v>224</v>
      </c>
      <c r="H37" t="s">
        <v>85</v>
      </c>
      <c r="I37" s="3" t="s">
        <v>216</v>
      </c>
    </row>
    <row r="38" spans="1:9" x14ac:dyDescent="0.3">
      <c r="A38" s="1">
        <v>6183.74</v>
      </c>
      <c r="B38" s="10" t="s">
        <v>80</v>
      </c>
      <c r="C38" s="9">
        <v>255</v>
      </c>
      <c r="D38" t="str">
        <f t="shared" si="0"/>
        <v>‪SG-SH-05455</v>
      </c>
      <c r="E38" s="4" t="s">
        <v>29</v>
      </c>
      <c r="F38" s="3" t="s">
        <v>227</v>
      </c>
      <c r="G38" s="3" t="s">
        <v>228</v>
      </c>
      <c r="H38" t="s">
        <v>85</v>
      </c>
      <c r="I38" s="3" t="s">
        <v>229</v>
      </c>
    </row>
    <row r="39" spans="1:9" x14ac:dyDescent="0.3">
      <c r="A39" s="1">
        <v>6368.74</v>
      </c>
      <c r="B39" s="10" t="s">
        <v>80</v>
      </c>
      <c r="C39" s="9">
        <v>185</v>
      </c>
      <c r="D39" t="str">
        <f t="shared" si="0"/>
        <v>‪SG-SH-05950</v>
      </c>
      <c r="E39" s="4" t="s">
        <v>30</v>
      </c>
      <c r="F39" s="3" t="s">
        <v>232</v>
      </c>
      <c r="G39" s="3" t="s">
        <v>233</v>
      </c>
      <c r="H39" t="s">
        <v>85</v>
      </c>
      <c r="I39" s="3" t="s">
        <v>234</v>
      </c>
    </row>
    <row r="40" spans="1:9" x14ac:dyDescent="0.3">
      <c r="A40" s="1">
        <v>6536.75</v>
      </c>
      <c r="B40" s="10" t="s">
        <v>80</v>
      </c>
      <c r="C40" s="9">
        <v>168</v>
      </c>
      <c r="D40" t="str">
        <f t="shared" si="0"/>
        <v>‪-SG-SH-06118</v>
      </c>
      <c r="E40" s="4" t="s">
        <v>31</v>
      </c>
      <c r="F40" s="3" t="s">
        <v>236</v>
      </c>
      <c r="G40" s="3" t="s">
        <v>237</v>
      </c>
      <c r="H40" t="s">
        <v>85</v>
      </c>
      <c r="I40" s="3" t="s">
        <v>238</v>
      </c>
    </row>
    <row r="41" spans="1:9" x14ac:dyDescent="0.3">
      <c r="A41" s="1">
        <v>6961.75</v>
      </c>
      <c r="B41" s="10"/>
      <c r="C41" s="9">
        <v>425.01</v>
      </c>
      <c r="D41" t="str">
        <f t="shared" si="0"/>
        <v>SG-SH-05785</v>
      </c>
      <c r="E41" s="4" t="s">
        <v>32</v>
      </c>
      <c r="F41" s="3" t="s">
        <v>249</v>
      </c>
      <c r="G41" s="3" t="s">
        <v>250</v>
      </c>
      <c r="H41" t="s">
        <v>251</v>
      </c>
      <c r="I41" s="3" t="s">
        <v>252</v>
      </c>
    </row>
    <row r="42" spans="1:9" x14ac:dyDescent="0.3">
      <c r="A42" s="1">
        <v>7290.76</v>
      </c>
      <c r="B42" s="10"/>
      <c r="C42" s="9">
        <v>329</v>
      </c>
      <c r="D42" t="str">
        <f t="shared" si="0"/>
        <v>SG-SH-06247</v>
      </c>
      <c r="E42" s="4" t="s">
        <v>33</v>
      </c>
      <c r="F42" s="3" t="s">
        <v>255</v>
      </c>
      <c r="G42" s="3" t="s">
        <v>256</v>
      </c>
      <c r="H42" t="s">
        <v>251</v>
      </c>
      <c r="I42" s="3" t="s">
        <v>252</v>
      </c>
    </row>
    <row r="43" spans="1:9" x14ac:dyDescent="0.3">
      <c r="A43" s="1">
        <v>7715.76</v>
      </c>
      <c r="B43" s="10"/>
      <c r="C43" s="9">
        <v>425.01</v>
      </c>
      <c r="D43" t="str">
        <f t="shared" si="0"/>
        <v>SG-SH-06874</v>
      </c>
      <c r="E43" s="4" t="s">
        <v>34</v>
      </c>
      <c r="F43" s="3" t="s">
        <v>258</v>
      </c>
      <c r="G43" s="3" t="s">
        <v>259</v>
      </c>
      <c r="H43" t="s">
        <v>251</v>
      </c>
      <c r="I43" s="3" t="s">
        <v>260</v>
      </c>
    </row>
    <row r="44" spans="1:9" x14ac:dyDescent="0.3">
      <c r="A44" s="1">
        <v>7913.76</v>
      </c>
      <c r="B44" s="10"/>
      <c r="C44" s="9">
        <v>198</v>
      </c>
      <c r="D44" t="str">
        <f t="shared" si="0"/>
        <v>SG-SH-07105</v>
      </c>
      <c r="E44" s="4" t="s">
        <v>35</v>
      </c>
      <c r="F44" s="3" t="s">
        <v>263</v>
      </c>
      <c r="G44" s="3" t="s">
        <v>264</v>
      </c>
      <c r="H44" t="s">
        <v>251</v>
      </c>
      <c r="I44" s="3" t="s">
        <v>260</v>
      </c>
    </row>
    <row r="45" spans="1:9" x14ac:dyDescent="0.3">
      <c r="A45" s="1">
        <v>8206.75</v>
      </c>
      <c r="B45" s="10"/>
      <c r="C45" s="9">
        <v>293</v>
      </c>
      <c r="D45" t="str">
        <f t="shared" si="0"/>
        <v>SG-SH-07173</v>
      </c>
      <c r="E45" s="4" t="s">
        <v>36</v>
      </c>
      <c r="F45" s="3" t="s">
        <v>267</v>
      </c>
      <c r="G45" s="3" t="s">
        <v>268</v>
      </c>
      <c r="H45" t="s">
        <v>251</v>
      </c>
      <c r="I45" s="3" t="s">
        <v>260</v>
      </c>
    </row>
    <row r="46" spans="1:9" x14ac:dyDescent="0.3">
      <c r="A46" s="1">
        <v>8314.75</v>
      </c>
      <c r="B46" s="10"/>
      <c r="C46" s="9">
        <v>108</v>
      </c>
      <c r="D46" t="str">
        <f t="shared" si="0"/>
        <v>SG-SH-07435</v>
      </c>
      <c r="E46" s="4" t="s">
        <v>37</v>
      </c>
      <c r="F46" s="3" t="s">
        <v>271</v>
      </c>
      <c r="G46" s="3" t="s">
        <v>272</v>
      </c>
      <c r="H46" t="s">
        <v>251</v>
      </c>
      <c r="I46" s="3" t="s">
        <v>260</v>
      </c>
    </row>
    <row r="47" spans="1:9" x14ac:dyDescent="0.3">
      <c r="A47" s="1">
        <v>10541.66</v>
      </c>
      <c r="B47" s="10"/>
      <c r="C47" s="9">
        <v>2226.91</v>
      </c>
      <c r="D47" t="str">
        <f t="shared" si="0"/>
        <v>SG-SH-07568</v>
      </c>
      <c r="E47" s="4" t="s">
        <v>38</v>
      </c>
      <c r="F47" s="3" t="s">
        <v>275</v>
      </c>
      <c r="G47" s="3" t="s">
        <v>276</v>
      </c>
      <c r="H47" t="s">
        <v>251</v>
      </c>
      <c r="I47" s="3" t="s">
        <v>277</v>
      </c>
    </row>
    <row r="48" spans="1:9" x14ac:dyDescent="0.3">
      <c r="A48" s="1">
        <v>10706.55</v>
      </c>
      <c r="B48" s="10"/>
      <c r="C48" s="9">
        <v>164.9</v>
      </c>
      <c r="D48" t="str">
        <f t="shared" si="0"/>
        <v>SG-SH-07798</v>
      </c>
      <c r="E48" s="4" t="s">
        <v>39</v>
      </c>
      <c r="F48" s="3" t="s">
        <v>280</v>
      </c>
      <c r="G48" s="3" t="s">
        <v>281</v>
      </c>
      <c r="H48" t="s">
        <v>251</v>
      </c>
      <c r="I48" s="3" t="s">
        <v>282</v>
      </c>
    </row>
    <row r="49" spans="1:9" x14ac:dyDescent="0.3">
      <c r="A49" s="1">
        <v>11226.35</v>
      </c>
      <c r="B49" s="10"/>
      <c r="C49" s="9">
        <v>519.79999999999995</v>
      </c>
      <c r="D49" t="str">
        <f t="shared" si="0"/>
        <v>SG-SH-08029</v>
      </c>
      <c r="E49" s="4" t="s">
        <v>40</v>
      </c>
      <c r="F49" s="3" t="s">
        <v>285</v>
      </c>
      <c r="G49" s="3" t="s">
        <v>286</v>
      </c>
      <c r="H49" t="s">
        <v>251</v>
      </c>
      <c r="I49" s="3" t="s">
        <v>287</v>
      </c>
    </row>
    <row r="50" spans="1:9" x14ac:dyDescent="0.3">
      <c r="A50" s="1">
        <v>11361.25</v>
      </c>
      <c r="B50" s="10"/>
      <c r="C50" s="9">
        <v>134.9</v>
      </c>
      <c r="D50" t="str">
        <f t="shared" si="0"/>
        <v>SG-SH-08062</v>
      </c>
      <c r="E50" s="4" t="s">
        <v>41</v>
      </c>
      <c r="F50" s="3" t="s">
        <v>290</v>
      </c>
      <c r="G50" s="3" t="s">
        <v>291</v>
      </c>
      <c r="H50" t="s">
        <v>251</v>
      </c>
      <c r="I50" s="3" t="s">
        <v>287</v>
      </c>
    </row>
    <row r="51" spans="1:9" x14ac:dyDescent="0.3">
      <c r="A51" s="1">
        <v>11829.96</v>
      </c>
      <c r="B51" s="10"/>
      <c r="C51" s="9">
        <v>468.71</v>
      </c>
      <c r="D51" t="str">
        <f t="shared" si="0"/>
        <v>SG-SH-08458</v>
      </c>
      <c r="E51" s="4" t="s">
        <v>42</v>
      </c>
      <c r="F51" s="3" t="s">
        <v>294</v>
      </c>
      <c r="G51" s="3" t="s">
        <v>295</v>
      </c>
      <c r="H51" t="s">
        <v>251</v>
      </c>
      <c r="I51" s="3" t="s">
        <v>296</v>
      </c>
    </row>
    <row r="52" spans="1:9" x14ac:dyDescent="0.3">
      <c r="A52" s="1">
        <v>12194.76</v>
      </c>
      <c r="B52" s="10"/>
      <c r="C52" s="9">
        <v>364.8</v>
      </c>
      <c r="D52" t="str">
        <f t="shared" si="0"/>
        <v>SG-SH-08392</v>
      </c>
      <c r="E52" s="4" t="s">
        <v>43</v>
      </c>
      <c r="F52" s="3" t="s">
        <v>299</v>
      </c>
      <c r="G52" s="3" t="s">
        <v>300</v>
      </c>
      <c r="H52" t="s">
        <v>251</v>
      </c>
      <c r="I52" s="3" t="s">
        <v>296</v>
      </c>
    </row>
    <row r="53" spans="1:9" x14ac:dyDescent="0.3">
      <c r="A53" s="1">
        <v>12328.56</v>
      </c>
      <c r="B53" s="10"/>
      <c r="C53" s="9">
        <v>133.80000000000001</v>
      </c>
      <c r="D53" t="str">
        <f t="shared" si="0"/>
        <v>SG-SH-08293</v>
      </c>
      <c r="E53" s="4" t="s">
        <v>44</v>
      </c>
      <c r="F53" s="3" t="s">
        <v>303</v>
      </c>
      <c r="G53" s="3" t="s">
        <v>304</v>
      </c>
      <c r="H53" t="s">
        <v>251</v>
      </c>
      <c r="I53" s="3" t="s">
        <v>296</v>
      </c>
    </row>
    <row r="54" spans="1:9" x14ac:dyDescent="0.3">
      <c r="A54" s="1">
        <v>12405.36</v>
      </c>
      <c r="B54" s="10"/>
      <c r="C54" s="9">
        <v>76.8</v>
      </c>
      <c r="D54" t="str">
        <f t="shared" si="0"/>
        <v>SG-SH-08260</v>
      </c>
      <c r="E54" s="4" t="s">
        <v>45</v>
      </c>
      <c r="F54" s="3" t="s">
        <v>307</v>
      </c>
      <c r="G54" s="3" t="s">
        <v>308</v>
      </c>
      <c r="H54" t="s">
        <v>251</v>
      </c>
      <c r="I54" s="3" t="s">
        <v>296</v>
      </c>
    </row>
    <row r="55" spans="1:9" x14ac:dyDescent="0.3">
      <c r="A55" s="1">
        <v>13363.26</v>
      </c>
      <c r="B55" s="10"/>
      <c r="C55" s="9">
        <v>957.9</v>
      </c>
      <c r="D55" t="str">
        <f t="shared" si="0"/>
        <v>SG-SH-08491</v>
      </c>
      <c r="E55" s="4" t="s">
        <v>46</v>
      </c>
      <c r="F55" s="3" t="s">
        <v>311</v>
      </c>
      <c r="G55" s="3" t="s">
        <v>312</v>
      </c>
      <c r="H55" t="s">
        <v>251</v>
      </c>
      <c r="I55" s="3" t="s">
        <v>313</v>
      </c>
    </row>
    <row r="56" spans="1:9" x14ac:dyDescent="0.3">
      <c r="A56" s="1">
        <v>13830.86</v>
      </c>
      <c r="B56" s="10"/>
      <c r="C56" s="9">
        <v>467.6</v>
      </c>
      <c r="D56" t="str">
        <f t="shared" si="0"/>
        <v>SG-SH-08194</v>
      </c>
      <c r="E56" s="4" t="s">
        <v>47</v>
      </c>
      <c r="F56" s="3" t="s">
        <v>316</v>
      </c>
      <c r="G56" s="3" t="s">
        <v>317</v>
      </c>
      <c r="H56" t="s">
        <v>251</v>
      </c>
      <c r="I56" s="3" t="s">
        <v>318</v>
      </c>
    </row>
    <row r="57" spans="1:9" x14ac:dyDescent="0.3">
      <c r="A57" s="1">
        <v>13608.87</v>
      </c>
      <c r="B57" s="10">
        <v>222</v>
      </c>
      <c r="C57" s="9"/>
      <c r="E57" s="4" t="s">
        <v>22</v>
      </c>
      <c r="F57" s="3" t="s">
        <v>320</v>
      </c>
      <c r="G57" s="3" t="s">
        <v>321</v>
      </c>
      <c r="H57" t="s">
        <v>322</v>
      </c>
      <c r="I57" s="3" t="s">
        <v>318</v>
      </c>
    </row>
    <row r="58" spans="1:9" x14ac:dyDescent="0.3">
      <c r="A58" s="1">
        <v>14097.85</v>
      </c>
      <c r="B58" s="10"/>
      <c r="C58" s="9">
        <v>488.98</v>
      </c>
      <c r="D58" t="str">
        <f t="shared" si="0"/>
        <v>SG-SH-08854</v>
      </c>
      <c r="E58" s="4" t="s">
        <v>48</v>
      </c>
      <c r="F58" s="3" t="s">
        <v>325</v>
      </c>
      <c r="G58" s="3" t="s">
        <v>326</v>
      </c>
      <c r="H58" t="s">
        <v>251</v>
      </c>
      <c r="I58" s="3" t="s">
        <v>327</v>
      </c>
    </row>
    <row r="59" spans="1:9" x14ac:dyDescent="0.3">
      <c r="A59" s="1">
        <v>14339.84</v>
      </c>
      <c r="B59" s="10"/>
      <c r="C59" s="9">
        <v>241.99</v>
      </c>
      <c r="D59" t="str">
        <f t="shared" si="0"/>
        <v>SG-SH-08986</v>
      </c>
      <c r="E59" s="4" t="s">
        <v>49</v>
      </c>
      <c r="F59" s="3" t="s">
        <v>330</v>
      </c>
      <c r="G59" s="3" t="s">
        <v>331</v>
      </c>
      <c r="H59" t="s">
        <v>251</v>
      </c>
      <c r="I59" s="3" t="s">
        <v>332</v>
      </c>
    </row>
    <row r="60" spans="1:9" x14ac:dyDescent="0.3">
      <c r="A60" s="1">
        <v>14171.84</v>
      </c>
      <c r="B60" s="10">
        <v>168</v>
      </c>
      <c r="C60" s="9"/>
      <c r="D60" t="e">
        <f t="shared" si="0"/>
        <v>#N/A</v>
      </c>
      <c r="E60" s="4" t="s">
        <v>31</v>
      </c>
      <c r="F60" s="3" t="s">
        <v>320</v>
      </c>
      <c r="G60" s="3" t="s">
        <v>334</v>
      </c>
      <c r="H60" t="s">
        <v>322</v>
      </c>
      <c r="I60" s="3" t="s">
        <v>332</v>
      </c>
    </row>
    <row r="61" spans="1:9" x14ac:dyDescent="0.3">
      <c r="A61" s="1">
        <v>14279.83</v>
      </c>
      <c r="B61" s="10"/>
      <c r="C61" s="9">
        <v>108</v>
      </c>
      <c r="D61" t="str">
        <f t="shared" si="0"/>
        <v>SG-SH-06115</v>
      </c>
      <c r="E61" s="4" t="s">
        <v>31</v>
      </c>
      <c r="F61" s="3" t="s">
        <v>336</v>
      </c>
      <c r="G61" s="3" t="s">
        <v>337</v>
      </c>
      <c r="H61" t="s">
        <v>251</v>
      </c>
      <c r="I61" s="3" t="s">
        <v>338</v>
      </c>
    </row>
    <row r="62" spans="1:9" x14ac:dyDescent="0.3">
      <c r="A62" s="1">
        <v>14478.83</v>
      </c>
      <c r="B62" s="10"/>
      <c r="C62" s="9">
        <v>199</v>
      </c>
      <c r="D62" t="str">
        <f t="shared" si="0"/>
        <v>SG-SH-05554</v>
      </c>
      <c r="E62" s="4" t="s">
        <v>50</v>
      </c>
      <c r="F62" s="3" t="s">
        <v>341</v>
      </c>
      <c r="G62" s="3" t="s">
        <v>342</v>
      </c>
      <c r="H62" t="s">
        <v>251</v>
      </c>
      <c r="I62" s="3" t="s">
        <v>338</v>
      </c>
    </row>
    <row r="63" spans="1:9" x14ac:dyDescent="0.3">
      <c r="A63" s="1">
        <v>14720.83</v>
      </c>
      <c r="B63" s="10"/>
      <c r="C63" s="9">
        <v>241.99</v>
      </c>
      <c r="D63" t="str">
        <f t="shared" si="0"/>
        <v>SG-SH-10144</v>
      </c>
      <c r="E63" s="4" t="s">
        <v>51</v>
      </c>
      <c r="F63" s="3" t="s">
        <v>344</v>
      </c>
      <c r="G63" s="3" t="s">
        <v>345</v>
      </c>
      <c r="H63" t="s">
        <v>251</v>
      </c>
      <c r="I63" s="3" t="s">
        <v>338</v>
      </c>
    </row>
    <row r="64" spans="1:9" x14ac:dyDescent="0.3">
      <c r="A64" s="1">
        <v>15345.8</v>
      </c>
      <c r="B64" s="10"/>
      <c r="C64" s="9">
        <v>624.98</v>
      </c>
      <c r="D64" t="str">
        <f t="shared" si="0"/>
        <v>SG-SH-10702</v>
      </c>
      <c r="E64" s="4" t="s">
        <v>52</v>
      </c>
      <c r="F64" s="3" t="s">
        <v>348</v>
      </c>
      <c r="G64" s="3" t="s">
        <v>349</v>
      </c>
      <c r="H64" t="s">
        <v>251</v>
      </c>
      <c r="I64" s="3" t="s">
        <v>350</v>
      </c>
    </row>
    <row r="65" spans="1:9" x14ac:dyDescent="0.3">
      <c r="A65" s="1">
        <v>15543.8</v>
      </c>
      <c r="B65" s="10"/>
      <c r="C65" s="9">
        <v>198</v>
      </c>
      <c r="D65" t="str">
        <f t="shared" si="0"/>
        <v>SG-SH-12154</v>
      </c>
      <c r="E65" s="4" t="s">
        <v>53</v>
      </c>
      <c r="F65" s="3" t="s">
        <v>352</v>
      </c>
      <c r="G65" s="3" t="s">
        <v>353</v>
      </c>
      <c r="H65" t="s">
        <v>251</v>
      </c>
      <c r="I65" s="3" t="s">
        <v>354</v>
      </c>
    </row>
    <row r="66" spans="1:9" x14ac:dyDescent="0.3">
      <c r="A66" s="1">
        <v>16011.79</v>
      </c>
      <c r="B66" s="10"/>
      <c r="C66" s="9">
        <v>467.99</v>
      </c>
      <c r="D66" t="str">
        <f t="shared" si="0"/>
        <v>SG-SH-12195</v>
      </c>
      <c r="E66" s="4" t="s">
        <v>54</v>
      </c>
      <c r="F66" s="3" t="s">
        <v>357</v>
      </c>
      <c r="G66" s="3" t="s">
        <v>358</v>
      </c>
      <c r="H66" t="s">
        <v>251</v>
      </c>
      <c r="I66" s="3" t="s">
        <v>354</v>
      </c>
    </row>
    <row r="67" spans="1:9" x14ac:dyDescent="0.3">
      <c r="A67" s="1">
        <v>16446.78</v>
      </c>
      <c r="B67" s="10"/>
      <c r="C67" s="9">
        <v>434.99</v>
      </c>
      <c r="D67" t="str">
        <f t="shared" si="0"/>
        <v>SG-SH-12196</v>
      </c>
      <c r="E67" s="4" t="s">
        <v>54</v>
      </c>
      <c r="F67" s="3" t="s">
        <v>361</v>
      </c>
      <c r="G67" s="3" t="s">
        <v>362</v>
      </c>
      <c r="H67" t="s">
        <v>251</v>
      </c>
      <c r="I67" s="3" t="s">
        <v>354</v>
      </c>
    </row>
    <row r="68" spans="1:9" x14ac:dyDescent="0.3">
      <c r="A68" s="1">
        <v>17424.75</v>
      </c>
      <c r="B68" s="10"/>
      <c r="C68" s="9">
        <v>977.97</v>
      </c>
      <c r="D68" t="str">
        <f t="shared" si="0"/>
        <v>SG-SH-08624</v>
      </c>
      <c r="E68" s="4" t="s">
        <v>55</v>
      </c>
      <c r="F68" s="3" t="s">
        <v>365</v>
      </c>
      <c r="G68" s="3" t="s">
        <v>366</v>
      </c>
      <c r="H68" t="s">
        <v>251</v>
      </c>
      <c r="I68" s="3" t="s">
        <v>354</v>
      </c>
    </row>
    <row r="69" spans="1:9" ht="21" customHeight="1" x14ac:dyDescent="0.3">
      <c r="B69" s="10">
        <v>8506.2800000000007</v>
      </c>
      <c r="C69" s="9">
        <f>SUBTOTAL(109,C2:C68)</f>
        <v>25931.090000000007</v>
      </c>
      <c r="D69" t="e">
        <f t="shared" si="0"/>
        <v>#N/A</v>
      </c>
      <c r="E69" s="4" t="s">
        <v>369</v>
      </c>
      <c r="F69" t="s">
        <v>65</v>
      </c>
      <c r="G69" s="3" t="s">
        <v>370</v>
      </c>
      <c r="H69" t="s">
        <v>371</v>
      </c>
    </row>
    <row r="70" spans="1:9" ht="38.25" customHeight="1" x14ac:dyDescent="0.3">
      <c r="B70" s="11">
        <v>8506.2800000000007</v>
      </c>
      <c r="C70" s="9">
        <v>25931.03</v>
      </c>
      <c r="D70" t="e">
        <f>_xlfn.TEXTBEFORE(F70, "#")</f>
        <v>#N/A</v>
      </c>
      <c r="E70" s="4" t="s">
        <v>372</v>
      </c>
    </row>
    <row r="71" spans="1:9" x14ac:dyDescent="0.3">
      <c r="B71" s="2"/>
      <c r="C71" s="8">
        <v>17424.75</v>
      </c>
      <c r="D71" t="e">
        <f>_xlfn.TEXTBEFORE(F71, "#")</f>
        <v>#N/A</v>
      </c>
      <c r="G71" s="3" t="s">
        <v>373</v>
      </c>
      <c r="H71" s="5" t="s">
        <v>374</v>
      </c>
    </row>
    <row r="72" spans="1:9" x14ac:dyDescent="0.3">
      <c r="B72" s="2"/>
    </row>
    <row r="73" spans="1:9" x14ac:dyDescent="0.3">
      <c r="C73" s="1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C160AA-B6A1-463A-9C3D-B5743E08D8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Table004 (Page 2)</vt:lpstr>
      <vt:lpstr>Table002 (Page 1)</vt:lpstr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Mirza</dc:creator>
  <cp:lastModifiedBy>Ali Mirza</cp:lastModifiedBy>
  <dcterms:created xsi:type="dcterms:W3CDTF">2026-09-13T07:46:37Z</dcterms:created>
  <dcterms:modified xsi:type="dcterms:W3CDTF">2026-09-17T05:45:21Z</dcterms:modified>
</cp:coreProperties>
</file>