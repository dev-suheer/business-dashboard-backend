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EBB3E25-ABBB-48C4-B921-E0A47B2F1CA0}" xr6:coauthVersionLast="47" xr6:coauthVersionMax="47" xr10:uidLastSave="{00000000-0000-0000-0000-000000000000}"/>
  <bookViews>
    <workbookView xWindow="-120" yWindow="-120" windowWidth="29040" windowHeight="15720" activeTab="4" xr2:uid="{79C51643-4B11-413C-8559-8429CFA6CF2C}"/>
  </bookViews>
  <sheets>
    <sheet name="RM eshp RECON" sheetId="4" r:id="rId1"/>
    <sheet name="Discount Base Sheet" sheetId="5" r:id="rId2"/>
    <sheet name="E-SHop 1 Vendor " sheetId="3" r:id="rId3"/>
    <sheet name="Food Analysis" sheetId="1" r:id="rId4"/>
    <sheet name="Food Vendor Report 7-12" sheetId="2" r:id="rId5"/>
  </sheets>
  <externalReferences>
    <externalReference r:id="rId6"/>
    <externalReference r:id="rId7"/>
  </externalReferences>
  <definedNames>
    <definedName name="_xlnm._FilterDatabase" localSheetId="1" hidden="1">'Discount Base Sheet'!$A$1:$U$101</definedName>
    <definedName name="_xlnm._FilterDatabase" localSheetId="2" hidden="1">'E-SHop 1 Vendor '!$A$1:$AW$77</definedName>
    <definedName name="_xlnm._FilterDatabase" localSheetId="3" hidden="1">'Food Analysis'!$A$1:$BL$1</definedName>
    <definedName name="_xlnm._FilterDatabase" localSheetId="4" hidden="1">'Food Vendor Report 7-12'!$A$2:$S$2</definedName>
    <definedName name="_xlnm._FilterDatabase" localSheetId="0" hidden="1">'RM eshp RECON'!$A$1:$AY$1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01" i="5" l="1"/>
  <c r="S101" i="5"/>
  <c r="R101" i="5"/>
  <c r="S100" i="5"/>
  <c r="T100" i="5" s="1"/>
  <c r="R100" i="5"/>
  <c r="S99" i="5"/>
  <c r="T99" i="5" s="1"/>
  <c r="R99" i="5"/>
  <c r="S98" i="5"/>
  <c r="R98" i="5"/>
  <c r="T98" i="5" s="1"/>
  <c r="S97" i="5"/>
  <c r="T97" i="5" s="1"/>
  <c r="R97" i="5"/>
  <c r="S96" i="5"/>
  <c r="R96" i="5"/>
  <c r="T96" i="5" s="1"/>
  <c r="T95" i="5"/>
  <c r="S95" i="5"/>
  <c r="R95" i="5"/>
  <c r="T94" i="5"/>
  <c r="S94" i="5"/>
  <c r="R94" i="5"/>
  <c r="S93" i="5"/>
  <c r="R93" i="5"/>
  <c r="T93" i="5" s="1"/>
  <c r="T92" i="5"/>
  <c r="S92" i="5"/>
  <c r="R92" i="5"/>
  <c r="S91" i="5"/>
  <c r="R91" i="5"/>
  <c r="T91" i="5" s="1"/>
  <c r="S90" i="5"/>
  <c r="R90" i="5"/>
  <c r="T90" i="5" s="1"/>
  <c r="S89" i="5"/>
  <c r="R89" i="5"/>
  <c r="T89" i="5" s="1"/>
  <c r="S88" i="5"/>
  <c r="R88" i="5"/>
  <c r="T88" i="5" s="1"/>
  <c r="T87" i="5"/>
  <c r="S87" i="5"/>
  <c r="R87" i="5"/>
  <c r="T86" i="5"/>
  <c r="S86" i="5"/>
  <c r="R86" i="5"/>
  <c r="S85" i="5"/>
  <c r="T85" i="5" s="1"/>
  <c r="R85" i="5"/>
  <c r="S84" i="5"/>
  <c r="R84" i="5"/>
  <c r="T84" i="5" s="1"/>
  <c r="S83" i="5"/>
  <c r="T83" i="5" s="1"/>
  <c r="R83" i="5"/>
  <c r="S82" i="5"/>
  <c r="R82" i="5"/>
  <c r="T82" i="5" s="1"/>
  <c r="T81" i="5"/>
  <c r="S81" i="5"/>
  <c r="R81" i="5"/>
  <c r="T80" i="5"/>
  <c r="S80" i="5"/>
  <c r="R80" i="5"/>
  <c r="S79" i="5"/>
  <c r="R79" i="5"/>
  <c r="T79" i="5" s="1"/>
  <c r="T78" i="5"/>
  <c r="S78" i="5"/>
  <c r="R78" i="5"/>
  <c r="S77" i="5"/>
  <c r="T77" i="5" s="1"/>
  <c r="R77" i="5"/>
  <c r="S76" i="5"/>
  <c r="R76" i="5"/>
  <c r="T76" i="5" s="1"/>
  <c r="S75" i="5"/>
  <c r="R75" i="5"/>
  <c r="T75" i="5" s="1"/>
  <c r="S74" i="5"/>
  <c r="R74" i="5"/>
  <c r="T74" i="5" s="1"/>
  <c r="T73" i="5"/>
  <c r="S73" i="5"/>
  <c r="R73" i="5"/>
  <c r="T72" i="5"/>
  <c r="S72" i="5"/>
  <c r="R72" i="5"/>
  <c r="S71" i="5"/>
  <c r="T71" i="5" s="1"/>
  <c r="R71" i="5"/>
  <c r="S70" i="5"/>
  <c r="R70" i="5"/>
  <c r="T70" i="5" s="1"/>
  <c r="S69" i="5"/>
  <c r="T69" i="5" s="1"/>
  <c r="R69" i="5"/>
  <c r="S68" i="5"/>
  <c r="R68" i="5"/>
  <c r="T68" i="5" s="1"/>
  <c r="T67" i="5"/>
  <c r="S67" i="5"/>
  <c r="R67" i="5"/>
  <c r="T66" i="5"/>
  <c r="S66" i="5"/>
  <c r="R66" i="5"/>
  <c r="S65" i="5"/>
  <c r="R65" i="5"/>
  <c r="T65" i="5" s="1"/>
  <c r="T64" i="5"/>
  <c r="S64" i="5"/>
  <c r="R64" i="5"/>
  <c r="S63" i="5"/>
  <c r="R63" i="5"/>
  <c r="T63" i="5" s="1"/>
  <c r="S62" i="5"/>
  <c r="R62" i="5"/>
  <c r="T62" i="5" s="1"/>
  <c r="S61" i="5"/>
  <c r="R61" i="5"/>
  <c r="T61" i="5" s="1"/>
  <c r="S60" i="5"/>
  <c r="R60" i="5"/>
  <c r="T60" i="5" s="1"/>
  <c r="T59" i="5"/>
  <c r="S59" i="5"/>
  <c r="R59" i="5"/>
  <c r="T58" i="5"/>
  <c r="S58" i="5"/>
  <c r="R58" i="5"/>
  <c r="S57" i="5"/>
  <c r="T57" i="5" s="1"/>
  <c r="R57" i="5"/>
  <c r="S56" i="5"/>
  <c r="R56" i="5"/>
  <c r="T56" i="5" s="1"/>
  <c r="S55" i="5"/>
  <c r="T55" i="5" s="1"/>
  <c r="R55" i="5"/>
  <c r="S54" i="5"/>
  <c r="R54" i="5"/>
  <c r="T54" i="5" s="1"/>
  <c r="T53" i="5"/>
  <c r="S53" i="5"/>
  <c r="R53" i="5"/>
  <c r="T52" i="5"/>
  <c r="S52" i="5"/>
  <c r="R52" i="5"/>
  <c r="S51" i="5"/>
  <c r="R51" i="5"/>
  <c r="T51" i="5" s="1"/>
  <c r="T50" i="5"/>
  <c r="S50" i="5"/>
  <c r="R50" i="5"/>
  <c r="T49" i="5"/>
  <c r="S49" i="5"/>
  <c r="R49" i="5"/>
  <c r="S48" i="5"/>
  <c r="R48" i="5"/>
  <c r="T48" i="5" s="1"/>
  <c r="S47" i="5"/>
  <c r="R47" i="5"/>
  <c r="T47" i="5" s="1"/>
  <c r="S46" i="5"/>
  <c r="R46" i="5"/>
  <c r="T46" i="5" s="1"/>
  <c r="T45" i="5"/>
  <c r="S45" i="5"/>
  <c r="R45" i="5"/>
  <c r="T44" i="5"/>
  <c r="S44" i="5"/>
  <c r="R44" i="5"/>
  <c r="S43" i="5"/>
  <c r="T43" i="5" s="1"/>
  <c r="R43" i="5"/>
  <c r="S42" i="5"/>
  <c r="R42" i="5"/>
  <c r="T42" i="5" s="1"/>
  <c r="S41" i="5"/>
  <c r="T41" i="5" s="1"/>
  <c r="R41" i="5"/>
  <c r="S40" i="5"/>
  <c r="T40" i="5" s="1"/>
  <c r="R40" i="5"/>
  <c r="T39" i="5"/>
  <c r="S39" i="5"/>
  <c r="R39" i="5"/>
  <c r="T38" i="5"/>
  <c r="S38" i="5"/>
  <c r="R38" i="5"/>
  <c r="S37" i="5"/>
  <c r="R37" i="5"/>
  <c r="T37" i="5" s="1"/>
  <c r="T36" i="5"/>
  <c r="S36" i="5"/>
  <c r="R36" i="5"/>
  <c r="T35" i="5"/>
  <c r="S35" i="5"/>
  <c r="R35" i="5"/>
  <c r="S34" i="5"/>
  <c r="R34" i="5"/>
  <c r="T34" i="5" s="1"/>
  <c r="S33" i="5"/>
  <c r="R33" i="5"/>
  <c r="T33" i="5" s="1"/>
  <c r="S32" i="5"/>
  <c r="R32" i="5"/>
  <c r="T32" i="5" s="1"/>
  <c r="T31" i="5"/>
  <c r="S31" i="5"/>
  <c r="R31" i="5"/>
  <c r="S30" i="5"/>
  <c r="T30" i="5" s="1"/>
  <c r="R30" i="5"/>
  <c r="S29" i="5"/>
  <c r="T29" i="5" s="1"/>
  <c r="R29" i="5"/>
  <c r="S28" i="5"/>
  <c r="R28" i="5"/>
  <c r="T28" i="5" s="1"/>
  <c r="S27" i="5"/>
  <c r="T27" i="5" s="1"/>
  <c r="R27" i="5"/>
  <c r="S26" i="5"/>
  <c r="T26" i="5" s="1"/>
  <c r="R26" i="5"/>
  <c r="T25" i="5"/>
  <c r="S25" i="5"/>
  <c r="R25" i="5"/>
  <c r="T24" i="5"/>
  <c r="S24" i="5"/>
  <c r="R24" i="5"/>
  <c r="S23" i="5"/>
  <c r="R23" i="5"/>
  <c r="T23" i="5" s="1"/>
  <c r="T22" i="5"/>
  <c r="S22" i="5"/>
  <c r="R22" i="5"/>
  <c r="T21" i="5"/>
  <c r="S21" i="5"/>
  <c r="R21" i="5"/>
  <c r="S20" i="5"/>
  <c r="R20" i="5"/>
  <c r="T20" i="5" s="1"/>
  <c r="S19" i="5"/>
  <c r="R19" i="5"/>
  <c r="T19" i="5" s="1"/>
  <c r="S18" i="5"/>
  <c r="R18" i="5"/>
  <c r="T18" i="5" s="1"/>
  <c r="T17" i="5"/>
  <c r="S17" i="5"/>
  <c r="R17" i="5"/>
  <c r="S16" i="5"/>
  <c r="T16" i="5" s="1"/>
  <c r="R16" i="5"/>
  <c r="S15" i="5"/>
  <c r="T15" i="5" s="1"/>
  <c r="R15" i="5"/>
  <c r="S14" i="5"/>
  <c r="R14" i="5"/>
  <c r="T14" i="5" s="1"/>
  <c r="S13" i="5"/>
  <c r="T13" i="5" s="1"/>
  <c r="R13" i="5"/>
  <c r="T12" i="5"/>
  <c r="S12" i="5"/>
  <c r="R12" i="5"/>
  <c r="T11" i="5"/>
  <c r="S11" i="5"/>
  <c r="R11" i="5"/>
  <c r="T10" i="5"/>
  <c r="S10" i="5"/>
  <c r="R10" i="5"/>
  <c r="S9" i="5"/>
  <c r="R9" i="5"/>
  <c r="T9" i="5" s="1"/>
  <c r="T8" i="5"/>
  <c r="S8" i="5"/>
  <c r="R8" i="5"/>
  <c r="T7" i="5"/>
  <c r="S7" i="5"/>
  <c r="R7" i="5"/>
  <c r="S6" i="5"/>
  <c r="R6" i="5"/>
  <c r="T6" i="5" s="1"/>
  <c r="S5" i="5"/>
  <c r="R5" i="5"/>
  <c r="T5" i="5" s="1"/>
  <c r="S4" i="5"/>
  <c r="R4" i="5"/>
  <c r="T4" i="5" s="1"/>
  <c r="T3" i="5"/>
  <c r="S3" i="5"/>
  <c r="R3" i="5"/>
  <c r="S2" i="5"/>
  <c r="T2" i="5" s="1"/>
  <c r="R2" i="5"/>
  <c r="G62" i="4"/>
  <c r="AF20" i="4"/>
  <c r="AF20" i="4" a="1"/>
  <c r="AE20" i="4"/>
  <c r="AC20" i="4"/>
  <c r="S18" i="4"/>
  <c r="M18" i="4"/>
  <c r="AF17" i="4"/>
  <c r="AF17" i="4" a="1"/>
  <c r="AE17" i="4"/>
  <c r="AD17" i="4"/>
  <c r="AB17" i="4"/>
  <c r="AC17" i="4" s="1"/>
  <c r="AF16" i="4" a="1"/>
  <c r="AB16" i="4" s="1"/>
  <c r="AE16" i="4"/>
  <c r="AF15" i="4" a="1"/>
  <c r="AF15" i="4" s="1"/>
  <c r="AF14" i="4" a="1"/>
  <c r="AF14" i="4" s="1"/>
  <c r="AE14" i="4"/>
  <c r="AB14" i="4"/>
  <c r="AC14" i="4" s="1"/>
  <c r="AF13" i="4" a="1"/>
  <c r="AF13" i="4" s="1"/>
  <c r="AF12" i="4" a="1"/>
  <c r="AF12" i="4" s="1"/>
  <c r="AB12" i="4"/>
  <c r="AC12" i="4" s="1"/>
  <c r="AF11" i="4" a="1"/>
  <c r="AE11" i="4" s="1"/>
  <c r="AF10" i="4"/>
  <c r="AF10" i="4" a="1"/>
  <c r="AE10" i="4"/>
  <c r="AD10" i="4"/>
  <c r="AB10" i="4"/>
  <c r="AC10" i="4" s="1"/>
  <c r="AF9" i="4" a="1"/>
  <c r="AB9" i="4" s="1"/>
  <c r="AE9" i="4"/>
  <c r="AF8" i="4" a="1"/>
  <c r="AF8" i="4" s="1"/>
  <c r="AF7" i="4" a="1"/>
  <c r="AF7" i="4" s="1"/>
  <c r="AE7" i="4"/>
  <c r="AB7" i="4"/>
  <c r="AD7" i="4" s="1"/>
  <c r="AF6" i="4" a="1"/>
  <c r="AF6" i="4" s="1"/>
  <c r="AF5" i="4" a="1"/>
  <c r="AF5" i="4" s="1"/>
  <c r="AB5" i="4"/>
  <c r="AC5" i="4" s="1"/>
  <c r="AF4" i="4" a="1"/>
  <c r="AE4" i="4" s="1"/>
  <c r="AF3" i="4"/>
  <c r="AF3" i="4" a="1"/>
  <c r="AE3" i="4"/>
  <c r="AB3" i="4"/>
  <c r="AD3" i="4" s="1"/>
  <c r="AF2" i="4" a="1"/>
  <c r="AB2" i="4" s="1"/>
  <c r="AR83" i="3"/>
  <c r="AS83" i="3" s="1"/>
  <c r="AR82" i="3"/>
  <c r="AS82" i="3" s="1"/>
  <c r="AV77" i="3"/>
  <c r="AQ76" i="3"/>
  <c r="AK76" i="3"/>
  <c r="AJ76" i="3"/>
  <c r="AI76" i="3"/>
  <c r="AE76" i="3"/>
  <c r="AD76" i="3"/>
  <c r="AQ75" i="3"/>
  <c r="AK75" i="3"/>
  <c r="AJ75" i="3" s="1"/>
  <c r="AI75" i="3"/>
  <c r="AE75" i="3"/>
  <c r="AD75" i="3"/>
  <c r="AQ74" i="3"/>
  <c r="AK74" i="3"/>
  <c r="AJ74" i="3"/>
  <c r="AI74" i="3"/>
  <c r="AE74" i="3"/>
  <c r="AD74" i="3"/>
  <c r="AQ73" i="3"/>
  <c r="AK73" i="3"/>
  <c r="AJ73" i="3" s="1"/>
  <c r="AI73" i="3"/>
  <c r="AE73" i="3"/>
  <c r="AD73" i="3"/>
  <c r="AQ72" i="3"/>
  <c r="AK72" i="3"/>
  <c r="AJ72" i="3"/>
  <c r="AI72" i="3"/>
  <c r="AE72" i="3"/>
  <c r="AD72" i="3"/>
  <c r="AK71" i="3"/>
  <c r="AQ71" i="3" s="1"/>
  <c r="AI71" i="3"/>
  <c r="AE71" i="3"/>
  <c r="AD71" i="3"/>
  <c r="AT70" i="3"/>
  <c r="AW70" i="3" s="1"/>
  <c r="AK70" i="3"/>
  <c r="AQ70" i="3" s="1"/>
  <c r="AR70" i="3" s="1"/>
  <c r="AI70" i="3"/>
  <c r="AE70" i="3"/>
  <c r="AD70" i="3"/>
  <c r="AK69" i="3"/>
  <c r="AQ69" i="3" s="1"/>
  <c r="AJ69" i="3"/>
  <c r="AI69" i="3"/>
  <c r="AE69" i="3"/>
  <c r="AD69" i="3"/>
  <c r="AK68" i="3"/>
  <c r="AQ68" i="3" s="1"/>
  <c r="AJ68" i="3"/>
  <c r="AI68" i="3"/>
  <c r="AE68" i="3"/>
  <c r="AD68" i="3"/>
  <c r="AR67" i="3"/>
  <c r="AT67" i="3" s="1"/>
  <c r="AW67" i="3" s="1"/>
  <c r="AQ67" i="3"/>
  <c r="AK67" i="3"/>
  <c r="AJ67" i="3" s="1"/>
  <c r="AI67" i="3"/>
  <c r="AE67" i="3"/>
  <c r="AD67" i="3"/>
  <c r="AQ66" i="3"/>
  <c r="AR66" i="3" s="1"/>
  <c r="AT66" i="3" s="1"/>
  <c r="AW66" i="3" s="1"/>
  <c r="AK66" i="3"/>
  <c r="AJ66" i="3"/>
  <c r="AI66" i="3"/>
  <c r="AE66" i="3"/>
  <c r="AD66" i="3"/>
  <c r="AK65" i="3"/>
  <c r="AQ65" i="3" s="1"/>
  <c r="AJ65" i="3"/>
  <c r="AI65" i="3"/>
  <c r="AE65" i="3"/>
  <c r="AD65" i="3"/>
  <c r="AQ64" i="3"/>
  <c r="AK64" i="3"/>
  <c r="AJ64" i="3"/>
  <c r="AI64" i="3"/>
  <c r="AE64" i="3"/>
  <c r="AD64" i="3"/>
  <c r="AK63" i="3"/>
  <c r="AQ63" i="3" s="1"/>
  <c r="AJ63" i="3"/>
  <c r="AI63" i="3"/>
  <c r="AE63" i="3"/>
  <c r="AD63" i="3"/>
  <c r="AQ62" i="3"/>
  <c r="AR62" i="3" s="1"/>
  <c r="AT62" i="3" s="1"/>
  <c r="AW62" i="3" s="1"/>
  <c r="AK62" i="3"/>
  <c r="AJ62" i="3"/>
  <c r="AI62" i="3"/>
  <c r="AE62" i="3"/>
  <c r="AD62" i="3"/>
  <c r="AK61" i="3"/>
  <c r="AJ61" i="3" s="1"/>
  <c r="AI61" i="3"/>
  <c r="AE61" i="3"/>
  <c r="AD61" i="3"/>
  <c r="AQ60" i="3"/>
  <c r="AK60" i="3"/>
  <c r="AJ60" i="3"/>
  <c r="AI60" i="3"/>
  <c r="AE60" i="3"/>
  <c r="AD60" i="3"/>
  <c r="AQ59" i="3"/>
  <c r="AK59" i="3"/>
  <c r="AJ59" i="3" s="1"/>
  <c r="AI59" i="3"/>
  <c r="AE59" i="3"/>
  <c r="AD59" i="3"/>
  <c r="AK58" i="3"/>
  <c r="AQ58" i="3" s="1"/>
  <c r="AJ58" i="3"/>
  <c r="AI58" i="3"/>
  <c r="AE58" i="3"/>
  <c r="AD58" i="3"/>
  <c r="AK57" i="3"/>
  <c r="AQ57" i="3" s="1"/>
  <c r="AI57" i="3"/>
  <c r="AE57" i="3"/>
  <c r="AD57" i="3"/>
  <c r="AQ56" i="3"/>
  <c r="AR56" i="3" s="1"/>
  <c r="AT56" i="3" s="1"/>
  <c r="AW56" i="3" s="1"/>
  <c r="AK56" i="3"/>
  <c r="AJ56" i="3" s="1"/>
  <c r="AI56" i="3"/>
  <c r="AE56" i="3"/>
  <c r="AD56" i="3"/>
  <c r="AK55" i="3"/>
  <c r="AQ55" i="3" s="1"/>
  <c r="AJ55" i="3"/>
  <c r="AI55" i="3"/>
  <c r="AE55" i="3"/>
  <c r="AD55" i="3"/>
  <c r="AK54" i="3"/>
  <c r="AQ54" i="3" s="1"/>
  <c r="AJ54" i="3"/>
  <c r="AI54" i="3"/>
  <c r="AE54" i="3"/>
  <c r="AD54" i="3"/>
  <c r="AR53" i="3"/>
  <c r="AT53" i="3" s="1"/>
  <c r="AW53" i="3" s="1"/>
  <c r="AQ53" i="3"/>
  <c r="AK53" i="3"/>
  <c r="AJ53" i="3" s="1"/>
  <c r="AI53" i="3"/>
  <c r="AE53" i="3"/>
  <c r="AD53" i="3"/>
  <c r="AK52" i="3"/>
  <c r="AQ52" i="3" s="1"/>
  <c r="AJ52" i="3"/>
  <c r="AI52" i="3"/>
  <c r="AE52" i="3"/>
  <c r="AD52" i="3"/>
  <c r="AK51" i="3"/>
  <c r="AQ51" i="3" s="1"/>
  <c r="AJ51" i="3"/>
  <c r="AI51" i="3"/>
  <c r="AE51" i="3"/>
  <c r="AD51" i="3"/>
  <c r="AQ50" i="3"/>
  <c r="AK50" i="3"/>
  <c r="AJ50" i="3"/>
  <c r="AI50" i="3"/>
  <c r="AE50" i="3"/>
  <c r="AD50" i="3"/>
  <c r="AK49" i="3" a="1"/>
  <c r="AK49" i="3" s="1"/>
  <c r="AJ49" i="3"/>
  <c r="AI49" i="3"/>
  <c r="AE49" i="3"/>
  <c r="AD49" i="3"/>
  <c r="AR48" i="3"/>
  <c r="AT48" i="3" s="1"/>
  <c r="AW48" i="3" s="1"/>
  <c r="AQ48" i="3"/>
  <c r="AK48" i="3"/>
  <c r="AJ48" i="3"/>
  <c r="AI48" i="3"/>
  <c r="AE48" i="3"/>
  <c r="AD48" i="3"/>
  <c r="AQ47" i="3"/>
  <c r="AR47" i="3" s="1"/>
  <c r="AK47" i="3"/>
  <c r="AJ47" i="3"/>
  <c r="AI47" i="3"/>
  <c r="AE47" i="3"/>
  <c r="AD47" i="3"/>
  <c r="AK46" i="3"/>
  <c r="AQ46" i="3" s="1"/>
  <c r="AJ46" i="3"/>
  <c r="AI46" i="3"/>
  <c r="AE46" i="3"/>
  <c r="AD46" i="3"/>
  <c r="AK45" i="3" a="1"/>
  <c r="AK45" i="3" s="1"/>
  <c r="AI45" i="3"/>
  <c r="AE45" i="3"/>
  <c r="AD45" i="3"/>
  <c r="AQ44" i="3"/>
  <c r="AK44" i="3" a="1"/>
  <c r="AK44" i="3" s="1"/>
  <c r="AJ44" i="3" s="1"/>
  <c r="AI44" i="3"/>
  <c r="AE44" i="3"/>
  <c r="AD44" i="3"/>
  <c r="AK43" i="3"/>
  <c r="AQ43" i="3" s="1"/>
  <c r="AI43" i="3"/>
  <c r="AE43" i="3"/>
  <c r="AD43" i="3"/>
  <c r="AK42" i="3" a="1"/>
  <c r="AK42" i="3" s="1"/>
  <c r="AI42" i="3"/>
  <c r="AE42" i="3"/>
  <c r="AD42" i="3"/>
  <c r="AK41" i="3"/>
  <c r="AI41" i="3"/>
  <c r="AE41" i="3"/>
  <c r="AD41" i="3"/>
  <c r="AK40" i="3"/>
  <c r="AQ40" i="3" s="1"/>
  <c r="AR40" i="3" s="1"/>
  <c r="AJ40" i="3"/>
  <c r="AI40" i="3"/>
  <c r="AE40" i="3"/>
  <c r="AD40" i="3"/>
  <c r="AK39" i="3"/>
  <c r="AQ39" i="3" s="1"/>
  <c r="AJ39" i="3"/>
  <c r="AI39" i="3"/>
  <c r="AE39" i="3"/>
  <c r="AD39" i="3"/>
  <c r="AK38" i="3" a="1"/>
  <c r="AK38" i="3" s="1"/>
  <c r="AJ38" i="3" s="1"/>
  <c r="AI38" i="3"/>
  <c r="AE38" i="3"/>
  <c r="AD38" i="3"/>
  <c r="AT37" i="3"/>
  <c r="AW37" i="3" s="1"/>
  <c r="AK37" i="3"/>
  <c r="AQ37" i="3" s="1"/>
  <c r="AR37" i="3" s="1"/>
  <c r="AJ37" i="3"/>
  <c r="AI37" i="3"/>
  <c r="AE37" i="3"/>
  <c r="AD37" i="3"/>
  <c r="AK36" i="3" a="1"/>
  <c r="AK36" i="3" s="1"/>
  <c r="AQ36" i="3" s="1"/>
  <c r="AJ36" i="3"/>
  <c r="AI36" i="3"/>
  <c r="AE36" i="3"/>
  <c r="AD36" i="3"/>
  <c r="AK35" i="3"/>
  <c r="AK35" i="3" a="1"/>
  <c r="AI35" i="3"/>
  <c r="AE35" i="3"/>
  <c r="AD35" i="3"/>
  <c r="AK34" i="3"/>
  <c r="AQ34" i="3" s="1"/>
  <c r="AJ34" i="3"/>
  <c r="AI34" i="3"/>
  <c r="AE34" i="3"/>
  <c r="AD34" i="3"/>
  <c r="AK33" i="3"/>
  <c r="AQ33" i="3" s="1"/>
  <c r="AJ33" i="3"/>
  <c r="AI33" i="3"/>
  <c r="AE33" i="3"/>
  <c r="AD33" i="3"/>
  <c r="AK32" i="3"/>
  <c r="AQ32" i="3" s="1"/>
  <c r="AJ32" i="3"/>
  <c r="AI32" i="3"/>
  <c r="AE32" i="3"/>
  <c r="AD32" i="3"/>
  <c r="AK31" i="3"/>
  <c r="AQ31" i="3" s="1"/>
  <c r="AR31" i="3" s="1"/>
  <c r="AI31" i="3"/>
  <c r="AE31" i="3"/>
  <c r="AD31" i="3"/>
  <c r="AK30" i="3" a="1"/>
  <c r="AK30" i="3" s="1"/>
  <c r="AQ30" i="3" s="1"/>
  <c r="AS30" i="3" s="1"/>
  <c r="AJ30" i="3"/>
  <c r="AI30" i="3"/>
  <c r="AE30" i="3"/>
  <c r="AD30" i="3"/>
  <c r="AR29" i="3"/>
  <c r="AT29" i="3" s="1"/>
  <c r="AW29" i="3" s="1"/>
  <c r="AK29" i="3"/>
  <c r="AQ29" i="3" s="1"/>
  <c r="AJ29" i="3"/>
  <c r="AI29" i="3"/>
  <c r="AE29" i="3"/>
  <c r="AD29" i="3"/>
  <c r="AK28" i="3"/>
  <c r="AQ28" i="3" s="1"/>
  <c r="AR28" i="3" s="1"/>
  <c r="AJ28" i="3"/>
  <c r="AI28" i="3"/>
  <c r="AE28" i="3"/>
  <c r="AD28" i="3"/>
  <c r="AI27" i="3"/>
  <c r="AE27" i="3"/>
  <c r="AD27" i="3"/>
  <c r="AQ26" i="3"/>
  <c r="AK26" i="3"/>
  <c r="AJ26" i="3"/>
  <c r="AI26" i="3"/>
  <c r="AE26" i="3"/>
  <c r="AD26" i="3"/>
  <c r="AQ25" i="3"/>
  <c r="AS25" i="3" s="1"/>
  <c r="AK25" i="3"/>
  <c r="AJ25" i="3" s="1"/>
  <c r="AK25" i="3" a="1"/>
  <c r="AI25" i="3"/>
  <c r="AE25" i="3"/>
  <c r="AD25" i="3"/>
  <c r="AK24" i="3"/>
  <c r="AQ24" i="3" s="1"/>
  <c r="AK24" i="3" a="1"/>
  <c r="AI24" i="3"/>
  <c r="AE24" i="3"/>
  <c r="AD24" i="3"/>
  <c r="AK23" i="3"/>
  <c r="AQ23" i="3" s="1"/>
  <c r="AJ23" i="3"/>
  <c r="AI23" i="3"/>
  <c r="AE23" i="3"/>
  <c r="AD23" i="3"/>
  <c r="AR22" i="3"/>
  <c r="AT22" i="3" s="1"/>
  <c r="AW22" i="3" s="1"/>
  <c r="AQ22" i="3"/>
  <c r="AK22" i="3"/>
  <c r="AJ22" i="3"/>
  <c r="AI22" i="3"/>
  <c r="AE22" i="3"/>
  <c r="AD22" i="3"/>
  <c r="AK21" i="3"/>
  <c r="AQ21" i="3" s="1"/>
  <c r="AI21" i="3"/>
  <c r="AE21" i="3"/>
  <c r="AD21" i="3"/>
  <c r="AQ20" i="3"/>
  <c r="AK20" i="3"/>
  <c r="AJ20" i="3"/>
  <c r="AI20" i="3"/>
  <c r="AE20" i="3"/>
  <c r="AD20" i="3"/>
  <c r="AQ19" i="3"/>
  <c r="AK19" i="3"/>
  <c r="AJ19" i="3" s="1"/>
  <c r="AI19" i="3"/>
  <c r="AE19" i="3"/>
  <c r="AD19" i="3"/>
  <c r="AK18" i="3" a="1"/>
  <c r="AK18" i="3" s="1"/>
  <c r="AI18" i="3"/>
  <c r="AE18" i="3"/>
  <c r="AD18" i="3"/>
  <c r="AQ17" i="3"/>
  <c r="AK17" i="3"/>
  <c r="AJ17" i="3"/>
  <c r="AI17" i="3"/>
  <c r="AE17" i="3"/>
  <c r="AD17" i="3"/>
  <c r="AK16" i="3"/>
  <c r="AJ16" i="3" s="1"/>
  <c r="AI16" i="3"/>
  <c r="AE16" i="3"/>
  <c r="AD16" i="3"/>
  <c r="AQ15" i="3"/>
  <c r="AK15" i="3"/>
  <c r="AJ15" i="3"/>
  <c r="AI15" i="3"/>
  <c r="AE15" i="3"/>
  <c r="AD15" i="3"/>
  <c r="AK14" i="3"/>
  <c r="AI14" i="3"/>
  <c r="AE14" i="3"/>
  <c r="AD14" i="3"/>
  <c r="AQ13" i="3"/>
  <c r="AK13" i="3"/>
  <c r="AJ13" i="3"/>
  <c r="AI13" i="3"/>
  <c r="AE13" i="3"/>
  <c r="AD13" i="3"/>
  <c r="AK12" i="3"/>
  <c r="AQ12" i="3" s="1"/>
  <c r="AJ12" i="3"/>
  <c r="AI12" i="3"/>
  <c r="AE12" i="3"/>
  <c r="AD12" i="3"/>
  <c r="AK11" i="3" a="1"/>
  <c r="AK11" i="3" s="1"/>
  <c r="AI11" i="3"/>
  <c r="AE11" i="3"/>
  <c r="AD11" i="3"/>
  <c r="AK10" i="3" a="1"/>
  <c r="AK10" i="3" s="1"/>
  <c r="AI10" i="3"/>
  <c r="AE10" i="3"/>
  <c r="AD10" i="3"/>
  <c r="AK9" i="3"/>
  <c r="AQ9" i="3" s="1"/>
  <c r="AJ9" i="3"/>
  <c r="AI9" i="3"/>
  <c r="AE9" i="3"/>
  <c r="AD9" i="3"/>
  <c r="AK8" i="3"/>
  <c r="AI8" i="3"/>
  <c r="AE8" i="3"/>
  <c r="AD8" i="3"/>
  <c r="AK7" i="3"/>
  <c r="AQ7" i="3" s="1"/>
  <c r="AJ7" i="3"/>
  <c r="AI7" i="3"/>
  <c r="AE7" i="3"/>
  <c r="AD7" i="3"/>
  <c r="AI6" i="3"/>
  <c r="AE6" i="3"/>
  <c r="AD6" i="3"/>
  <c r="AK5" i="3"/>
  <c r="AQ5" i="3" s="1"/>
  <c r="AK5" i="3" a="1"/>
  <c r="AI5" i="3"/>
  <c r="AE5" i="3"/>
  <c r="AD5" i="3"/>
  <c r="AK4" i="3" a="1"/>
  <c r="AK4" i="3" s="1"/>
  <c r="AI4" i="3"/>
  <c r="AE4" i="3"/>
  <c r="AD4" i="3"/>
  <c r="AT3" i="3"/>
  <c r="AK3" i="3"/>
  <c r="AQ3" i="3" s="1"/>
  <c r="AR3" i="3" s="1"/>
  <c r="AJ3" i="3"/>
  <c r="AI3" i="3"/>
  <c r="AE3" i="3"/>
  <c r="AD3" i="3"/>
  <c r="AY2" i="3"/>
  <c r="AZ2" i="3" s="1"/>
  <c r="AW2" i="3"/>
  <c r="AU2" i="3"/>
  <c r="AU77" i="3" s="1"/>
  <c r="AJ2" i="3"/>
  <c r="AI2" i="3"/>
  <c r="AF2" i="3"/>
  <c r="AG2" i="3" s="1"/>
  <c r="AE2" i="3"/>
  <c r="AD2" i="3"/>
  <c r="AC2" i="4" l="1"/>
  <c r="AD2" i="4"/>
  <c r="AC16" i="4"/>
  <c r="AD16" i="4"/>
  <c r="AC9" i="4"/>
  <c r="AD9" i="4"/>
  <c r="AX18" i="4"/>
  <c r="AF2" i="4"/>
  <c r="AD5" i="4"/>
  <c r="AD12" i="4"/>
  <c r="AC3" i="4"/>
  <c r="AE5" i="4"/>
  <c r="AE12" i="4"/>
  <c r="AW18" i="4"/>
  <c r="AF4" i="4"/>
  <c r="AC7" i="4"/>
  <c r="AD14" i="4"/>
  <c r="AY18" i="4"/>
  <c r="AF9" i="4"/>
  <c r="AB8" i="4"/>
  <c r="AB15" i="4"/>
  <c r="AB6" i="4"/>
  <c r="AB13" i="4"/>
  <c r="AF16" i="4"/>
  <c r="AE8" i="4"/>
  <c r="AE15" i="4"/>
  <c r="AB4" i="4"/>
  <c r="AB18" i="4" s="1"/>
  <c r="AE2" i="4"/>
  <c r="AB11" i="4"/>
  <c r="AE6" i="4"/>
  <c r="AE13" i="4"/>
  <c r="AF11" i="4"/>
  <c r="AT12" i="3"/>
  <c r="AW12" i="3" s="1"/>
  <c r="AR12" i="3"/>
  <c r="AT9" i="3"/>
  <c r="AW9" i="3" s="1"/>
  <c r="AR9" i="3"/>
  <c r="AQ18" i="3"/>
  <c r="AJ18" i="3"/>
  <c r="AT50" i="3"/>
  <c r="AW50" i="3" s="1"/>
  <c r="AS5" i="3"/>
  <c r="AT5" i="3" s="1"/>
  <c r="AW5" i="3" s="1"/>
  <c r="AR34" i="3"/>
  <c r="AT34" i="3" s="1"/>
  <c r="AW34" i="3" s="1"/>
  <c r="AJ10" i="3"/>
  <c r="AQ10" i="3"/>
  <c r="AT44" i="3"/>
  <c r="AW44" i="3" s="1"/>
  <c r="AT13" i="3"/>
  <c r="AW13" i="3" s="1"/>
  <c r="AS24" i="3"/>
  <c r="AT24" i="3" s="1"/>
  <c r="AW24" i="3" s="1"/>
  <c r="AR21" i="3"/>
  <c r="AT21" i="3"/>
  <c r="AW21" i="3" s="1"/>
  <c r="AT64" i="3"/>
  <c r="AW64" i="3" s="1"/>
  <c r="AT7" i="3"/>
  <c r="AW7" i="3" s="1"/>
  <c r="AR7" i="3"/>
  <c r="AQ4" i="3"/>
  <c r="AJ4" i="3"/>
  <c r="AR58" i="3"/>
  <c r="AT58" i="3" s="1"/>
  <c r="AW58" i="3" s="1"/>
  <c r="AQ49" i="3"/>
  <c r="BA2" i="3"/>
  <c r="AQ8" i="3"/>
  <c r="AJ8" i="3"/>
  <c r="AQ16" i="3"/>
  <c r="AT40" i="3"/>
  <c r="AW40" i="3" s="1"/>
  <c r="AT47" i="3"/>
  <c r="AW47" i="3" s="1"/>
  <c r="BB2" i="3"/>
  <c r="BC2" i="3" s="1"/>
  <c r="AQ14" i="3"/>
  <c r="AJ14" i="3"/>
  <c r="AR32" i="3"/>
  <c r="AT32" i="3" s="1"/>
  <c r="AW32" i="3" s="1"/>
  <c r="AS36" i="3"/>
  <c r="AT36" i="3" s="1"/>
  <c r="AW36" i="3" s="1"/>
  <c r="AJ45" i="3"/>
  <c r="AQ45" i="3" s="1"/>
  <c r="AT68" i="3"/>
  <c r="AW68" i="3" s="1"/>
  <c r="AR68" i="3"/>
  <c r="AJ24" i="3"/>
  <c r="AT28" i="3"/>
  <c r="AW28" i="3" s="1"/>
  <c r="AT30" i="3"/>
  <c r="AW30" i="3" s="1"/>
  <c r="AJ43" i="3"/>
  <c r="AR54" i="3"/>
  <c r="AT54" i="3" s="1"/>
  <c r="AW54" i="3" s="1"/>
  <c r="AR71" i="3"/>
  <c r="AT71" i="3" s="1"/>
  <c r="AW71" i="3" s="1"/>
  <c r="AT23" i="3"/>
  <c r="AW23" i="3" s="1"/>
  <c r="AQ42" i="3"/>
  <c r="AJ42" i="3"/>
  <c r="AR63" i="3"/>
  <c r="AT63" i="3" s="1"/>
  <c r="AW63" i="3" s="1"/>
  <c r="AT75" i="3"/>
  <c r="AW75" i="3" s="1"/>
  <c r="AR23" i="3"/>
  <c r="AT51" i="3"/>
  <c r="AW51" i="3" s="1"/>
  <c r="AR51" i="3"/>
  <c r="AR75" i="3"/>
  <c r="AT25" i="3"/>
  <c r="AW25" i="3" s="1"/>
  <c r="AQ38" i="3"/>
  <c r="AQ61" i="3"/>
  <c r="AT20" i="3"/>
  <c r="AW20" i="3" s="1"/>
  <c r="AR20" i="3"/>
  <c r="AT43" i="3"/>
  <c r="AW43" i="3" s="1"/>
  <c r="AR43" i="3"/>
  <c r="AR52" i="3"/>
  <c r="AT52" i="3" s="1"/>
  <c r="AW52" i="3" s="1"/>
  <c r="AQ41" i="3"/>
  <c r="AJ41" i="3"/>
  <c r="AR57" i="3"/>
  <c r="AT57" i="3" s="1"/>
  <c r="AW57" i="3" s="1"/>
  <c r="AR64" i="3"/>
  <c r="AJ5" i="3"/>
  <c r="AR46" i="3"/>
  <c r="AT46" i="3" s="1"/>
  <c r="AW46" i="3" s="1"/>
  <c r="AR50" i="3"/>
  <c r="AT69" i="3"/>
  <c r="AW69" i="3" s="1"/>
  <c r="AR69" i="3"/>
  <c r="AT74" i="3"/>
  <c r="AW74" i="3" s="1"/>
  <c r="AQ11" i="3"/>
  <c r="AJ11" i="3"/>
  <c r="AJ21" i="3"/>
  <c r="AR26" i="3"/>
  <c r="AT26" i="3" s="1"/>
  <c r="AW26" i="3" s="1"/>
  <c r="AJ31" i="3"/>
  <c r="AQ35" i="3"/>
  <c r="AJ35" i="3"/>
  <c r="AR39" i="3"/>
  <c r="AT39" i="3" s="1"/>
  <c r="AW39" i="3" s="1"/>
  <c r="AR55" i="3"/>
  <c r="AT55" i="3" s="1"/>
  <c r="AW55" i="3" s="1"/>
  <c r="AR33" i="3"/>
  <c r="AT33" i="3" s="1"/>
  <c r="AW33" i="3" s="1"/>
  <c r="AT72" i="3"/>
  <c r="AW72" i="3" s="1"/>
  <c r="AR72" i="3"/>
  <c r="AW3" i="3"/>
  <c r="AR13" i="3"/>
  <c r="AR15" i="3"/>
  <c r="AT15" i="3" s="1"/>
  <c r="AW15" i="3" s="1"/>
  <c r="AR17" i="3"/>
  <c r="AT17" i="3" s="1"/>
  <c r="AW17" i="3" s="1"/>
  <c r="AR19" i="3"/>
  <c r="AT19" i="3" s="1"/>
  <c r="AW19" i="3" s="1"/>
  <c r="AT31" i="3"/>
  <c r="AW31" i="3" s="1"/>
  <c r="AS44" i="3"/>
  <c r="AR65" i="3"/>
  <c r="AT65" i="3" s="1"/>
  <c r="AW65" i="3" s="1"/>
  <c r="AJ57" i="3"/>
  <c r="AJ71" i="3"/>
  <c r="AR60" i="3"/>
  <c r="AT60" i="3" s="1"/>
  <c r="AW60" i="3" s="1"/>
  <c r="AR74" i="3"/>
  <c r="AR81" i="3"/>
  <c r="AS81" i="3" s="1"/>
  <c r="AV81" i="3" s="1"/>
  <c r="AJ70" i="3"/>
  <c r="AR76" i="3"/>
  <c r="AT76" i="3" s="1"/>
  <c r="AW76" i="3" s="1"/>
  <c r="AR59" i="3"/>
  <c r="AT59" i="3" s="1"/>
  <c r="AW59" i="3" s="1"/>
  <c r="AR73" i="3"/>
  <c r="AT73" i="3" s="1"/>
  <c r="AW73" i="3" s="1"/>
  <c r="AD13" i="4" l="1"/>
  <c r="AC13" i="4"/>
  <c r="AD15" i="4"/>
  <c r="AC15" i="4"/>
  <c r="AD8" i="4"/>
  <c r="AC8" i="4"/>
  <c r="AD6" i="4"/>
  <c r="AC6" i="4"/>
  <c r="AD11" i="4"/>
  <c r="AC11" i="4"/>
  <c r="AD4" i="4"/>
  <c r="AC4" i="4"/>
  <c r="AS45" i="3"/>
  <c r="AT45" i="3" s="1"/>
  <c r="AW45" i="3" s="1"/>
  <c r="AS49" i="3"/>
  <c r="AT49" i="3" s="1"/>
  <c r="AW49" i="3" s="1"/>
  <c r="AS35" i="3"/>
  <c r="AT35" i="3" s="1"/>
  <c r="AW35" i="3" s="1"/>
  <c r="AS38" i="3"/>
  <c r="AT38" i="3" s="1"/>
  <c r="AW38" i="3" s="1"/>
  <c r="AS4" i="3"/>
  <c r="AQ77" i="3"/>
  <c r="AT4" i="3"/>
  <c r="AR14" i="3"/>
  <c r="AT14" i="3" s="1"/>
  <c r="AW14" i="3" s="1"/>
  <c r="AS10" i="3"/>
  <c r="AT10" i="3" s="1"/>
  <c r="AW10" i="3" s="1"/>
  <c r="AR41" i="3"/>
  <c r="AT41" i="3" s="1"/>
  <c r="AW41" i="3" s="1"/>
  <c r="AS11" i="3"/>
  <c r="AT11" i="3"/>
  <c r="AW11" i="3" s="1"/>
  <c r="AR16" i="3"/>
  <c r="AT16" i="3" s="1"/>
  <c r="AW16" i="3" s="1"/>
  <c r="AS18" i="3"/>
  <c r="AT18" i="3" s="1"/>
  <c r="AW18" i="3" s="1"/>
  <c r="AR61" i="3"/>
  <c r="AT61" i="3" s="1"/>
  <c r="AW61" i="3" s="1"/>
  <c r="AR8" i="3"/>
  <c r="AT8" i="3" s="1"/>
  <c r="AW8" i="3" s="1"/>
  <c r="AS42" i="3"/>
  <c r="AT42" i="3" s="1"/>
  <c r="AW42" i="3" s="1"/>
  <c r="AD18" i="4" l="1"/>
  <c r="AS77" i="3"/>
  <c r="AR77" i="3"/>
  <c r="AW4" i="3"/>
  <c r="AW77" i="3" s="1"/>
  <c r="AT77" i="3"/>
  <c r="S194" i="2" l="1"/>
  <c r="R194" i="2"/>
  <c r="Q194" i="2"/>
  <c r="S193" i="2"/>
  <c r="R193" i="2"/>
  <c r="Q193" i="2"/>
  <c r="S192" i="2"/>
  <c r="R192" i="2"/>
  <c r="Q192" i="2"/>
  <c r="S191" i="2"/>
  <c r="R191" i="2"/>
  <c r="Q191" i="2"/>
  <c r="S190" i="2"/>
  <c r="R190" i="2"/>
  <c r="Q190" i="2"/>
  <c r="S189" i="2"/>
  <c r="R189" i="2"/>
  <c r="Q189" i="2"/>
  <c r="S188" i="2"/>
  <c r="R188" i="2"/>
  <c r="Q188" i="2"/>
  <c r="S187" i="2"/>
  <c r="R187" i="2"/>
  <c r="Q187" i="2"/>
  <c r="S186" i="2"/>
  <c r="R186" i="2"/>
  <c r="Q186" i="2"/>
  <c r="S185" i="2"/>
  <c r="R185" i="2"/>
  <c r="Q185" i="2"/>
  <c r="S184" i="2"/>
  <c r="R184" i="2"/>
  <c r="Q184" i="2"/>
  <c r="S183" i="2"/>
  <c r="R183" i="2"/>
  <c r="Q183" i="2"/>
  <c r="S182" i="2"/>
  <c r="R182" i="2"/>
  <c r="Q182" i="2"/>
  <c r="S181" i="2"/>
  <c r="R181" i="2"/>
  <c r="Q181" i="2"/>
  <c r="S180" i="2"/>
  <c r="R180" i="2"/>
  <c r="Q180" i="2"/>
  <c r="S179" i="2"/>
  <c r="R179" i="2"/>
  <c r="Q179" i="2"/>
  <c r="S178" i="2"/>
  <c r="R178" i="2"/>
  <c r="Q178" i="2"/>
  <c r="S177" i="2"/>
  <c r="R177" i="2"/>
  <c r="Q177" i="2"/>
  <c r="S176" i="2"/>
  <c r="R176" i="2"/>
  <c r="Q176" i="2"/>
  <c r="S175" i="2"/>
  <c r="R175" i="2"/>
  <c r="Q175" i="2"/>
  <c r="S174" i="2"/>
  <c r="R174" i="2"/>
  <c r="Q174" i="2"/>
  <c r="S173" i="2"/>
  <c r="R173" i="2"/>
  <c r="Q173" i="2"/>
  <c r="S172" i="2"/>
  <c r="R172" i="2"/>
  <c r="Q172" i="2"/>
  <c r="S171" i="2"/>
  <c r="R171" i="2"/>
  <c r="Q171" i="2"/>
  <c r="S170" i="2"/>
  <c r="R170" i="2"/>
  <c r="Q170" i="2"/>
  <c r="S169" i="2"/>
  <c r="R169" i="2"/>
  <c r="Q169" i="2"/>
  <c r="S168" i="2"/>
  <c r="R168" i="2"/>
  <c r="Q168" i="2"/>
  <c r="S167" i="2"/>
  <c r="R167" i="2"/>
  <c r="Q167" i="2"/>
  <c r="S166" i="2"/>
  <c r="R166" i="2"/>
  <c r="Q166" i="2"/>
  <c r="S165" i="2"/>
  <c r="R165" i="2"/>
  <c r="Q165" i="2"/>
  <c r="S164" i="2"/>
  <c r="R164" i="2"/>
  <c r="Q164" i="2"/>
  <c r="S163" i="2"/>
  <c r="R163" i="2"/>
  <c r="Q163" i="2"/>
  <c r="S162" i="2"/>
  <c r="R162" i="2"/>
  <c r="Q162" i="2"/>
  <c r="S161" i="2"/>
  <c r="R161" i="2"/>
  <c r="Q161" i="2"/>
  <c r="S160" i="2"/>
  <c r="R160" i="2"/>
  <c r="Q160" i="2"/>
  <c r="S159" i="2"/>
  <c r="R159" i="2"/>
  <c r="Q159" i="2"/>
  <c r="S158" i="2"/>
  <c r="R158" i="2"/>
  <c r="Q158" i="2"/>
  <c r="S157" i="2"/>
  <c r="R157" i="2"/>
  <c r="Q157" i="2"/>
  <c r="S156" i="2"/>
  <c r="R156" i="2"/>
  <c r="Q156" i="2"/>
  <c r="S155" i="2"/>
  <c r="R155" i="2"/>
  <c r="Q155" i="2"/>
  <c r="S154" i="2"/>
  <c r="R154" i="2"/>
  <c r="Q154" i="2"/>
  <c r="S153" i="2"/>
  <c r="R153" i="2"/>
  <c r="Q153" i="2"/>
  <c r="S152" i="2"/>
  <c r="R152" i="2"/>
  <c r="Q152" i="2"/>
  <c r="S151" i="2"/>
  <c r="R151" i="2"/>
  <c r="Q151" i="2"/>
  <c r="S150" i="2"/>
  <c r="R150" i="2"/>
  <c r="Q150" i="2"/>
  <c r="S149" i="2"/>
  <c r="R149" i="2"/>
  <c r="Q149" i="2"/>
  <c r="S148" i="2"/>
  <c r="R148" i="2"/>
  <c r="Q148" i="2"/>
  <c r="S147" i="2"/>
  <c r="R147" i="2"/>
  <c r="Q147" i="2"/>
  <c r="S146" i="2"/>
  <c r="R146" i="2"/>
  <c r="Q146" i="2"/>
  <c r="S145" i="2"/>
  <c r="R145" i="2"/>
  <c r="Q145" i="2"/>
  <c r="S144" i="2"/>
  <c r="R144" i="2"/>
  <c r="Q144" i="2"/>
  <c r="S143" i="2"/>
  <c r="R143" i="2"/>
  <c r="Q143" i="2"/>
  <c r="S142" i="2"/>
  <c r="R142" i="2"/>
  <c r="Q142" i="2"/>
  <c r="S141" i="2"/>
  <c r="R141" i="2"/>
  <c r="Q141" i="2"/>
  <c r="S140" i="2"/>
  <c r="R140" i="2"/>
  <c r="Q140" i="2"/>
  <c r="S139" i="2"/>
  <c r="R139" i="2"/>
  <c r="Q139" i="2"/>
  <c r="S138" i="2"/>
  <c r="R138" i="2"/>
  <c r="Q138" i="2"/>
  <c r="S137" i="2"/>
  <c r="R137" i="2"/>
  <c r="Q137" i="2"/>
  <c r="S136" i="2"/>
  <c r="R136" i="2"/>
  <c r="Q136" i="2"/>
  <c r="S135" i="2"/>
  <c r="R135" i="2"/>
  <c r="Q135" i="2"/>
  <c r="S134" i="2"/>
  <c r="R134" i="2"/>
  <c r="Q134" i="2"/>
  <c r="S133" i="2"/>
  <c r="R133" i="2"/>
  <c r="Q133" i="2"/>
  <c r="S132" i="2"/>
  <c r="R132" i="2"/>
  <c r="Q132" i="2"/>
  <c r="S131" i="2"/>
  <c r="R131" i="2"/>
  <c r="Q131" i="2"/>
  <c r="S130" i="2"/>
  <c r="R130" i="2"/>
  <c r="Q130" i="2"/>
  <c r="S129" i="2"/>
  <c r="R129" i="2"/>
  <c r="Q129" i="2"/>
  <c r="S128" i="2"/>
  <c r="R128" i="2"/>
  <c r="Q128" i="2"/>
  <c r="S127" i="2"/>
  <c r="R127" i="2"/>
  <c r="Q127" i="2"/>
  <c r="S126" i="2"/>
  <c r="R126" i="2"/>
  <c r="Q126" i="2"/>
  <c r="S125" i="2"/>
  <c r="R125" i="2"/>
  <c r="Q125" i="2"/>
  <c r="S124" i="2"/>
  <c r="R124" i="2"/>
  <c r="Q124" i="2"/>
  <c r="S123" i="2"/>
  <c r="R123" i="2"/>
  <c r="Q123" i="2"/>
  <c r="S122" i="2"/>
  <c r="R122" i="2"/>
  <c r="Q122" i="2"/>
  <c r="S121" i="2"/>
  <c r="R121" i="2"/>
  <c r="Q121" i="2"/>
  <c r="S120" i="2"/>
  <c r="R120" i="2"/>
  <c r="Q120" i="2"/>
  <c r="S119" i="2"/>
  <c r="R119" i="2"/>
  <c r="Q119" i="2"/>
  <c r="S118" i="2"/>
  <c r="R118" i="2"/>
  <c r="Q118" i="2"/>
  <c r="S117" i="2"/>
  <c r="R117" i="2"/>
  <c r="Q117" i="2"/>
  <c r="S116" i="2"/>
  <c r="R116" i="2"/>
  <c r="Q116" i="2"/>
  <c r="S115" i="2"/>
  <c r="R115" i="2"/>
  <c r="Q115" i="2"/>
  <c r="S114" i="2"/>
  <c r="R114" i="2"/>
  <c r="Q114" i="2"/>
  <c r="S113" i="2"/>
  <c r="R113" i="2"/>
  <c r="Q113" i="2"/>
  <c r="S112" i="2"/>
  <c r="R112" i="2"/>
  <c r="Q112" i="2"/>
  <c r="S111" i="2"/>
  <c r="R111" i="2"/>
  <c r="Q111" i="2"/>
  <c r="S110" i="2"/>
  <c r="R110" i="2"/>
  <c r="Q110" i="2"/>
  <c r="S109" i="2"/>
  <c r="R109" i="2"/>
  <c r="Q109" i="2"/>
  <c r="S108" i="2"/>
  <c r="R108" i="2"/>
  <c r="Q108" i="2"/>
  <c r="S107" i="2"/>
  <c r="R107" i="2"/>
  <c r="Q107" i="2"/>
  <c r="S106" i="2"/>
  <c r="R106" i="2"/>
  <c r="Q106" i="2"/>
  <c r="S105" i="2"/>
  <c r="R105" i="2"/>
  <c r="Q105" i="2"/>
  <c r="S104" i="2"/>
  <c r="R104" i="2"/>
  <c r="Q104" i="2"/>
  <c r="S103" i="2"/>
  <c r="R103" i="2"/>
  <c r="Q103" i="2"/>
  <c r="S102" i="2"/>
  <c r="R102" i="2"/>
  <c r="Q102" i="2"/>
  <c r="S101" i="2"/>
  <c r="R101" i="2"/>
  <c r="Q101" i="2"/>
  <c r="S100" i="2"/>
  <c r="R100" i="2"/>
  <c r="Q100" i="2"/>
  <c r="S99" i="2"/>
  <c r="R99" i="2"/>
  <c r="Q99" i="2"/>
  <c r="S98" i="2"/>
  <c r="R98" i="2"/>
  <c r="Q98" i="2"/>
  <c r="S97" i="2"/>
  <c r="R97" i="2"/>
  <c r="Q97" i="2"/>
  <c r="S96" i="2"/>
  <c r="R96" i="2"/>
  <c r="Q96" i="2"/>
  <c r="S95" i="2"/>
  <c r="R95" i="2"/>
  <c r="Q95" i="2"/>
  <c r="S94" i="2"/>
  <c r="R94" i="2"/>
  <c r="Q94" i="2"/>
  <c r="S93" i="2"/>
  <c r="R93" i="2"/>
  <c r="Q93" i="2"/>
  <c r="S92" i="2"/>
  <c r="R92" i="2"/>
  <c r="Q92" i="2"/>
  <c r="S91" i="2"/>
  <c r="R91" i="2"/>
  <c r="Q91" i="2"/>
  <c r="S90" i="2"/>
  <c r="R90" i="2"/>
  <c r="Q90" i="2"/>
  <c r="S89" i="2"/>
  <c r="R89" i="2"/>
  <c r="Q89" i="2"/>
  <c r="S88" i="2"/>
  <c r="R88" i="2"/>
  <c r="Q88" i="2"/>
  <c r="S87" i="2"/>
  <c r="R87" i="2"/>
  <c r="Q87" i="2"/>
  <c r="S86" i="2"/>
  <c r="R86" i="2"/>
  <c r="Q86" i="2"/>
  <c r="S85" i="2"/>
  <c r="R85" i="2"/>
  <c r="Q85" i="2"/>
  <c r="S84" i="2"/>
  <c r="R84" i="2"/>
  <c r="Q84" i="2"/>
  <c r="S83" i="2"/>
  <c r="R83" i="2"/>
  <c r="Q83" i="2"/>
  <c r="S82" i="2"/>
  <c r="R82" i="2"/>
  <c r="Q82" i="2"/>
  <c r="S81" i="2"/>
  <c r="R81" i="2"/>
  <c r="Q81" i="2"/>
  <c r="S80" i="2"/>
  <c r="R80" i="2"/>
  <c r="Q80" i="2"/>
  <c r="S79" i="2"/>
  <c r="R79" i="2"/>
  <c r="Q79" i="2"/>
  <c r="S78" i="2"/>
  <c r="R78" i="2"/>
  <c r="Q78" i="2"/>
  <c r="S77" i="2"/>
  <c r="R77" i="2"/>
  <c r="Q77" i="2"/>
  <c r="S76" i="2"/>
  <c r="R76" i="2"/>
  <c r="Q76" i="2"/>
  <c r="S75" i="2"/>
  <c r="R75" i="2"/>
  <c r="Q75" i="2"/>
  <c r="S74" i="2"/>
  <c r="R74" i="2"/>
  <c r="Q74" i="2"/>
  <c r="S73" i="2"/>
  <c r="R73" i="2"/>
  <c r="Q73" i="2"/>
  <c r="S72" i="2"/>
  <c r="R72" i="2"/>
  <c r="Q72" i="2"/>
  <c r="S71" i="2"/>
  <c r="R71" i="2"/>
  <c r="Q71" i="2"/>
  <c r="S70" i="2"/>
  <c r="R70" i="2"/>
  <c r="Q70" i="2"/>
  <c r="S69" i="2"/>
  <c r="R69" i="2"/>
  <c r="Q69" i="2"/>
  <c r="S68" i="2"/>
  <c r="R68" i="2"/>
  <c r="Q68" i="2"/>
  <c r="S67" i="2"/>
  <c r="R67" i="2"/>
  <c r="Q67" i="2"/>
  <c r="S66" i="2"/>
  <c r="R66" i="2"/>
  <c r="Q66" i="2"/>
  <c r="S65" i="2"/>
  <c r="R65" i="2"/>
  <c r="Q65" i="2"/>
  <c r="S64" i="2"/>
  <c r="R64" i="2"/>
  <c r="Q64" i="2"/>
  <c r="S63" i="2"/>
  <c r="R63" i="2"/>
  <c r="Q63" i="2"/>
  <c r="S62" i="2"/>
  <c r="R62" i="2"/>
  <c r="Q62" i="2"/>
  <c r="S61" i="2"/>
  <c r="R61" i="2"/>
  <c r="Q61" i="2"/>
  <c r="S60" i="2"/>
  <c r="R60" i="2"/>
  <c r="Q60" i="2"/>
  <c r="S59" i="2"/>
  <c r="R59" i="2"/>
  <c r="Q59" i="2"/>
  <c r="S58" i="2"/>
  <c r="R58" i="2"/>
  <c r="Q58" i="2"/>
  <c r="S57" i="2"/>
  <c r="R57" i="2"/>
  <c r="Q57" i="2"/>
  <c r="S56" i="2"/>
  <c r="R56" i="2"/>
  <c r="Q56" i="2"/>
  <c r="S55" i="2"/>
  <c r="R55" i="2"/>
  <c r="Q55" i="2"/>
  <c r="S54" i="2"/>
  <c r="R54" i="2"/>
  <c r="Q54" i="2"/>
  <c r="S53" i="2"/>
  <c r="R53" i="2"/>
  <c r="Q53" i="2"/>
  <c r="S52" i="2"/>
  <c r="R52" i="2"/>
  <c r="Q52" i="2"/>
  <c r="S51" i="2"/>
  <c r="R51" i="2"/>
  <c r="Q51" i="2"/>
  <c r="S50" i="2"/>
  <c r="R50" i="2"/>
  <c r="Q50" i="2"/>
  <c r="S49" i="2"/>
  <c r="R49" i="2"/>
  <c r="Q49" i="2"/>
  <c r="S48" i="2"/>
  <c r="R48" i="2"/>
  <c r="Q48" i="2"/>
  <c r="S47" i="2"/>
  <c r="R47" i="2"/>
  <c r="Q47" i="2"/>
  <c r="S46" i="2"/>
  <c r="R46" i="2"/>
  <c r="Q46" i="2"/>
  <c r="S45" i="2"/>
  <c r="R45" i="2"/>
  <c r="Q45" i="2"/>
  <c r="S44" i="2"/>
  <c r="R44" i="2"/>
  <c r="Q44" i="2"/>
  <c r="S43" i="2"/>
  <c r="R43" i="2"/>
  <c r="Q43" i="2"/>
  <c r="S42" i="2"/>
  <c r="R42" i="2"/>
  <c r="Q42" i="2"/>
  <c r="S41" i="2"/>
  <c r="R41" i="2"/>
  <c r="Q41" i="2"/>
  <c r="S40" i="2"/>
  <c r="R40" i="2"/>
  <c r="Q40" i="2"/>
  <c r="S39" i="2"/>
  <c r="R39" i="2"/>
  <c r="Q39" i="2"/>
  <c r="S38" i="2"/>
  <c r="R38" i="2"/>
  <c r="Q38" i="2"/>
  <c r="S37" i="2"/>
  <c r="R37" i="2"/>
  <c r="Q37" i="2"/>
  <c r="S36" i="2"/>
  <c r="R36" i="2"/>
  <c r="Q36" i="2"/>
  <c r="S35" i="2"/>
  <c r="R35" i="2"/>
  <c r="Q35" i="2"/>
  <c r="S34" i="2"/>
  <c r="R34" i="2"/>
  <c r="Q34" i="2"/>
  <c r="S33" i="2"/>
  <c r="R33" i="2"/>
  <c r="Q33" i="2"/>
  <c r="S32" i="2"/>
  <c r="R32" i="2"/>
  <c r="Q32" i="2"/>
  <c r="S31" i="2"/>
  <c r="R31" i="2"/>
  <c r="Q31" i="2"/>
  <c r="S30" i="2"/>
  <c r="R30" i="2"/>
  <c r="Q30" i="2"/>
  <c r="S29" i="2"/>
  <c r="R29" i="2"/>
  <c r="Q29" i="2"/>
  <c r="S28" i="2"/>
  <c r="R28" i="2"/>
  <c r="Q28" i="2"/>
  <c r="S27" i="2"/>
  <c r="R27" i="2"/>
  <c r="Q27" i="2"/>
  <c r="S26" i="2"/>
  <c r="R26" i="2"/>
  <c r="Q26" i="2"/>
  <c r="S25" i="2"/>
  <c r="R25" i="2"/>
  <c r="Q25" i="2"/>
  <c r="S24" i="2"/>
  <c r="R24" i="2"/>
  <c r="Q24" i="2"/>
  <c r="S23" i="2"/>
  <c r="R23" i="2"/>
  <c r="Q23" i="2"/>
  <c r="S22" i="2"/>
  <c r="R22" i="2"/>
  <c r="Q22" i="2"/>
  <c r="S21" i="2"/>
  <c r="R21" i="2"/>
  <c r="Q21" i="2"/>
  <c r="S20" i="2"/>
  <c r="R20" i="2"/>
  <c r="Q20" i="2"/>
  <c r="S19" i="2"/>
  <c r="R19" i="2"/>
  <c r="Q19" i="2"/>
  <c r="S18" i="2"/>
  <c r="R18" i="2"/>
  <c r="Q18" i="2"/>
  <c r="S17" i="2"/>
  <c r="R17" i="2"/>
  <c r="Q17" i="2"/>
  <c r="S16" i="2"/>
  <c r="R16" i="2"/>
  <c r="Q16" i="2"/>
  <c r="S15" i="2"/>
  <c r="R15" i="2"/>
  <c r="Q15" i="2"/>
  <c r="S14" i="2"/>
  <c r="R14" i="2"/>
  <c r="Q14" i="2"/>
  <c r="S13" i="2"/>
  <c r="R13" i="2"/>
  <c r="Q13" i="2"/>
  <c r="S12" i="2"/>
  <c r="R12" i="2"/>
  <c r="Q12" i="2"/>
  <c r="S11" i="2"/>
  <c r="R11" i="2"/>
  <c r="Q11" i="2"/>
  <c r="S10" i="2"/>
  <c r="R10" i="2"/>
  <c r="Q10" i="2"/>
  <c r="S9" i="2"/>
  <c r="R9" i="2"/>
  <c r="Q9" i="2"/>
  <c r="S8" i="2"/>
  <c r="R8" i="2"/>
  <c r="Q8" i="2"/>
  <c r="S7" i="2"/>
  <c r="R7" i="2"/>
  <c r="Q7" i="2"/>
  <c r="S6" i="2"/>
  <c r="R6" i="2"/>
  <c r="Q6" i="2"/>
  <c r="S5" i="2"/>
  <c r="R5" i="2"/>
  <c r="Q5" i="2"/>
  <c r="S4" i="2"/>
  <c r="R4" i="2"/>
  <c r="Q4" i="2"/>
  <c r="Q1" i="2" s="1"/>
  <c r="S3" i="2"/>
  <c r="R3" i="2"/>
  <c r="Q3" i="2"/>
  <c r="Y200" i="1"/>
  <c r="X200" i="1"/>
  <c r="U200" i="1"/>
  <c r="BL194" i="1"/>
  <c r="BK194" i="1"/>
  <c r="BJ194" i="1"/>
  <c r="BI194" i="1"/>
  <c r="BH194" i="1"/>
  <c r="AH194" i="1"/>
  <c r="AB200" i="1" s="1"/>
  <c r="AG194" i="1"/>
  <c r="AA200" i="1" s="1"/>
  <c r="AC200" i="1" s="1"/>
  <c r="Z194" i="1"/>
  <c r="W194" i="1"/>
  <c r="AD200" i="1" s="1"/>
  <c r="T194" i="1"/>
  <c r="V200" i="1" s="1"/>
  <c r="S194" i="1"/>
  <c r="AF200" i="1" s="1"/>
  <c r="Q194" i="1"/>
  <c r="BL193" i="1"/>
  <c r="BK193" i="1"/>
  <c r="BJ193" i="1"/>
  <c r="AS193" i="1"/>
  <c r="AQ193" i="1"/>
  <c r="AR193" i="1" s="1"/>
  <c r="AO193" i="1"/>
  <c r="AN193" i="1"/>
  <c r="AM193" i="1"/>
  <c r="AD193" i="1"/>
  <c r="AE193" i="1" s="1"/>
  <c r="Y193" i="1"/>
  <c r="W193" i="1"/>
  <c r="AA193" i="1" s="1"/>
  <c r="AL193" i="1" s="1"/>
  <c r="S193" i="1"/>
  <c r="V193" i="1" s="1"/>
  <c r="AS192" i="1"/>
  <c r="AR192" i="1"/>
  <c r="AQ192" i="1"/>
  <c r="AO192" i="1"/>
  <c r="AN192" i="1"/>
  <c r="AM192" i="1"/>
  <c r="AS191" i="1"/>
  <c r="AQ191" i="1"/>
  <c r="AR191" i="1" s="1"/>
  <c r="AO191" i="1"/>
  <c r="AN191" i="1"/>
  <c r="AM191" i="1"/>
  <c r="AS190" i="1"/>
  <c r="AR190" i="1"/>
  <c r="AQ190" i="1"/>
  <c r="AO190" i="1"/>
  <c r="AN190" i="1"/>
  <c r="AM190" i="1"/>
  <c r="AS189" i="1"/>
  <c r="AQ189" i="1"/>
  <c r="AR189" i="1" s="1"/>
  <c r="AO189" i="1"/>
  <c r="AN189" i="1"/>
  <c r="AM189" i="1"/>
  <c r="AS188" i="1"/>
  <c r="AQ188" i="1"/>
  <c r="AR188" i="1" s="1"/>
  <c r="AO188" i="1"/>
  <c r="AN188" i="1"/>
  <c r="AM188" i="1"/>
  <c r="AS187" i="1"/>
  <c r="AQ187" i="1"/>
  <c r="AR187" i="1" s="1"/>
  <c r="AO187" i="1"/>
  <c r="AN187" i="1"/>
  <c r="AM187" i="1"/>
  <c r="AS186" i="1"/>
  <c r="AQ186" i="1"/>
  <c r="AR186" i="1" s="1"/>
  <c r="AO186" i="1"/>
  <c r="AN186" i="1"/>
  <c r="AM186" i="1"/>
  <c r="AS185" i="1"/>
  <c r="AR185" i="1"/>
  <c r="AQ185" i="1"/>
  <c r="AO185" i="1"/>
  <c r="AN185" i="1"/>
  <c r="AM185" i="1"/>
  <c r="AS184" i="1"/>
  <c r="AQ184" i="1"/>
  <c r="AR184" i="1" s="1"/>
  <c r="AO184" i="1"/>
  <c r="AN184" i="1"/>
  <c r="AM184" i="1"/>
  <c r="AS183" i="1"/>
  <c r="AR183" i="1"/>
  <c r="AQ183" i="1"/>
  <c r="AO183" i="1"/>
  <c r="AN183" i="1"/>
  <c r="AM183" i="1"/>
  <c r="AS182" i="1"/>
  <c r="AQ182" i="1"/>
  <c r="AR182" i="1" s="1"/>
  <c r="AO182" i="1"/>
  <c r="AN182" i="1"/>
  <c r="AM182" i="1"/>
  <c r="AS181" i="1"/>
  <c r="AQ181" i="1"/>
  <c r="AR181" i="1" s="1"/>
  <c r="AO181" i="1"/>
  <c r="AN181" i="1"/>
  <c r="AM181" i="1"/>
  <c r="AS180" i="1"/>
  <c r="AQ180" i="1"/>
  <c r="AR180" i="1" s="1"/>
  <c r="AO180" i="1"/>
  <c r="AN180" i="1"/>
  <c r="AM180" i="1"/>
  <c r="AS179" i="1"/>
  <c r="AQ179" i="1"/>
  <c r="AR179" i="1" s="1"/>
  <c r="AO179" i="1"/>
  <c r="AN179" i="1"/>
  <c r="AM179" i="1"/>
  <c r="AS178" i="1"/>
  <c r="AR178" i="1"/>
  <c r="AQ178" i="1"/>
  <c r="AO178" i="1"/>
  <c r="AN178" i="1"/>
  <c r="AM178" i="1"/>
  <c r="AS177" i="1"/>
  <c r="AQ177" i="1"/>
  <c r="AR177" i="1" s="1"/>
  <c r="AO177" i="1"/>
  <c r="AN177" i="1"/>
  <c r="AM177" i="1"/>
  <c r="AS176" i="1"/>
  <c r="AR176" i="1"/>
  <c r="AQ176" i="1"/>
  <c r="AO176" i="1"/>
  <c r="AN176" i="1"/>
  <c r="AM176" i="1"/>
  <c r="AS175" i="1"/>
  <c r="AQ175" i="1"/>
  <c r="AR175" i="1" s="1"/>
  <c r="AO175" i="1"/>
  <c r="AN175" i="1"/>
  <c r="AM175" i="1"/>
  <c r="AS174" i="1"/>
  <c r="AQ174" i="1"/>
  <c r="AR174" i="1" s="1"/>
  <c r="AO174" i="1"/>
  <c r="AN174" i="1"/>
  <c r="AM174" i="1"/>
  <c r="AS173" i="1"/>
  <c r="AQ173" i="1"/>
  <c r="AR173" i="1" s="1"/>
  <c r="AO173" i="1"/>
  <c r="AN173" i="1"/>
  <c r="AM173" i="1"/>
  <c r="AS172" i="1"/>
  <c r="AQ172" i="1"/>
  <c r="AR172" i="1" s="1"/>
  <c r="AO172" i="1"/>
  <c r="AN172" i="1"/>
  <c r="AM172" i="1"/>
  <c r="AS171" i="1"/>
  <c r="AR171" i="1"/>
  <c r="AQ171" i="1"/>
  <c r="AO171" i="1"/>
  <c r="AN171" i="1"/>
  <c r="AM171" i="1"/>
  <c r="AS170" i="1"/>
  <c r="AQ170" i="1"/>
  <c r="AR170" i="1" s="1"/>
  <c r="AO170" i="1"/>
  <c r="AN170" i="1"/>
  <c r="AM170" i="1"/>
  <c r="AS169" i="1"/>
  <c r="AR169" i="1"/>
  <c r="AQ169" i="1"/>
  <c r="AO169" i="1"/>
  <c r="AN169" i="1"/>
  <c r="AM169" i="1"/>
  <c r="AS168" i="1"/>
  <c r="AQ168" i="1"/>
  <c r="AR168" i="1" s="1"/>
  <c r="AO168" i="1"/>
  <c r="AN168" i="1"/>
  <c r="AM168" i="1"/>
  <c r="AS167" i="1"/>
  <c r="AQ167" i="1"/>
  <c r="AR167" i="1" s="1"/>
  <c r="AO167" i="1"/>
  <c r="AN167" i="1"/>
  <c r="AM167" i="1"/>
  <c r="AS166" i="1"/>
  <c r="AQ166" i="1"/>
  <c r="AR166" i="1" s="1"/>
  <c r="AO166" i="1"/>
  <c r="AN166" i="1"/>
  <c r="AM166" i="1"/>
  <c r="AS165" i="1"/>
  <c r="AQ165" i="1"/>
  <c r="AR165" i="1" s="1"/>
  <c r="AO165" i="1"/>
  <c r="AN165" i="1"/>
  <c r="AM165" i="1"/>
  <c r="AS164" i="1"/>
  <c r="AR164" i="1"/>
  <c r="AQ164" i="1"/>
  <c r="AO164" i="1"/>
  <c r="AN164" i="1"/>
  <c r="AM164" i="1"/>
  <c r="AS163" i="1"/>
  <c r="AQ163" i="1"/>
  <c r="AR163" i="1" s="1"/>
  <c r="AO163" i="1"/>
  <c r="AN163" i="1"/>
  <c r="AM163" i="1"/>
  <c r="AS162" i="1"/>
  <c r="AR162" i="1"/>
  <c r="AQ162" i="1"/>
  <c r="AO162" i="1"/>
  <c r="AN162" i="1"/>
  <c r="AM162" i="1"/>
  <c r="AS161" i="1"/>
  <c r="AQ161" i="1"/>
  <c r="AR161" i="1" s="1"/>
  <c r="AO161" i="1"/>
  <c r="AN161" i="1"/>
  <c r="AM161" i="1"/>
  <c r="AS160" i="1"/>
  <c r="AQ160" i="1"/>
  <c r="AR160" i="1" s="1"/>
  <c r="AO160" i="1"/>
  <c r="AN160" i="1"/>
  <c r="AM160" i="1"/>
  <c r="AS159" i="1"/>
  <c r="AQ159" i="1"/>
  <c r="AR159" i="1" s="1"/>
  <c r="AO159" i="1"/>
  <c r="AN159" i="1"/>
  <c r="AM159" i="1"/>
  <c r="AS158" i="1"/>
  <c r="AQ158" i="1"/>
  <c r="AR158" i="1" s="1"/>
  <c r="AO158" i="1"/>
  <c r="AN158" i="1"/>
  <c r="AM158" i="1"/>
  <c r="AS157" i="1"/>
  <c r="AR157" i="1"/>
  <c r="AQ157" i="1"/>
  <c r="AO157" i="1"/>
  <c r="AN157" i="1"/>
  <c r="AM157" i="1"/>
  <c r="AS156" i="1"/>
  <c r="AQ156" i="1"/>
  <c r="AR156" i="1" s="1"/>
  <c r="AO156" i="1"/>
  <c r="AN156" i="1"/>
  <c r="AM156" i="1"/>
  <c r="AS155" i="1"/>
  <c r="AR155" i="1"/>
  <c r="AQ155" i="1"/>
  <c r="AO155" i="1"/>
  <c r="AN155" i="1"/>
  <c r="AM155" i="1"/>
  <c r="AS154" i="1"/>
  <c r="AQ154" i="1"/>
  <c r="AR154" i="1" s="1"/>
  <c r="AO154" i="1"/>
  <c r="AN154" i="1"/>
  <c r="AM154" i="1"/>
  <c r="AS153" i="1"/>
  <c r="AQ153" i="1"/>
  <c r="AR153" i="1" s="1"/>
  <c r="AO153" i="1"/>
  <c r="AN153" i="1"/>
  <c r="AM153" i="1"/>
  <c r="AS152" i="1"/>
  <c r="AQ152" i="1"/>
  <c r="AR152" i="1" s="1"/>
  <c r="AO152" i="1"/>
  <c r="AN152" i="1"/>
  <c r="AM152" i="1"/>
  <c r="AS151" i="1"/>
  <c r="AQ151" i="1"/>
  <c r="AR151" i="1" s="1"/>
  <c r="AO151" i="1"/>
  <c r="AN151" i="1"/>
  <c r="AM151" i="1"/>
  <c r="AS150" i="1"/>
  <c r="AR150" i="1"/>
  <c r="AQ150" i="1"/>
  <c r="AO150" i="1"/>
  <c r="AN150" i="1"/>
  <c r="AM150" i="1"/>
  <c r="AS149" i="1"/>
  <c r="AQ149" i="1"/>
  <c r="AR149" i="1" s="1"/>
  <c r="AO149" i="1"/>
  <c r="AN149" i="1"/>
  <c r="AM149" i="1"/>
  <c r="AS148" i="1"/>
  <c r="AR148" i="1"/>
  <c r="AQ148" i="1"/>
  <c r="AO148" i="1"/>
  <c r="AN148" i="1"/>
  <c r="AM148" i="1"/>
  <c r="AS147" i="1"/>
  <c r="AQ147" i="1"/>
  <c r="AR147" i="1" s="1"/>
  <c r="AO147" i="1"/>
  <c r="AN147" i="1"/>
  <c r="AM147" i="1"/>
  <c r="AS146" i="1"/>
  <c r="AQ146" i="1"/>
  <c r="AR146" i="1" s="1"/>
  <c r="AO146" i="1"/>
  <c r="AN146" i="1"/>
  <c r="AM146" i="1"/>
  <c r="AS145" i="1"/>
  <c r="AQ145" i="1"/>
  <c r="AR145" i="1" s="1"/>
  <c r="AO145" i="1"/>
  <c r="AN145" i="1"/>
  <c r="AM145" i="1"/>
  <c r="AS144" i="1"/>
  <c r="AQ144" i="1"/>
  <c r="AR144" i="1" s="1"/>
  <c r="AO144" i="1"/>
  <c r="AN144" i="1"/>
  <c r="AM144" i="1"/>
  <c r="AS143" i="1"/>
  <c r="AR143" i="1"/>
  <c r="AQ143" i="1"/>
  <c r="AO143" i="1"/>
  <c r="AN143" i="1"/>
  <c r="AM143" i="1"/>
  <c r="AS142" i="1"/>
  <c r="AQ142" i="1"/>
  <c r="AR142" i="1" s="1"/>
  <c r="AO142" i="1"/>
  <c r="AN142" i="1"/>
  <c r="AM142" i="1"/>
  <c r="AS141" i="1"/>
  <c r="AR141" i="1"/>
  <c r="AQ141" i="1"/>
  <c r="AO141" i="1"/>
  <c r="AN141" i="1"/>
  <c r="AM141" i="1"/>
  <c r="AS140" i="1"/>
  <c r="AQ140" i="1"/>
  <c r="AR140" i="1" s="1"/>
  <c r="AO140" i="1"/>
  <c r="AN140" i="1"/>
  <c r="AM140" i="1"/>
  <c r="AS139" i="1"/>
  <c r="AQ139" i="1"/>
  <c r="AR139" i="1" s="1"/>
  <c r="AO139" i="1"/>
  <c r="AN139" i="1"/>
  <c r="AM139" i="1"/>
  <c r="AS138" i="1"/>
  <c r="AQ138" i="1"/>
  <c r="AR138" i="1" s="1"/>
  <c r="AO138" i="1"/>
  <c r="AN138" i="1"/>
  <c r="AM138" i="1"/>
  <c r="AS137" i="1"/>
  <c r="AQ137" i="1"/>
  <c r="AR137" i="1" s="1"/>
  <c r="AO137" i="1"/>
  <c r="AN137" i="1"/>
  <c r="AM137" i="1"/>
  <c r="AS136" i="1"/>
  <c r="AR136" i="1"/>
  <c r="AQ136" i="1"/>
  <c r="AO136" i="1"/>
  <c r="AN136" i="1"/>
  <c r="AM136" i="1"/>
  <c r="AS135" i="1"/>
  <c r="AQ135" i="1"/>
  <c r="AR135" i="1" s="1"/>
  <c r="AO135" i="1"/>
  <c r="AN135" i="1"/>
  <c r="AM135" i="1"/>
  <c r="AS134" i="1"/>
  <c r="AR134" i="1"/>
  <c r="AQ134" i="1"/>
  <c r="AO134" i="1"/>
  <c r="AN134" i="1"/>
  <c r="AM134" i="1"/>
  <c r="AS133" i="1"/>
  <c r="AQ133" i="1"/>
  <c r="AR133" i="1" s="1"/>
  <c r="AO133" i="1"/>
  <c r="AN133" i="1"/>
  <c r="AM133" i="1"/>
  <c r="AS132" i="1"/>
  <c r="AQ132" i="1"/>
  <c r="AR132" i="1" s="1"/>
  <c r="AO132" i="1"/>
  <c r="AN132" i="1"/>
  <c r="AM132" i="1"/>
  <c r="AS131" i="1"/>
  <c r="AQ131" i="1"/>
  <c r="AR131" i="1" s="1"/>
  <c r="AO131" i="1"/>
  <c r="AN131" i="1"/>
  <c r="AM131" i="1"/>
  <c r="AS130" i="1"/>
  <c r="AQ130" i="1"/>
  <c r="AR130" i="1" s="1"/>
  <c r="AO130" i="1"/>
  <c r="AN130" i="1"/>
  <c r="AM130" i="1"/>
  <c r="AS129" i="1"/>
  <c r="AR129" i="1"/>
  <c r="AQ129" i="1"/>
  <c r="AO129" i="1"/>
  <c r="AN129" i="1"/>
  <c r="AM129" i="1"/>
  <c r="AS128" i="1"/>
  <c r="AQ128" i="1"/>
  <c r="AR128" i="1" s="1"/>
  <c r="AO128" i="1"/>
  <c r="AN128" i="1"/>
  <c r="AM128" i="1"/>
  <c r="AS127" i="1"/>
  <c r="AR127" i="1"/>
  <c r="AQ127" i="1"/>
  <c r="AO127" i="1"/>
  <c r="AN127" i="1"/>
  <c r="AM127" i="1"/>
  <c r="AS126" i="1"/>
  <c r="AQ126" i="1"/>
  <c r="AR126" i="1" s="1"/>
  <c r="AO126" i="1"/>
  <c r="AN126" i="1"/>
  <c r="AM126" i="1"/>
  <c r="AS125" i="1"/>
  <c r="AQ125" i="1"/>
  <c r="AR125" i="1" s="1"/>
  <c r="AO125" i="1"/>
  <c r="AN125" i="1"/>
  <c r="AM125" i="1"/>
  <c r="AS124" i="1"/>
  <c r="AQ124" i="1"/>
  <c r="AR124" i="1" s="1"/>
  <c r="AO124" i="1"/>
  <c r="AN124" i="1"/>
  <c r="AM124" i="1"/>
  <c r="AS123" i="1"/>
  <c r="AQ123" i="1"/>
  <c r="AR123" i="1" s="1"/>
  <c r="AO123" i="1"/>
  <c r="AN123" i="1"/>
  <c r="AM123" i="1"/>
  <c r="AS122" i="1"/>
  <c r="AR122" i="1"/>
  <c r="AQ122" i="1"/>
  <c r="AO122" i="1"/>
  <c r="AN122" i="1"/>
  <c r="AM122" i="1"/>
  <c r="AS121" i="1"/>
  <c r="AQ121" i="1"/>
  <c r="AR121" i="1" s="1"/>
  <c r="AO121" i="1"/>
  <c r="AN121" i="1"/>
  <c r="AM121" i="1"/>
  <c r="AS120" i="1"/>
  <c r="AR120" i="1"/>
  <c r="AQ120" i="1"/>
  <c r="AO120" i="1"/>
  <c r="AN120" i="1"/>
  <c r="AM120" i="1"/>
  <c r="AS119" i="1"/>
  <c r="AQ119" i="1"/>
  <c r="AR119" i="1" s="1"/>
  <c r="AO119" i="1"/>
  <c r="AN119" i="1"/>
  <c r="AM119" i="1"/>
  <c r="AS118" i="1"/>
  <c r="AQ118" i="1"/>
  <c r="AR118" i="1" s="1"/>
  <c r="AO118" i="1"/>
  <c r="AN118" i="1"/>
  <c r="AM118" i="1"/>
  <c r="AS117" i="1"/>
  <c r="AQ117" i="1"/>
  <c r="AR117" i="1" s="1"/>
  <c r="AO117" i="1"/>
  <c r="AN117" i="1"/>
  <c r="AM117" i="1"/>
  <c r="AS116" i="1"/>
  <c r="AQ116" i="1"/>
  <c r="AR116" i="1" s="1"/>
  <c r="AO116" i="1"/>
  <c r="AN116" i="1"/>
  <c r="AM116" i="1"/>
  <c r="AS115" i="1"/>
  <c r="AR115" i="1"/>
  <c r="AQ115" i="1"/>
  <c r="AO115" i="1"/>
  <c r="AN115" i="1"/>
  <c r="AM115" i="1"/>
  <c r="AS114" i="1"/>
  <c r="AQ114" i="1"/>
  <c r="AR114" i="1" s="1"/>
  <c r="AO114" i="1"/>
  <c r="AN114" i="1"/>
  <c r="AM114" i="1"/>
  <c r="AS113" i="1"/>
  <c r="AR113" i="1"/>
  <c r="AQ113" i="1"/>
  <c r="AO113" i="1"/>
  <c r="AN113" i="1"/>
  <c r="AM113" i="1"/>
  <c r="AS112" i="1"/>
  <c r="AQ112" i="1"/>
  <c r="AR112" i="1" s="1"/>
  <c r="AO112" i="1"/>
  <c r="AN112" i="1"/>
  <c r="AM112" i="1"/>
  <c r="AS111" i="1"/>
  <c r="AQ111" i="1"/>
  <c r="AR111" i="1" s="1"/>
  <c r="AO111" i="1"/>
  <c r="AN111" i="1"/>
  <c r="AM111" i="1"/>
  <c r="AS110" i="1"/>
  <c r="AQ110" i="1"/>
  <c r="AR110" i="1" s="1"/>
  <c r="AO110" i="1"/>
  <c r="AN110" i="1"/>
  <c r="AM110" i="1"/>
  <c r="AS109" i="1"/>
  <c r="AQ109" i="1"/>
  <c r="AR109" i="1" s="1"/>
  <c r="AO109" i="1"/>
  <c r="AN109" i="1"/>
  <c r="AM109" i="1"/>
  <c r="AS108" i="1"/>
  <c r="AR108" i="1"/>
  <c r="AQ108" i="1"/>
  <c r="AO108" i="1"/>
  <c r="AN108" i="1"/>
  <c r="AM108" i="1"/>
  <c r="AS107" i="1"/>
  <c r="AQ107" i="1"/>
  <c r="AR107" i="1" s="1"/>
  <c r="AO107" i="1"/>
  <c r="AN107" i="1"/>
  <c r="AM107" i="1"/>
  <c r="AS106" i="1"/>
  <c r="AR106" i="1"/>
  <c r="AQ106" i="1"/>
  <c r="AO106" i="1"/>
  <c r="AN106" i="1"/>
  <c r="AM106" i="1"/>
  <c r="AS105" i="1"/>
  <c r="AQ105" i="1"/>
  <c r="AR105" i="1" s="1"/>
  <c r="AO105" i="1"/>
  <c r="AN105" i="1"/>
  <c r="AM105" i="1"/>
  <c r="AS104" i="1"/>
  <c r="AQ104" i="1"/>
  <c r="AR104" i="1" s="1"/>
  <c r="AO104" i="1"/>
  <c r="AN104" i="1"/>
  <c r="AM104" i="1"/>
  <c r="AS103" i="1"/>
  <c r="AQ103" i="1"/>
  <c r="AR103" i="1" s="1"/>
  <c r="AO103" i="1"/>
  <c r="AN103" i="1"/>
  <c r="AM103" i="1"/>
  <c r="AS102" i="1"/>
  <c r="AQ102" i="1"/>
  <c r="AR102" i="1" s="1"/>
  <c r="AO102" i="1"/>
  <c r="AN102" i="1"/>
  <c r="AM102" i="1"/>
  <c r="AS101" i="1"/>
  <c r="AR101" i="1"/>
  <c r="AQ101" i="1"/>
  <c r="AO101" i="1"/>
  <c r="AN101" i="1"/>
  <c r="AM101" i="1"/>
  <c r="AS100" i="1"/>
  <c r="AQ100" i="1"/>
  <c r="AR100" i="1" s="1"/>
  <c r="AO100" i="1"/>
  <c r="AN100" i="1"/>
  <c r="AM100" i="1"/>
  <c r="AS99" i="1"/>
  <c r="AR99" i="1"/>
  <c r="AQ99" i="1"/>
  <c r="AO99" i="1"/>
  <c r="AN99" i="1"/>
  <c r="AM99" i="1"/>
  <c r="AS98" i="1"/>
  <c r="AQ98" i="1"/>
  <c r="AR98" i="1" s="1"/>
  <c r="AO98" i="1"/>
  <c r="AN98" i="1"/>
  <c r="AM98" i="1"/>
  <c r="AS97" i="1"/>
  <c r="AQ97" i="1"/>
  <c r="AR97" i="1" s="1"/>
  <c r="AO97" i="1"/>
  <c r="AN97" i="1"/>
  <c r="AM97" i="1"/>
  <c r="AS96" i="1"/>
  <c r="AQ96" i="1"/>
  <c r="AR96" i="1" s="1"/>
  <c r="AO96" i="1"/>
  <c r="AN96" i="1"/>
  <c r="AM96" i="1"/>
  <c r="AS95" i="1"/>
  <c r="AQ95" i="1"/>
  <c r="AR95" i="1" s="1"/>
  <c r="AO95" i="1"/>
  <c r="AN95" i="1"/>
  <c r="AM95" i="1"/>
  <c r="AS94" i="1"/>
  <c r="AR94" i="1"/>
  <c r="AQ94" i="1"/>
  <c r="AO94" i="1"/>
  <c r="AN94" i="1"/>
  <c r="AM94" i="1"/>
  <c r="AS93" i="1"/>
  <c r="AQ93" i="1"/>
  <c r="AR93" i="1" s="1"/>
  <c r="AO93" i="1"/>
  <c r="AN93" i="1"/>
  <c r="AM93" i="1"/>
  <c r="AS92" i="1"/>
  <c r="AR92" i="1"/>
  <c r="AQ92" i="1"/>
  <c r="AO92" i="1"/>
  <c r="AN92" i="1"/>
  <c r="AM92" i="1"/>
  <c r="AS91" i="1"/>
  <c r="AQ91" i="1"/>
  <c r="AR91" i="1" s="1"/>
  <c r="AO91" i="1"/>
  <c r="AN91" i="1"/>
  <c r="AM91" i="1"/>
  <c r="AS90" i="1"/>
  <c r="AQ90" i="1"/>
  <c r="AR90" i="1" s="1"/>
  <c r="AO90" i="1"/>
  <c r="AN90" i="1"/>
  <c r="AM90" i="1"/>
  <c r="AS89" i="1"/>
  <c r="AQ89" i="1"/>
  <c r="AR89" i="1" s="1"/>
  <c r="AO89" i="1"/>
  <c r="AN89" i="1"/>
  <c r="AM89" i="1"/>
  <c r="AS88" i="1"/>
  <c r="AQ88" i="1"/>
  <c r="AR88" i="1" s="1"/>
  <c r="AO88" i="1"/>
  <c r="AN88" i="1"/>
  <c r="AM88" i="1"/>
  <c r="AS87" i="1"/>
  <c r="AR87" i="1"/>
  <c r="AQ87" i="1"/>
  <c r="AO87" i="1"/>
  <c r="AN87" i="1"/>
  <c r="AM87" i="1"/>
  <c r="AS86" i="1"/>
  <c r="AQ86" i="1"/>
  <c r="AR86" i="1" s="1"/>
  <c r="AO86" i="1"/>
  <c r="AN86" i="1"/>
  <c r="AM86" i="1"/>
  <c r="AS85" i="1"/>
  <c r="AR85" i="1"/>
  <c r="AQ85" i="1"/>
  <c r="AO85" i="1"/>
  <c r="AN85" i="1"/>
  <c r="AM85" i="1"/>
  <c r="AS84" i="1"/>
  <c r="AQ84" i="1"/>
  <c r="AR84" i="1" s="1"/>
  <c r="AO84" i="1"/>
  <c r="AN84" i="1"/>
  <c r="AM84" i="1"/>
  <c r="AS83" i="1"/>
  <c r="AQ83" i="1"/>
  <c r="AR83" i="1" s="1"/>
  <c r="AO83" i="1"/>
  <c r="AN83" i="1"/>
  <c r="AM83" i="1"/>
  <c r="AS82" i="1"/>
  <c r="AQ82" i="1"/>
  <c r="AR82" i="1" s="1"/>
  <c r="AO82" i="1"/>
  <c r="AN82" i="1"/>
  <c r="AM82" i="1"/>
  <c r="AS81" i="1"/>
  <c r="AQ81" i="1"/>
  <c r="AR81" i="1" s="1"/>
  <c r="AO81" i="1"/>
  <c r="AN81" i="1"/>
  <c r="AM81" i="1"/>
  <c r="AS80" i="1"/>
  <c r="AR80" i="1"/>
  <c r="AQ80" i="1"/>
  <c r="AO80" i="1"/>
  <c r="AN80" i="1"/>
  <c r="AM80" i="1"/>
  <c r="AS79" i="1"/>
  <c r="AQ79" i="1"/>
  <c r="AR79" i="1" s="1"/>
  <c r="AO79" i="1"/>
  <c r="AN79" i="1"/>
  <c r="AM79" i="1"/>
  <c r="AS78" i="1"/>
  <c r="AR78" i="1"/>
  <c r="AQ78" i="1"/>
  <c r="AO78" i="1"/>
  <c r="AN78" i="1"/>
  <c r="AM78" i="1"/>
  <c r="AS77" i="1"/>
  <c r="AQ77" i="1"/>
  <c r="AR77" i="1" s="1"/>
  <c r="AO77" i="1"/>
  <c r="AN77" i="1"/>
  <c r="AM77" i="1"/>
  <c r="AS76" i="1"/>
  <c r="AQ76" i="1"/>
  <c r="AR76" i="1" s="1"/>
  <c r="AO76" i="1"/>
  <c r="AN76" i="1"/>
  <c r="AM76" i="1"/>
  <c r="AS75" i="1"/>
  <c r="AQ75" i="1"/>
  <c r="AR75" i="1" s="1"/>
  <c r="AO75" i="1"/>
  <c r="AN75" i="1"/>
  <c r="AM75" i="1"/>
  <c r="AS74" i="1"/>
  <c r="AQ74" i="1"/>
  <c r="AR74" i="1" s="1"/>
  <c r="AO74" i="1"/>
  <c r="AN74" i="1"/>
  <c r="AM74" i="1"/>
  <c r="AS73" i="1"/>
  <c r="AR73" i="1"/>
  <c r="AQ73" i="1"/>
  <c r="AO73" i="1"/>
  <c r="AN73" i="1"/>
  <c r="AM73" i="1"/>
  <c r="AS72" i="1"/>
  <c r="AQ72" i="1"/>
  <c r="AR72" i="1" s="1"/>
  <c r="AO72" i="1"/>
  <c r="AN72" i="1"/>
  <c r="AM72" i="1"/>
  <c r="AS71" i="1"/>
  <c r="AR71" i="1"/>
  <c r="AQ71" i="1"/>
  <c r="AO71" i="1"/>
  <c r="AN71" i="1"/>
  <c r="AM71" i="1"/>
  <c r="AS70" i="1"/>
  <c r="AQ70" i="1"/>
  <c r="AR70" i="1" s="1"/>
  <c r="AO70" i="1"/>
  <c r="AN70" i="1"/>
  <c r="AM70" i="1"/>
  <c r="AS69" i="1"/>
  <c r="AQ69" i="1"/>
  <c r="AR69" i="1" s="1"/>
  <c r="AO69" i="1"/>
  <c r="AN69" i="1"/>
  <c r="AM69" i="1"/>
  <c r="AS68" i="1"/>
  <c r="AQ68" i="1"/>
  <c r="AR68" i="1" s="1"/>
  <c r="AO68" i="1"/>
  <c r="AN68" i="1"/>
  <c r="AM68" i="1"/>
  <c r="AS67" i="1"/>
  <c r="AQ67" i="1"/>
  <c r="AR67" i="1" s="1"/>
  <c r="AO67" i="1"/>
  <c r="AN67" i="1"/>
  <c r="AM67" i="1"/>
  <c r="AS66" i="1"/>
  <c r="AR66" i="1"/>
  <c r="AQ66" i="1"/>
  <c r="AO66" i="1"/>
  <c r="AN66" i="1"/>
  <c r="AM66" i="1"/>
  <c r="AS65" i="1"/>
  <c r="AQ65" i="1"/>
  <c r="AR65" i="1" s="1"/>
  <c r="AO65" i="1"/>
  <c r="AN65" i="1"/>
  <c r="AM65" i="1"/>
  <c r="AS64" i="1"/>
  <c r="AR64" i="1"/>
  <c r="AQ64" i="1"/>
  <c r="AO64" i="1"/>
  <c r="AN64" i="1"/>
  <c r="AM64" i="1"/>
  <c r="AS63" i="1"/>
  <c r="AQ63" i="1"/>
  <c r="AR63" i="1" s="1"/>
  <c r="AO63" i="1"/>
  <c r="AN63" i="1"/>
  <c r="AM63" i="1"/>
  <c r="AS62" i="1"/>
  <c r="AQ62" i="1"/>
  <c r="AR62" i="1" s="1"/>
  <c r="AO62" i="1"/>
  <c r="AN62" i="1"/>
  <c r="AM62" i="1"/>
  <c r="AS61" i="1"/>
  <c r="AQ61" i="1"/>
  <c r="AR61" i="1" s="1"/>
  <c r="AO61" i="1"/>
  <c r="AN61" i="1"/>
  <c r="AM61" i="1"/>
  <c r="AS60" i="1"/>
  <c r="AQ60" i="1"/>
  <c r="AR60" i="1" s="1"/>
  <c r="AO60" i="1"/>
  <c r="AN60" i="1"/>
  <c r="AM60" i="1"/>
  <c r="AS59" i="1"/>
  <c r="AR59" i="1"/>
  <c r="AQ59" i="1"/>
  <c r="AO59" i="1"/>
  <c r="AN59" i="1"/>
  <c r="AM59" i="1"/>
  <c r="AS58" i="1"/>
  <c r="AQ58" i="1"/>
  <c r="AR58" i="1" s="1"/>
  <c r="AO58" i="1"/>
  <c r="AN58" i="1"/>
  <c r="AM58" i="1"/>
  <c r="AS57" i="1"/>
  <c r="AR57" i="1"/>
  <c r="AQ57" i="1"/>
  <c r="AO57" i="1"/>
  <c r="AN57" i="1"/>
  <c r="AM57" i="1"/>
  <c r="AS56" i="1"/>
  <c r="AQ56" i="1"/>
  <c r="AR56" i="1" s="1"/>
  <c r="AO56" i="1"/>
  <c r="AN56" i="1"/>
  <c r="AM56" i="1"/>
  <c r="AS55" i="1"/>
  <c r="AQ55" i="1"/>
  <c r="AR55" i="1" s="1"/>
  <c r="AO55" i="1"/>
  <c r="AN55" i="1"/>
  <c r="AM55" i="1"/>
  <c r="AS54" i="1"/>
  <c r="AQ54" i="1"/>
  <c r="AR54" i="1" s="1"/>
  <c r="AO54" i="1"/>
  <c r="AN54" i="1"/>
  <c r="AM54" i="1"/>
  <c r="AS53" i="1"/>
  <c r="AQ53" i="1"/>
  <c r="AR53" i="1" s="1"/>
  <c r="AO53" i="1"/>
  <c r="AN53" i="1"/>
  <c r="AM53" i="1"/>
  <c r="AS52" i="1"/>
  <c r="AR52" i="1"/>
  <c r="AQ52" i="1"/>
  <c r="AO52" i="1"/>
  <c r="AN52" i="1"/>
  <c r="AM52" i="1"/>
  <c r="AS51" i="1"/>
  <c r="AQ51" i="1"/>
  <c r="AR51" i="1" s="1"/>
  <c r="AO51" i="1"/>
  <c r="AN51" i="1"/>
  <c r="AM51" i="1"/>
  <c r="AS50" i="1"/>
  <c r="AR50" i="1"/>
  <c r="AQ50" i="1"/>
  <c r="AO50" i="1"/>
  <c r="AN50" i="1"/>
  <c r="AM50" i="1"/>
  <c r="AS49" i="1"/>
  <c r="AQ49" i="1"/>
  <c r="AR49" i="1" s="1"/>
  <c r="AO49" i="1"/>
  <c r="AN49" i="1"/>
  <c r="AM49" i="1"/>
  <c r="AS48" i="1"/>
  <c r="AQ48" i="1"/>
  <c r="AR48" i="1" s="1"/>
  <c r="AO48" i="1"/>
  <c r="AN48" i="1"/>
  <c r="AM48" i="1"/>
  <c r="AS47" i="1"/>
  <c r="AQ47" i="1"/>
  <c r="AR47" i="1" s="1"/>
  <c r="AO47" i="1"/>
  <c r="AN47" i="1"/>
  <c r="AM47" i="1"/>
  <c r="AS46" i="1"/>
  <c r="AQ46" i="1"/>
  <c r="AR46" i="1" s="1"/>
  <c r="AO46" i="1"/>
  <c r="AN46" i="1"/>
  <c r="AM46" i="1"/>
  <c r="AS45" i="1"/>
  <c r="AR45" i="1"/>
  <c r="AQ45" i="1"/>
  <c r="AO45" i="1"/>
  <c r="AN45" i="1"/>
  <c r="AM45" i="1"/>
  <c r="AS44" i="1"/>
  <c r="AQ44" i="1"/>
  <c r="AR44" i="1" s="1"/>
  <c r="AO44" i="1"/>
  <c r="AN44" i="1"/>
  <c r="AM44" i="1"/>
  <c r="AS43" i="1"/>
  <c r="AR43" i="1"/>
  <c r="AQ43" i="1"/>
  <c r="AO43" i="1"/>
  <c r="AN43" i="1"/>
  <c r="AM43" i="1"/>
  <c r="AS42" i="1"/>
  <c r="AQ42" i="1"/>
  <c r="AR42" i="1" s="1"/>
  <c r="AO42" i="1"/>
  <c r="AN42" i="1"/>
  <c r="AM42" i="1"/>
  <c r="AS41" i="1"/>
  <c r="AQ41" i="1"/>
  <c r="AR41" i="1" s="1"/>
  <c r="AO41" i="1"/>
  <c r="AN41" i="1"/>
  <c r="AM41" i="1"/>
  <c r="AS40" i="1"/>
  <c r="AQ40" i="1"/>
  <c r="AR40" i="1" s="1"/>
  <c r="AO40" i="1"/>
  <c r="AN40" i="1"/>
  <c r="AM40" i="1"/>
  <c r="AS39" i="1"/>
  <c r="AQ39" i="1"/>
  <c r="AR39" i="1" s="1"/>
  <c r="AO39" i="1"/>
  <c r="AN39" i="1"/>
  <c r="AM39" i="1"/>
  <c r="AS38" i="1"/>
  <c r="AR38" i="1"/>
  <c r="AQ38" i="1"/>
  <c r="AO38" i="1"/>
  <c r="AN38" i="1"/>
  <c r="AM38" i="1"/>
  <c r="AS37" i="1"/>
  <c r="AQ37" i="1"/>
  <c r="AR37" i="1" s="1"/>
  <c r="AO37" i="1"/>
  <c r="AN37" i="1"/>
  <c r="AM37" i="1"/>
  <c r="AS36" i="1"/>
  <c r="AR36" i="1"/>
  <c r="AQ36" i="1"/>
  <c r="AO36" i="1"/>
  <c r="AN36" i="1"/>
  <c r="AM36" i="1"/>
  <c r="AS35" i="1"/>
  <c r="AQ35" i="1"/>
  <c r="AR35" i="1" s="1"/>
  <c r="AO35" i="1"/>
  <c r="AN35" i="1"/>
  <c r="AM35" i="1"/>
  <c r="AS34" i="1"/>
  <c r="AQ34" i="1"/>
  <c r="AR34" i="1" s="1"/>
  <c r="AO34" i="1"/>
  <c r="AN34" i="1"/>
  <c r="AM34" i="1"/>
  <c r="AS33" i="1"/>
  <c r="AQ33" i="1"/>
  <c r="AR33" i="1" s="1"/>
  <c r="AO33" i="1"/>
  <c r="AN33" i="1"/>
  <c r="AM33" i="1"/>
  <c r="AS32" i="1"/>
  <c r="AQ32" i="1"/>
  <c r="AR32" i="1" s="1"/>
  <c r="AO32" i="1"/>
  <c r="AN32" i="1"/>
  <c r="AM32" i="1"/>
  <c r="AS31" i="1"/>
  <c r="AR31" i="1"/>
  <c r="AQ31" i="1"/>
  <c r="AO31" i="1"/>
  <c r="AN31" i="1"/>
  <c r="AM31" i="1"/>
  <c r="AS30" i="1"/>
  <c r="AQ30" i="1"/>
  <c r="AR30" i="1" s="1"/>
  <c r="AO30" i="1"/>
  <c r="AN30" i="1"/>
  <c r="AM30" i="1"/>
  <c r="AS29" i="1"/>
  <c r="AR29" i="1"/>
  <c r="AQ29" i="1"/>
  <c r="AO29" i="1"/>
  <c r="AN29" i="1"/>
  <c r="AM29" i="1"/>
  <c r="AS28" i="1"/>
  <c r="AQ28" i="1"/>
  <c r="AR28" i="1" s="1"/>
  <c r="AO28" i="1"/>
  <c r="AN28" i="1"/>
  <c r="AM28" i="1"/>
  <c r="AS27" i="1"/>
  <c r="AQ27" i="1"/>
  <c r="AR27" i="1" s="1"/>
  <c r="AO27" i="1"/>
  <c r="AN27" i="1"/>
  <c r="AM27" i="1"/>
  <c r="AS26" i="1"/>
  <c r="AQ26" i="1"/>
  <c r="AR26" i="1" s="1"/>
  <c r="AO26" i="1"/>
  <c r="AN26" i="1"/>
  <c r="AM26" i="1"/>
  <c r="AS25" i="1"/>
  <c r="AQ25" i="1"/>
  <c r="AR25" i="1" s="1"/>
  <c r="AO25" i="1"/>
  <c r="AN25" i="1"/>
  <c r="AM25" i="1"/>
  <c r="AS24" i="1"/>
  <c r="AR24" i="1"/>
  <c r="AQ24" i="1"/>
  <c r="AO24" i="1"/>
  <c r="AN24" i="1"/>
  <c r="AM24" i="1"/>
  <c r="AS23" i="1"/>
  <c r="AQ23" i="1"/>
  <c r="AR23" i="1" s="1"/>
  <c r="AO23" i="1"/>
  <c r="AN23" i="1"/>
  <c r="AM23" i="1"/>
  <c r="AS22" i="1"/>
  <c r="AR22" i="1"/>
  <c r="AQ22" i="1"/>
  <c r="AO22" i="1"/>
  <c r="AN22" i="1"/>
  <c r="AM22" i="1"/>
  <c r="AS21" i="1"/>
  <c r="AQ21" i="1"/>
  <c r="AR21" i="1" s="1"/>
  <c r="AO21" i="1"/>
  <c r="AN21" i="1"/>
  <c r="AM21" i="1"/>
  <c r="AS20" i="1"/>
  <c r="AQ20" i="1"/>
  <c r="AR20" i="1" s="1"/>
  <c r="AO20" i="1"/>
  <c r="AN20" i="1"/>
  <c r="AM20" i="1"/>
  <c r="AS19" i="1"/>
  <c r="AQ19" i="1"/>
  <c r="AR19" i="1" s="1"/>
  <c r="AO19" i="1"/>
  <c r="AN19" i="1"/>
  <c r="AM19" i="1"/>
  <c r="AS18" i="1"/>
  <c r="AQ18" i="1"/>
  <c r="AR18" i="1" s="1"/>
  <c r="AO18" i="1"/>
  <c r="AN18" i="1"/>
  <c r="AM18" i="1"/>
  <c r="AS17" i="1"/>
  <c r="AR17" i="1"/>
  <c r="AQ17" i="1"/>
  <c r="AO17" i="1"/>
  <c r="AN17" i="1"/>
  <c r="AM17" i="1"/>
  <c r="AS16" i="1"/>
  <c r="AQ16" i="1"/>
  <c r="AR16" i="1" s="1"/>
  <c r="AO16" i="1"/>
  <c r="AN16" i="1"/>
  <c r="AM16" i="1"/>
  <c r="AS15" i="1"/>
  <c r="AR15" i="1"/>
  <c r="AQ15" i="1"/>
  <c r="AO15" i="1"/>
  <c r="AN15" i="1"/>
  <c r="AM15" i="1"/>
  <c r="AS14" i="1"/>
  <c r="AQ14" i="1"/>
  <c r="AR14" i="1" s="1"/>
  <c r="AO14" i="1"/>
  <c r="AN14" i="1"/>
  <c r="AM14" i="1"/>
  <c r="AS13" i="1"/>
  <c r="AQ13" i="1"/>
  <c r="AR13" i="1" s="1"/>
  <c r="AO13" i="1"/>
  <c r="AN13" i="1"/>
  <c r="AM13" i="1"/>
  <c r="AS12" i="1"/>
  <c r="AQ12" i="1"/>
  <c r="AR12" i="1" s="1"/>
  <c r="AO12" i="1"/>
  <c r="AN12" i="1"/>
  <c r="AM12" i="1"/>
  <c r="AS11" i="1"/>
  <c r="AQ11" i="1"/>
  <c r="AR11" i="1" s="1"/>
  <c r="AO11" i="1"/>
  <c r="AN11" i="1"/>
  <c r="AM11" i="1"/>
  <c r="AS10" i="1"/>
  <c r="AR10" i="1"/>
  <c r="AQ10" i="1"/>
  <c r="AO10" i="1"/>
  <c r="AN10" i="1"/>
  <c r="AM10" i="1"/>
  <c r="AS9" i="1"/>
  <c r="AQ9" i="1"/>
  <c r="AR9" i="1" s="1"/>
  <c r="AO9" i="1"/>
  <c r="AN9" i="1"/>
  <c r="AM9" i="1"/>
  <c r="AS8" i="1"/>
  <c r="AR8" i="1"/>
  <c r="AQ8" i="1"/>
  <c r="AO8" i="1"/>
  <c r="AN8" i="1"/>
  <c r="AM8" i="1"/>
  <c r="AS7" i="1"/>
  <c r="AQ7" i="1"/>
  <c r="AR7" i="1" s="1"/>
  <c r="AO7" i="1"/>
  <c r="AN7" i="1"/>
  <c r="AM7" i="1"/>
  <c r="AS6" i="1"/>
  <c r="AQ6" i="1"/>
  <c r="AR6" i="1" s="1"/>
  <c r="AO6" i="1"/>
  <c r="AN6" i="1"/>
  <c r="AM6" i="1"/>
  <c r="AS5" i="1"/>
  <c r="AQ5" i="1"/>
  <c r="AR5" i="1" s="1"/>
  <c r="AO5" i="1"/>
  <c r="AN5" i="1"/>
  <c r="AM5" i="1"/>
  <c r="AS4" i="1"/>
  <c r="AQ4" i="1"/>
  <c r="AR4" i="1" s="1"/>
  <c r="AO4" i="1"/>
  <c r="AN4" i="1"/>
  <c r="AM4" i="1"/>
  <c r="AS3" i="1"/>
  <c r="AR3" i="1"/>
  <c r="AQ3" i="1"/>
  <c r="AO3" i="1"/>
  <c r="AN3" i="1"/>
  <c r="AM3" i="1"/>
  <c r="AS2" i="1"/>
  <c r="AQ2" i="1"/>
  <c r="AR2" i="1" s="1"/>
  <c r="AO2" i="1"/>
  <c r="AN2" i="1"/>
  <c r="AM2" i="1"/>
  <c r="AR194" i="1" l="1"/>
  <c r="W200" i="1" s="1"/>
  <c r="AE200" i="1"/>
  <c r="AG200" i="1" s="1"/>
  <c r="Z200" i="1"/>
  <c r="AF19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<sst xmlns="http://schemas.openxmlformats.org/spreadsheetml/2006/main" count="6983" uniqueCount="1577">
  <si>
    <t>Order Date</t>
  </si>
  <si>
    <t>Order Time</t>
  </si>
  <si>
    <t>Customer</t>
  </si>
  <si>
    <t>SG Order ID</t>
  </si>
  <si>
    <t>Partner Order ID</t>
  </si>
  <si>
    <t>Vertical</t>
  </si>
  <si>
    <t>Provider Name</t>
  </si>
  <si>
    <t>Food Order Type</t>
  </si>
  <si>
    <t>Restaurant ID/Seller ID</t>
  </si>
  <si>
    <t>Restaurant Name</t>
  </si>
  <si>
    <t>Transaction ID</t>
  </si>
  <si>
    <t>Order Status</t>
  </si>
  <si>
    <t>Payment Status</t>
  </si>
  <si>
    <t>Payment Method</t>
  </si>
  <si>
    <t>Sub Total</t>
  </si>
  <si>
    <t>Promocode</t>
  </si>
  <si>
    <t>SG Discount/Promo Amount</t>
  </si>
  <si>
    <t>SG Delivery Expense</t>
  </si>
  <si>
    <t>VAT</t>
  </si>
  <si>
    <t>Order Total</t>
  </si>
  <si>
    <t>Total Amount</t>
  </si>
  <si>
    <t>Vendor Delivery Expense</t>
  </si>
  <si>
    <t>SG Comission %</t>
  </si>
  <si>
    <t>Commission Amount</t>
  </si>
  <si>
    <t>Partner Payout</t>
  </si>
  <si>
    <t>Margin</t>
  </si>
  <si>
    <t>Vendor Payment Term</t>
  </si>
  <si>
    <t>SG Earnings (before VAT)</t>
  </si>
  <si>
    <t>VAT on SG Earnings</t>
  </si>
  <si>
    <t>SG Earning (including VAT)</t>
  </si>
  <si>
    <t>Wallet Amount</t>
  </si>
  <si>
    <t>Applepay/Card Amount</t>
  </si>
  <si>
    <t>Commission Charged</t>
  </si>
  <si>
    <t>Refund Amount</t>
  </si>
  <si>
    <t>Compensation Amount</t>
  </si>
  <si>
    <t>Net Payable Amount to Partner</t>
  </si>
  <si>
    <t>Match ID's</t>
  </si>
  <si>
    <t>Check %</t>
  </si>
  <si>
    <t>Com Check</t>
  </si>
  <si>
    <t>T.Delivery</t>
  </si>
  <si>
    <t>Customer Del.</t>
  </si>
  <si>
    <t>add.charges</t>
  </si>
  <si>
    <t>Chefz DC</t>
  </si>
  <si>
    <t>requestedDeliveryDate</t>
  </si>
  <si>
    <t>brand_name</t>
  </si>
  <si>
    <t>order_id</t>
  </si>
  <si>
    <t>order_no</t>
  </si>
  <si>
    <t>customer_name</t>
  </si>
  <si>
    <t>total</t>
  </si>
  <si>
    <t>order_chef_total</t>
  </si>
  <si>
    <t>shoppinggate_percentage</t>
  </si>
  <si>
    <t>shoppinggate_fees</t>
  </si>
  <si>
    <t>original_deliveryFee</t>
  </si>
  <si>
    <t>promotion_shoppinggate_charge_amount</t>
  </si>
  <si>
    <t>deliveryFee</t>
  </si>
  <si>
    <t>order_status</t>
  </si>
  <si>
    <t>order_items</t>
  </si>
  <si>
    <t>promotion_discount</t>
  </si>
  <si>
    <t>promotion_chef_charge_amount</t>
  </si>
  <si>
    <t>Due from shoppinggate</t>
  </si>
  <si>
    <t>Net Invoice from shoppinggate</t>
  </si>
  <si>
    <t>Net Delivery Invoice to shoppinggate</t>
  </si>
  <si>
    <t>11:21 PM</t>
  </si>
  <si>
    <t>محمد نايف</t>
  </si>
  <si>
    <t>Food</t>
  </si>
  <si>
    <t>The Chefz</t>
  </si>
  <si>
    <t>Solo Order</t>
  </si>
  <si>
    <t>shawarma classic - شاورما كلاسك السويدي</t>
  </si>
  <si>
    <t>tok_niritlqblvfixodiq7ghfichqa</t>
  </si>
  <si>
    <t>Delivered</t>
  </si>
  <si>
    <t>Paid</t>
  </si>
  <si>
    <t>Apple Pay + Wallet</t>
  </si>
  <si>
    <t>SG10</t>
  </si>
  <si>
    <t>-</t>
  </si>
  <si>
    <t>Shawarma Classic - شاورما كلاسك – بروتين أكثر</t>
  </si>
  <si>
    <t>Arabi Classic Meal - وجبة عربي كلاسك,Arabi Classic Meal - وجبة عربي كلاسك,Cheese Sauce - صوص جبن ,Small Cheese Sauce - صوص جبن صغير</t>
  </si>
  <si>
    <t>11:30 PM</t>
  </si>
  <si>
    <t>Burger Hunch | برجر هنش غرناطة</t>
  </si>
  <si>
    <t>tok_2iy374ybrfpyrbh3y5tb4uwssa</t>
  </si>
  <si>
    <t>Apple Pay</t>
  </si>
  <si>
    <t>Burger Hunch - برجر هنش</t>
  </si>
  <si>
    <t>HM66</t>
  </si>
  <si>
    <t>Smoky Beef Burger - سموكي برجر لحم,Seasoned Fries - بطاطس مبهر</t>
  </si>
  <si>
    <t>11:42 PM</t>
  </si>
  <si>
    <t>Hardee's | هارديز Awal 14405</t>
  </si>
  <si>
    <t>8fb5c175-48b5-42ea-a0f6-69d358f0734a</t>
  </si>
  <si>
    <t>Tamara</t>
  </si>
  <si>
    <t>HARDEES | 🧀 هارديز | صوص الجبنة رجع</t>
  </si>
  <si>
    <t>nnnn</t>
  </si>
  <si>
    <t>Gold Star Wraptor Combo-Large - جولد ستار رابتور وجبة,Wraptor - رابتور</t>
  </si>
  <si>
    <t>11:47 PM</t>
  </si>
  <si>
    <t>Herfy 1248 | هرفي 1248</t>
  </si>
  <si>
    <t>Wallet</t>
  </si>
  <si>
    <t>Herfy | هرفي</t>
  </si>
  <si>
    <t>wllle</t>
  </si>
  <si>
    <t>Combo Big Herfy w/ Cheese - Medium Size - كومبو هرفي كبير بالجبن أب سايز</t>
  </si>
  <si>
    <t>12:08 AM</t>
  </si>
  <si>
    <t>tok_v5v2adibj4gy5boitarcaunrxi</t>
  </si>
  <si>
    <t>Zayd</t>
  </si>
  <si>
    <t>Super Star Chicken Spicy Box - بوكس سوبر ستار تشيكن سبايسي,Cheddar Cheese - جبنة شيدر</t>
  </si>
  <si>
    <t>12:16 AM</t>
  </si>
  <si>
    <t>36fd1ed2-47b5-4ce9-9f3d-7578fc9c33de</t>
  </si>
  <si>
    <t>jamal</t>
  </si>
  <si>
    <t>Big Herfy With Cheese Meal Small Size  - Al Kafu + - وجبة هرفي كبير بالجبن حجم صغير- الكفو +,Combo Super Chicken - Regular Size - كمبو سوبر تشكن حجم عادي,2 Double Chicken Burger Meal Small Size - Al Kafu+ - وجبة 2 دبل برجر دجاج حجم صغير - الكفو +</t>
  </si>
  <si>
    <t>12:51 AM</t>
  </si>
  <si>
    <t>tok_epxjsaybhqrydj42gfssvqppca</t>
  </si>
  <si>
    <t>Abdullah</t>
  </si>
  <si>
    <t>Chicken Fillet Sandwich - سندويتش دجاج فيليه,Large Crispy Curls - بطاطا كيرلي,Cheddar Cheese Cup - Large - كوب جبنة شيدر_كبير</t>
  </si>
  <si>
    <t>12:55 AM</t>
  </si>
  <si>
    <t>Burger Castle |برجر كاسل</t>
  </si>
  <si>
    <t>Guest</t>
  </si>
  <si>
    <t>Keto Beef Burger - برجر كيتو لحم,Diet Pepsi - بيبسي دايت</t>
  </si>
  <si>
    <t>12:58 AM</t>
  </si>
  <si>
    <t>Burger king - Exit 28</t>
  </si>
  <si>
    <t>Burger King - برجر كنج</t>
  </si>
  <si>
    <t>waleef</t>
  </si>
  <si>
    <t xml:space="preserve"> NACHO VALUE MEAL - وجبة ناتشو - عرض توفير,Steakhouse - ستيك هاوس</t>
  </si>
  <si>
    <t>01:42 AM</t>
  </si>
  <si>
    <t>ALBAIKL | JEDDAH PARK</t>
  </si>
  <si>
    <t>tok_ogt7dgabvymyvbuo55kwb77h7y</t>
  </si>
  <si>
    <t>ALBAIK  | البيك</t>
  </si>
  <si>
    <t>Rana</t>
  </si>
  <si>
    <t>Big BAIK - بيج بيك</t>
  </si>
  <si>
    <t>03:17 AM</t>
  </si>
  <si>
    <t>KFC -Alhassan Bin Alhussein 12198</t>
  </si>
  <si>
    <t>KFC Worth It!- كنتاكي-يسوى منيو!يبدا من 13ريال</t>
  </si>
  <si>
    <t>Faisal</t>
  </si>
  <si>
    <t>Twister Combo - Large - Twister Sandwich  Original - وجبة تويستر - كبير - تويستر ساندويتش - عادي,Cheese Sauce - صوص الجبن</t>
  </si>
  <si>
    <t>04:54 AM</t>
  </si>
  <si>
    <t>Crepe &amp; Waffle | كريب و وافل</t>
  </si>
  <si>
    <t>muathzahrani</t>
  </si>
  <si>
    <t>Classic Crepe - كريب كلاسيك</t>
  </si>
  <si>
    <t>09:17 AM</t>
  </si>
  <si>
    <t>Poke &amp; co | بوكي اند كو المونسيه</t>
  </si>
  <si>
    <t>tok_e3y6gkybwpsydmp37bontxamku</t>
  </si>
  <si>
    <t>Poke and co | بوكي اند كو</t>
  </si>
  <si>
    <t xml:space="preserve">Chia Seed Pudding - بودينغ بذور الشيا,Ahi Lava Bowl - بول آهي لافا,Raspberry Love - رازبيري لوف </t>
  </si>
  <si>
    <t>12:26 PM</t>
  </si>
  <si>
    <t>Gresh &amp; Tamin | جريش وتمن الربيع</t>
  </si>
  <si>
    <t>tok_pyagqsyblanipmxgfy5mgtjphq</t>
  </si>
  <si>
    <t>Gresh &amp; Tamin | جريش وتمن</t>
  </si>
  <si>
    <t>عبدالرحمن..</t>
  </si>
  <si>
    <t>Gresh - جريش,Gresh - جريش,Chicken &amp; Cheese Bechamel Pasta - مكرونة بشاميل بالدجاج والجبن,Pink pasta - بنك باستا,Chicken lasagna - لازانيا دجاج</t>
  </si>
  <si>
    <t>01:38 PM</t>
  </si>
  <si>
    <t>2 Chicken Burger Meal Medium Size- Al Kafu + - وجبة 2 برجر دجاج حجم وسط - الكفو +</t>
  </si>
  <si>
    <t>01:54 PM</t>
  </si>
  <si>
    <t>ENG-Jeddah Marwah-جدة - المروة</t>
  </si>
  <si>
    <t>tok_lxd26tibdzkibegczjkqpnj6j4</t>
  </si>
  <si>
    <t>Ennabi Grill | جرب لمة الصيف - مشويات العنابي</t>
  </si>
  <si>
    <t>hames</t>
  </si>
  <si>
    <t>Individual Meal - إختار وشكلها وجبة فردية</t>
  </si>
  <si>
    <t>01:57 PM</t>
  </si>
  <si>
    <t>Wicht - Al Hamdaniyadia | ويشت</t>
  </si>
  <si>
    <t>tok_zpt5bpabzhqyffetokhejz2gvu</t>
  </si>
  <si>
    <t>wicht | ويشت</t>
  </si>
  <si>
    <t>meat and cheese a - لحم وجبنة,Shish Tawook Special a - شيش طاووق سبيشل</t>
  </si>
  <si>
    <t>02:18 PM</t>
  </si>
  <si>
    <t>McDonald’s - Badiah 1830009 CH</t>
  </si>
  <si>
    <t>tok_zhfb75yb73hyxa2nvotquj7f4m</t>
  </si>
  <si>
    <t>McDonald's| ماكدونالدز السعودية</t>
  </si>
  <si>
    <t>ممدوح البقمي</t>
  </si>
  <si>
    <t>Mini Asian Sandwich - ساندويتش ميني آسيوي,Chicken Mac Meal - Medium Size - وجبة تشيكن ماك  - حجم وسط</t>
  </si>
  <si>
    <t>02:32 PM</t>
  </si>
  <si>
    <t>Popeyes Benzol gas station Madinah</t>
  </si>
  <si>
    <t>tok_7ccovmqbgoripn65tjld7dpdcm</t>
  </si>
  <si>
    <t>Popeyes | بوبايز</t>
  </si>
  <si>
    <t>4X4 Crunch Box - بوكس كرنش 4×4</t>
  </si>
  <si>
    <t>02:35 PM</t>
  </si>
  <si>
    <t>040fa92b-ddbf-4a68-8678-833873c78422</t>
  </si>
  <si>
    <t>Tamara + Wallet</t>
  </si>
  <si>
    <t>salman</t>
  </si>
  <si>
    <t>10 Piece Chicken Nuggets Meal - وجبة دجاج مسحب – ١٠ قطع,Cocktail Sauce - صلصة الكوكتيل,Mirinda-Citrus - ميرندا حمضيات</t>
  </si>
  <si>
    <t>02:49 PM</t>
  </si>
  <si>
    <t>KUDU-KR-143</t>
  </si>
  <si>
    <t>pay_fsxpwiibmziydj2yu47h7mhl5e</t>
  </si>
  <si>
    <t>Card + Wallet</t>
  </si>
  <si>
    <t>Kudu -  كودو</t>
  </si>
  <si>
    <t>Grilled Chicken Meal - وجبة الدجاج المشوي</t>
  </si>
  <si>
    <t>03:31 PM</t>
  </si>
  <si>
    <t>52d7cb23-10e0-40a6-abe5-744ee6162a58</t>
  </si>
  <si>
    <t>abdullah</t>
  </si>
  <si>
    <t>Chicken Mac Meal - Medium Size - وجبة تشيكن ماك  - حجم وسط</t>
  </si>
  <si>
    <t>04:03 PM</t>
  </si>
  <si>
    <t>bb7f1e6f-c3f8-40fb-b662-3dd690018814</t>
  </si>
  <si>
    <t>dareen</t>
  </si>
  <si>
    <t>Big Kentaaky Combo- Medium - بيج كنتاكي كومبو</t>
  </si>
  <si>
    <t>05:17 PM</t>
  </si>
  <si>
    <t>مطعم أكلات النيازي الوادي| Akalat Alniyazi</t>
  </si>
  <si>
    <t>tok_wf4ri4ib3bmy7jishbmenxerme</t>
  </si>
  <si>
    <t>منتو ويغمش أكلات النيازي | Akalat al-Niyaz</t>
  </si>
  <si>
    <t>نجلاء</t>
  </si>
  <si>
    <t>Mento - منتو,samosa - سمبوسة,Water - مياه</t>
  </si>
  <si>
    <t>07:59 PM</t>
  </si>
  <si>
    <t>Abdulaziz Alarifi</t>
  </si>
  <si>
    <t>tok_b4tjmyqboy4idonikgads746ri</t>
  </si>
  <si>
    <t>Abdulaziz</t>
  </si>
  <si>
    <t>Super Star Chicken Box - بوكس سوبر ستار تشيكن ,Cheddar Cheese - جبنة شيدر</t>
  </si>
  <si>
    <t>08:02 PM</t>
  </si>
  <si>
    <t>MEED #1035 - Rawdah 3 | ميد</t>
  </si>
  <si>
    <t>020c94ca-10ff-467d-970f-3a3b3fc2354a</t>
  </si>
  <si>
    <t>MEED || ميد</t>
  </si>
  <si>
    <t>Baja Salted Sunflower Seeds 100g - باجة حب دوار الشمس 100جرام,Kwality Chocolate Kone Ice Cream 150ml - كواليتي ايس كريم بالشوكولاته 150 مل,Klasse Strawberry Non-Alcoholic Malt Beer 250ml - كلاس شراب شعير بالفراولة خالي من الكحول علبة 250 مل,Lipton Zero Sugar Tropical Passionfruit &amp; Mango Ice Tea 320ml - ليبتون ايس تي بفاكهة الباشن فروت الاستوائية والمانجو خالي من السكر 320مل,LIPTON IT REDFRUTS 320ML - ليبتون آيس تي بالفواكه الحمراء 320مل,Baja Salted Pumpkin Seeds 13g - باجة حب قرع مملح 13جرام,Indomie Chicken Curry Instant Noodles 75g - اندومي شعيرية بنكهة كاري الدجاج 75جرام,Maltesers Chocolate Bag 37g - مالتيزر شوكولاتة كيس 37جرام,Galaxy Hazelnut Chocolate Bar 30g - جالكسي  البندق 40جم,LAY'S 155GR SALTED - ليز رقائق البطاطس بالملح  155 جرام</t>
  </si>
  <si>
    <t>08:59 PM</t>
  </si>
  <si>
    <t>tok_irzggpqbigqi7pfoqclkimsczy</t>
  </si>
  <si>
    <t>Abdullaziz</t>
  </si>
  <si>
    <t>Spicy Big BAIK - بيج بيك حرّاق,Double Crispy BAIK - دبل كرسبي بيك,Pepsi - بيبسي</t>
  </si>
  <si>
    <t>09:21 PM</t>
  </si>
  <si>
    <t>Shawarma House | بيت الشاورما خريص</t>
  </si>
  <si>
    <t>tok_5uamitib4ujybjab6m2wn7bwaa</t>
  </si>
  <si>
    <t>Shawarma House | بيت الشاورما | الصحي صار له بيت</t>
  </si>
  <si>
    <t>محمد</t>
  </si>
  <si>
    <t>Chiken Shawerma Red - ريد شاورما دجاج,Square - مربعة,Square - مربعة,Grape Leaves Fatta - فتة ورق عنب</t>
  </si>
  <si>
    <t>09:23 PM</t>
  </si>
  <si>
    <t>tok_6db77mqbwlgyhblzt45gs6vcay</t>
  </si>
  <si>
    <t>yasser</t>
  </si>
  <si>
    <t>10 Piece Chicken Nuggets Meal - وجبة دجاج مسحب – ١٠ قطع,Cocktail Sauce - صلصة الكوكتيل,Spicy Double Crispy BAIK - دبل كرسبي بيك حرّاق,Mirinda-Citrus - ميرندا حمضيات</t>
  </si>
  <si>
    <t>09:38 PM</t>
  </si>
  <si>
    <t>Alset Alarid | ست</t>
  </si>
  <si>
    <t>851edef9-356b-48e9-8bea-83ebf1064fb8</t>
  </si>
  <si>
    <t>Alset KHATEAR - Akawi |الست الختيار - العكاوي</t>
  </si>
  <si>
    <t>nawwaf</t>
  </si>
  <si>
    <t>Alset Arabic Shawarma - عربي الست,Istanbuli - إسطنبولي,Citrus Mirinda - حمضيات</t>
  </si>
  <si>
    <t>09:46 PM</t>
  </si>
  <si>
    <t>Century Burger - CB7 JEDDAH PARK | سنشري برجر</t>
  </si>
  <si>
    <t>pay_cjtddfqbfdky7h3sbgp4c3wetq</t>
  </si>
  <si>
    <t>Century Burger - سنشري برجر</t>
  </si>
  <si>
    <t>Hazem95</t>
  </si>
  <si>
    <t>The Original CB - ذا اوريجينال,Fried Chicken - دجاج مقلي,Sloppy Style Fries - سلوبي ستايل فرايز (جديد)</t>
  </si>
  <si>
    <t>09:48 PM</t>
  </si>
  <si>
    <t>Ali AlZamanan</t>
  </si>
  <si>
    <t>Wagyu - Ar Rayyan | واقيو - الريان</t>
  </si>
  <si>
    <t>pay_ugbf2uabzv7ypplqiqy5me4v6a</t>
  </si>
  <si>
    <t>Wagyu Burger || واقيو برقر</t>
  </si>
  <si>
    <t>Ali</t>
  </si>
  <si>
    <t>Texas Bites - تكساس بايتس,W Burger - دابليو برقر,Brisket Fries - بريسكت فرايز,Pepsi - ببسي</t>
  </si>
  <si>
    <t>11:12 PM</t>
  </si>
  <si>
    <t>tok_yc6s6bqbjn4yve7vsxivyvepkq</t>
  </si>
  <si>
    <t>DZRT Nicotine Icy Rush 7 mg 20 Pouch - دزرت نيكوتين ايسي رش 7مجم 20 ظرف</t>
  </si>
  <si>
    <t>11:28 PM</t>
  </si>
  <si>
    <t>Shawarmer AlHamadaniyyah | شاورمر الحمدانية</t>
  </si>
  <si>
    <t>tok_d6gwo4ib2azi3lrhcrxczyr5ke</t>
  </si>
  <si>
    <t>shawarmer | شاورمر</t>
  </si>
  <si>
    <t>Arabo chicken Meal - عربو دجاج وجبة</t>
  </si>
  <si>
    <t>11:33 PM</t>
  </si>
  <si>
    <t>Wendy's | وينديزطريق الدمام 1</t>
  </si>
  <si>
    <t>pay_tbocwjibukkyjabyczwj6yye3y</t>
  </si>
  <si>
    <t>Card</t>
  </si>
  <si>
    <t>Wendy's | ونديز</t>
  </si>
  <si>
    <t>نوره</t>
  </si>
  <si>
    <t>Chicken Wafee Box - بوكس دجاج الوافي,Chicken Bites - 4 Pcs - تشيكن بايتس - 4 قطع</t>
  </si>
  <si>
    <t>12:52 AM</t>
  </si>
  <si>
    <t>HALA BURGER | هلا برجر النسيم</t>
  </si>
  <si>
    <t>tok_ji76t5ybx5nidnmxdd4xtm46ae</t>
  </si>
  <si>
    <t>HALA BURGER | هلا برجر</t>
  </si>
  <si>
    <t>Reem</t>
  </si>
  <si>
    <t>Crispy Original Meal - وجبة كريسبي أورجينال</t>
  </si>
  <si>
    <t>01:02 AM</t>
  </si>
  <si>
    <t>Glowin Unaizah | قلو ان</t>
  </si>
  <si>
    <t>tok_oofx6qibdnjixpqu6fqkpqqu4a</t>
  </si>
  <si>
    <t>Glowin | قلو ان</t>
  </si>
  <si>
    <t>Combo Double Hot Glow - كومبو دبل هت قلو</t>
  </si>
  <si>
    <t>02:01 AM</t>
  </si>
  <si>
    <t>Foil Burger Al Badiah Riyadh | البديعه الرياض</t>
  </si>
  <si>
    <t>tok_hdt22xqbq5pyllftyouetk46yy</t>
  </si>
  <si>
    <t>Foil Burger #InLove | فويل برجر</t>
  </si>
  <si>
    <t>Chopped Cheese - تشوبد تشيز</t>
  </si>
  <si>
    <t>02:06 AM</t>
  </si>
  <si>
    <t>Bros - بروز الزهرة</t>
  </si>
  <si>
    <t>tok_qpjr6gyburhyhamj33bkpgk6ky</t>
  </si>
  <si>
    <t>Bros - بروز</t>
  </si>
  <si>
    <t>Beno Bar - بينو بار</t>
  </si>
  <si>
    <t>02:52 AM</t>
  </si>
  <si>
    <t>وافى الهلالي</t>
  </si>
  <si>
    <t>WBJ| دابليو بي جاي العليا</t>
  </si>
  <si>
    <t>tok_walpdsqbnnpifmbrfkqwypd5gy</t>
  </si>
  <si>
    <t>WBJ | دابليو بي جاي</t>
  </si>
  <si>
    <t>WBJ Sauce - صوص دابليو بي جاي,Single WBJ Burger - برجر دابليو بي جاي سنجل</t>
  </si>
  <si>
    <t>05:54 AM</t>
  </si>
  <si>
    <t>فيصل عبدالعزيز</t>
  </si>
  <si>
    <t>Liver Sandwich - ساندوتش كبدة ,falafel pie - فطيرة فلافل,Abah flafel Sandwatch - ساندويتش ابعة فلافل,Bottle Orange - علبه برتقال</t>
  </si>
  <si>
    <t>07:41 AM</t>
  </si>
  <si>
    <t>62a9a30f-0b46-4d16-9651-b4bcfaf3ec0c</t>
  </si>
  <si>
    <t>Tannouri Meal - تنوري وجبة</t>
  </si>
  <si>
    <t>01:07 PM</t>
  </si>
  <si>
    <t>OUT OF LINE | اوت اوف لاين</t>
  </si>
  <si>
    <t>tok_giwkolqb55vyfmndl7utjmbioq</t>
  </si>
  <si>
    <t>Danah Alsalman</t>
  </si>
  <si>
    <t>Spicy Tuna Sandwich - ساندوتش سبايسي تونة,Fried Halloumi Sandwich - ساندوتش حلوم مقلي,Iced cappuccino - آيس كابتشينو</t>
  </si>
  <si>
    <t>01:44 PM</t>
  </si>
  <si>
    <t>tok_gavjujabthqydaq3yyj4wawyjy</t>
  </si>
  <si>
    <t>7 Piece Chicken Nuggets Meal - وجبة دجاج مسحب – ٧ قطع,Mirinda-Citrus - ميرندا حمضيات,Seven Up - سفن أب,Nugget Sauce - صلصة المسحب</t>
  </si>
  <si>
    <t>02:11 PM</t>
  </si>
  <si>
    <t>Najdya l نجديه العليا</t>
  </si>
  <si>
    <t>Najdya l نجديه</t>
  </si>
  <si>
    <t>Falajmi79</t>
  </si>
  <si>
    <t>وجبة لمة نجدية لحم - وجبة لمة نجدية لحم</t>
  </si>
  <si>
    <t>04:14 PM</t>
  </si>
  <si>
    <t>tok_x4usjnybrdripanzvwdlzgycwy</t>
  </si>
  <si>
    <t>عبداللطيف الغامدي</t>
  </si>
  <si>
    <t>10 Piece Chicken Nuggets Meal - وجبة دجاج مسحب – ١٠ قطع,10 Piece Spicy Chicken Nuggets Meal - وجبة دجاج مسحب حرّاق – ١٠ قطع,Cocktail Sauce - صلصة الكوكتيل,Garlic Sauce - صلصة الثوم,Coleslaw Salad - سلطة ملفوف</t>
  </si>
  <si>
    <t>05:06 PM</t>
  </si>
  <si>
    <t>CHUNK AND CHUCK | تشانك اند تشاك</t>
  </si>
  <si>
    <t>tok_lrgdlzib5ikifbg3phlqpiie6q</t>
  </si>
  <si>
    <t/>
  </si>
  <si>
    <t>Dip 'n' Zest - ديب ان زيست,Sheks Burger - شيكز برجر,Soft Drinks  - المشروبات الغازية</t>
  </si>
  <si>
    <t>05:23 PM</t>
  </si>
  <si>
    <t>أحمد المناسف</t>
  </si>
  <si>
    <t>Cinnabon | سينابون بن داود المدينة</t>
  </si>
  <si>
    <t>tok_mktnjaqby5ky3f7jfnzkizdnvy</t>
  </si>
  <si>
    <t>Cinnabon | سينابون</t>
  </si>
  <si>
    <t>Cafe Mocha  - موكا ساخنه ( كلاسيك) كبير,Cinnabites 5 Pcs - سينابايتس</t>
  </si>
  <si>
    <t>05:36 PM</t>
  </si>
  <si>
    <t>Khaled Alshehri</t>
  </si>
  <si>
    <t>Maki House Al Suwaidi |  ماكي هاوس السويدي</t>
  </si>
  <si>
    <t>tok_t5fj2bybjrsixn2btxxheztw3m</t>
  </si>
  <si>
    <t>Maki House | ماكي هاوس</t>
  </si>
  <si>
    <t>Khalid3400</t>
  </si>
  <si>
    <t>Super Kani - سوبر كاني,Katsu Curry - كاتسو كاري</t>
  </si>
  <si>
    <t>05:56 PM</t>
  </si>
  <si>
    <t>Cannol | كانول الحمدانية</t>
  </si>
  <si>
    <t>tok_sn7zsrybpncyzog6ghlhhcnhiq</t>
  </si>
  <si>
    <t>Cannol | كانول 🥭</t>
  </si>
  <si>
    <t>Raghad91A@gmail.com</t>
  </si>
  <si>
    <t>Cannoli Box - Small Size - بوكس كانولي صغير</t>
  </si>
  <si>
    <t>05:59 PM</t>
  </si>
  <si>
    <t>tok_at4enrabjjryhb2zs6gl5rnvxu</t>
  </si>
  <si>
    <t>Super Dinner Meal - Medium - Super Dinner Meal - Spicy - سوبر دينر وجبة - وسط - سوبر دينر ميل - سبايسي</t>
  </si>
  <si>
    <t>06:23 PM</t>
  </si>
  <si>
    <t>tok_fqs5fkyb6rripcejx4rui5tnaa</t>
  </si>
  <si>
    <t>waad</t>
  </si>
  <si>
    <t>Charcoal-grilled chicken with rice - دجاج علي الفحم مع الرز,Mix Rice Meal Grill - رز مكس مشوي,Laban - لبن</t>
  </si>
  <si>
    <t>07:57 PM</t>
  </si>
  <si>
    <t>ALBAIK 4 Piece Spicy Chicken Meal - وجبة دجاج البيك حرّاق – ٤ قطع,Garlic Sauce - صلصة الثوم,Pepsi - بيبسي,ALBAIK 4 Piece Chicken Meal - وجبة دجاج البيك – ٤ قطع,10 Piece Spicy Chicken Nuggets Meal - وجبة دجاج مسحب حرّاق – ١٠ قطع</t>
  </si>
  <si>
    <t>tok_jt3ysmabfg4i5e475umdfsfz5u</t>
  </si>
  <si>
    <t>i.alsubaie@thechefz.co</t>
  </si>
  <si>
    <t>Smokey Combo - وجبة سموكي</t>
  </si>
  <si>
    <t>08:16 PM</t>
  </si>
  <si>
    <t>pay_kjetjyyb25xy5b542hx6y3hqw4</t>
  </si>
  <si>
    <t>Double BAIK - دبل بيك,ALBAIK 4 Piece Chicken Meal - وجبة دجاج البيك – ٤ قطع</t>
  </si>
  <si>
    <t>09:18 PM</t>
  </si>
  <si>
    <t>Deep Fries MAATHAR| المعذر</t>
  </si>
  <si>
    <t>tok_kiszzbqbgg3ydjtdrs2sogncdu</t>
  </si>
  <si>
    <t>Deep Fries | ديب فرايز</t>
  </si>
  <si>
    <t>Super spicy burger - سوبر سبايسي برجر</t>
  </si>
  <si>
    <t>09:25 PM</t>
  </si>
  <si>
    <t>tok_cuhh7babzbuivevkzougholou4</t>
  </si>
  <si>
    <t>نمير الشهري</t>
  </si>
  <si>
    <t>Date Burger Box - بوكس برجر التمر</t>
  </si>
  <si>
    <t>09:32 PM</t>
  </si>
  <si>
    <t>Peradiz | بيراديز</t>
  </si>
  <si>
    <t>pay_ikrc2gabilnifdwbtpptnl2v5m</t>
  </si>
  <si>
    <t>Butter Chicken - دجاج بالزبدة,Prawns Tandoori - روبيان تندوري,Biryani Rice - أرز برياني,Soft Drinks - مشروبات غازية</t>
  </si>
  <si>
    <t>09:37 PM</t>
  </si>
  <si>
    <t>aziz nu</t>
  </si>
  <si>
    <t>tok_6ubf3hqb3qqijgrrjoe53g2dgm</t>
  </si>
  <si>
    <t>a</t>
  </si>
  <si>
    <t>Arabic shawarma chicken W Pepsi. - شاورما عربي دجاج مع بيبسي,Cheese Fries - بطاطس بالجبن</t>
  </si>
  <si>
    <t>09:42 PM</t>
  </si>
  <si>
    <t>Gold Star Wraptor Combo- Medium - جولد ستار رابتور وجبة,Gold Star Wraptor - جولد ستار رابتور</t>
  </si>
  <si>
    <t>09:57 PM</t>
  </si>
  <si>
    <t>tok_jvhdrmibjlnyjjih6ykkhz3pyy</t>
  </si>
  <si>
    <t>شيخه</t>
  </si>
  <si>
    <t>10 Piece Spicy Chicken Nuggets Meal - وجبة دجاج مسحب حرّاق – ١٠ قطع,ALBAIK 4 Piece Spicy Chicken Meal - وجبة دجاج البيك حرّاق – ٤ قطع,ALBAIK Shawerma - شاورما البيك,BAIKEEZ  Burger with Lahaleebo Sauce - برجر بيكيز بصلصة لهاليبو,French Fries - بطاطس,Big BAIK - بيج بيك</t>
  </si>
  <si>
    <t>12:45 AM</t>
  </si>
  <si>
    <t>ec505c8e-b668-42eb-8d9b-11ecb945a4df</t>
  </si>
  <si>
    <t>omar</t>
  </si>
  <si>
    <t>Spicy Jumbo Musahab Regular Meal - وجبة جامبو مسحب حار حجم عادي,2 Regular Double Max Meal - وجبة 2 دبل ماكس</t>
  </si>
  <si>
    <t>pay_2d7ccaqb3hsyrirzpwgkxeosey</t>
  </si>
  <si>
    <t>أريام</t>
  </si>
  <si>
    <t>Super Burger Combo - سوبر برجر كومبو</t>
  </si>
  <si>
    <t>02:38 AM</t>
  </si>
  <si>
    <t>e752e16e-9791-4748-a08b-6a08aeb17346</t>
  </si>
  <si>
    <t>manayr2057</t>
  </si>
  <si>
    <t>Nacho Queso BoxMaster Combo - Medium - بوكس ماستر ناتشو كومبو</t>
  </si>
  <si>
    <t>03:49 AM</t>
  </si>
  <si>
    <t>Nfr Lhm | نفر لحم الورود</t>
  </si>
  <si>
    <t>2813e303-9d68-489f-8e5e-12ba7a93c842</t>
  </si>
  <si>
    <t>Nfr Lhm | نفر لحم</t>
  </si>
  <si>
    <t>smaas</t>
  </si>
  <si>
    <t>Moqalqal Mix - مقلقل دبل كبدة ولحم,citrus - حمضيات</t>
  </si>
  <si>
    <t>04:37 AM</t>
  </si>
  <si>
    <t>tok_hffamcib62pylkcaekmmt5buxm</t>
  </si>
  <si>
    <t>alaa hamzah</t>
  </si>
  <si>
    <t>ALBAIK 4 Piece Chicken Meal - وجبة دجاج البيك – ٤ قطع,Coleslaw Salad - سلطة ملفوف,10 Piece Chicken Nuggets Meal - وجبة دجاج مسحب – ١٠ قطع,Cocktail Sauce - صلصة الكوكتيل,Garlic Sauce - صلصة الثوم</t>
  </si>
  <si>
    <t>04:52 AM</t>
  </si>
  <si>
    <t>Zatara oven | فرن زعترة</t>
  </si>
  <si>
    <t>tok_w4ebweib5z2iblgvelirzocnqq</t>
  </si>
  <si>
    <t>noura</t>
  </si>
  <si>
    <t>Roll Pies Box - Large Size - بوكس فطائر رول - حجم كبير</t>
  </si>
  <si>
    <t>07:37 AM</t>
  </si>
  <si>
    <t>Mathaq Al Manoushah Al Rayan | الريان</t>
  </si>
  <si>
    <t>tok_ol25irab7ixinojuldiat5byly</t>
  </si>
  <si>
    <t>Mathaq Al Manoushah | مذاق المنئوشة</t>
  </si>
  <si>
    <t>Asmaa</t>
  </si>
  <si>
    <t>Mulaghama - فطيرة ملغمة</t>
  </si>
  <si>
    <t>07:47 AM</t>
  </si>
  <si>
    <t>tok_jcep65ib7hwizdbvsdu2dkop4m</t>
  </si>
  <si>
    <t>ادم فارّان</t>
  </si>
  <si>
    <t>ALBAIK 4 Piece Spicy Chicken Meal - وجبة دجاج البيك حرّاق – ٤ قطع,Bread Buns - خبز,ALBAIK Maamoul - معمول البيك,Pepsi - بيبسي,Spicy Chicken Fillet Burger - برجر فيليه دجاج حرّاق</t>
  </si>
  <si>
    <t>08:49 AM</t>
  </si>
  <si>
    <t>tok_h4bd4iib2ffi3e7nboxicodfqe</t>
  </si>
  <si>
    <t>Mounir</t>
  </si>
  <si>
    <t>10 Piece Chicken Nuggets Meal - وجبة دجاج مسحب – ١٠ قطع,Coleslaw Salad - سلطة ملفوف</t>
  </si>
  <si>
    <t>10:09 AM</t>
  </si>
  <si>
    <t>tok_6j7y77ibbz7yhkanmeoqaac6vu</t>
  </si>
  <si>
    <t>عبدالله</t>
  </si>
  <si>
    <t>Grand Chicken Deluxe Meal - Medium Size - وجبة جراند تشيكن ديلوكس - حجم وسط</t>
  </si>
  <si>
    <t>11:01 AM</t>
  </si>
  <si>
    <t>4f32b963-6a73-4769-a628-909361009986</t>
  </si>
  <si>
    <t>Cocktail Sauce - صلصة الكوكتيل,Garlic Sauce - صلصة الثوم,Coleslaw Salad - سلطة ملفوف,Big BAIK - بيج بيك,ALBAIK 4 Piece Spicy Chicken Meal - وجبة دجاج البيك حرّاق – ٤ قطع,Tawuk - طاووق</t>
  </si>
  <si>
    <t>11:29 AM</t>
  </si>
  <si>
    <t>Forn Wa Saj | فرن وصاج جدة</t>
  </si>
  <si>
    <t>pay_kqplvaibkgnyva6aa266esa4ie</t>
  </si>
  <si>
    <t>Forn Wa Saj | فرن وصاج</t>
  </si>
  <si>
    <t>Halloumi Pesto - بيستو حلومي,Spinach - سبانخ</t>
  </si>
  <si>
    <t>01:03 PM</t>
  </si>
  <si>
    <t>Croi Rayyan | كروي الريان</t>
  </si>
  <si>
    <t>pay_3grvzwybvlcidkkj5a5r3al3b4</t>
  </si>
  <si>
    <t>Croi | كروي</t>
  </si>
  <si>
    <t>Croi Burrata sandwich - ساندويش البوراتا,Twist pesto - تويست بيستو</t>
  </si>
  <si>
    <t>02:20 PM</t>
  </si>
  <si>
    <t>Saldwich | S03 Suwaidi</t>
  </si>
  <si>
    <t>tok_xcltzqib4miyrjrpgbcx257tny</t>
  </si>
  <si>
    <t>Saldwich | سالدوتش</t>
  </si>
  <si>
    <t>mansor</t>
  </si>
  <si>
    <t>Single Box - بوكس سينجل</t>
  </si>
  <si>
    <t>03:35 PM</t>
  </si>
  <si>
    <t>ss alsalloom</t>
  </si>
  <si>
    <t>Jones the grocer | جونز ذا قروسر</t>
  </si>
  <si>
    <t>Maple French Toast - فرنش توست بالميبل,Valrhona Chocolate Eclair - إكلير شوكولاتة فالرونا</t>
  </si>
  <si>
    <t>05:58 PM</t>
  </si>
  <si>
    <t>3041 Sadhan Centre | Coffee Address</t>
  </si>
  <si>
    <t>2a17de78-603b-4974-988e-7737b5e456e2</t>
  </si>
  <si>
    <t>Coffee Address ||🌞عنوان القهوة #لصيفك_عنوان</t>
  </si>
  <si>
    <t>Iced Coffee Day - Ethiopian - قهوة اليوم باردة - بن إثيوبي,Iced Coffee Day - Ethiopian - قهوة اليوم باردة - بن إثيوبي,Cookies - كوكيز</t>
  </si>
  <si>
    <t>08:21 PM</t>
  </si>
  <si>
    <t>Burgerizzr - B21 برغرايززر فرع الربيع</t>
  </si>
  <si>
    <t>b5a8df13-1359-4574-bce0-29b506f92924</t>
  </si>
  <si>
    <t>Burgerizzr | برغرايززر #2_مجانا</t>
  </si>
  <si>
    <t>Double Double - دبل دبل</t>
  </si>
  <si>
    <t>08:43 PM</t>
  </si>
  <si>
    <t>8me bakery | ايت مي بيكري اليرموك</t>
  </si>
  <si>
    <t>tok_zvkgrhybxqnylf3wmfyb3767y4</t>
  </si>
  <si>
    <t>8me | ايت مي</t>
  </si>
  <si>
    <t>مها</t>
  </si>
  <si>
    <t>Pecan and Caramel Cake - كيكة بيكان وكراميل,Pistachio Nutella Cake - كيكة بستاشيو نوتيلا</t>
  </si>
  <si>
    <t>08:50 PM</t>
  </si>
  <si>
    <t>Jadeel - جديل لبن</t>
  </si>
  <si>
    <t>tok_2abjekibpdxi7pmbydprcaz34m</t>
  </si>
  <si>
    <t>Jadeel - جديل</t>
  </si>
  <si>
    <t>Souffle with Coffee of the Day - سوفليه مع قهوة اليوم</t>
  </si>
  <si>
    <t>09:12 PM</t>
  </si>
  <si>
    <t>alkhrof restaurant | مطعم الخروف القدس</t>
  </si>
  <si>
    <t>pay_oy3ya3qbgfeilpi6yhrol23st4</t>
  </si>
  <si>
    <t>alkhrof restaurant | مطعم الخروف</t>
  </si>
  <si>
    <t>Chicken Majboos - مجبوس دجاج,Meat Majboos - مجبوس لحم,Jareesh - جريش,Okra Broth - مرق بامية,Marqouq - مرقوق,Potato Kibbeh - كبة بطاط,Mint Laban - لبن نعناع,pepsi  - بيبسي</t>
  </si>
  <si>
    <t>09:16 PM</t>
  </si>
  <si>
    <t>tok_dcnu52abpsuyvirsgbtmryen7a</t>
  </si>
  <si>
    <t>sultan</t>
  </si>
  <si>
    <t>2 Mega Wraps  - 2  ميجا راب,Cheese Sauce - صوص جبنة</t>
  </si>
  <si>
    <t>09:41 PM</t>
  </si>
  <si>
    <t>tok_ulwgtaqben4y3auutoujmatola</t>
  </si>
  <si>
    <t>sayiku</t>
  </si>
  <si>
    <t>10 Piece Spicy Chicken Nuggets Meal - وجبة دجاج مسحب حرّاق – ١٠ قطع,Mirinda-Citrus - ميرندا حمضيات,Lahaleebo Sauce - صلصة لهاليبو,Spicy Chicken Fillet Sandwich - ساندوتش فيليه الدجاج حرّاق</t>
  </si>
  <si>
    <t>09:53 PM</t>
  </si>
  <si>
    <t>tok_plufnrqbietyzk6uccqlozkpcq</t>
  </si>
  <si>
    <t>عبدالرحمن بامهدي</t>
  </si>
  <si>
    <t>Deep signature Shrimp Large - ديب سجنتشر جمبري كبير,Dynamite Shrimp - ديناميت جمبري</t>
  </si>
  <si>
    <t>10:30 PM</t>
  </si>
  <si>
    <t>tok_lpintlib4e2yrd2dscigeojhsa</t>
  </si>
  <si>
    <t>SAM</t>
  </si>
  <si>
    <t>10 Piece Spicy Chicken Nuggets Meal - وجبة دجاج مسحب حرّاق – ١٠ قطع,Garlic Sauce - صلصة الثوم</t>
  </si>
  <si>
    <t>10:34 PM</t>
  </si>
  <si>
    <t>Sadeem ALGHAMDI</t>
  </si>
  <si>
    <t>Shiro Umm Al Hammam (Riyadh) | شيرو</t>
  </si>
  <si>
    <t>tok_gipqdwabg5xypafxg4felepc5a</t>
  </si>
  <si>
    <t>Shiro | شيرو</t>
  </si>
  <si>
    <t>sadeem Mohammed</t>
  </si>
  <si>
    <t>DYNAMITE SHIRMP - داينمايت شرمب,SHIRO SPECIAL CALIFORNIA- 8 PCS - شـــــــــــــــــــــــــــيرو سبيشل كاليفورنيا -8 قطع,CRUNCHY CRAB ROLL - 4 PCS - كرانشي كراب رول  -4 قطع,Ebi Pop 4 PCS - ايبي بوب 4 قطع</t>
  </si>
  <si>
    <t>10:38 PM</t>
  </si>
  <si>
    <t>شركة الموارد الطبية المحدودة النهضة</t>
  </si>
  <si>
    <t>pay_mis37aabkvuy5lkhzsjiociuye</t>
  </si>
  <si>
    <t>شركة الموارد الطبية المحدودة</t>
  </si>
  <si>
    <t>Hylo Gel 10 Ml - هايلو جل نقط للعين 10 مل</t>
  </si>
  <si>
    <t>11:25 PM</t>
  </si>
  <si>
    <t>Humbly Al Tahliah | همبلي</t>
  </si>
  <si>
    <t>ce595a79-c2f7-4ef2-bfa5-c9eaaf3b6ab0</t>
  </si>
  <si>
    <t>Humbly | همبلي</t>
  </si>
  <si>
    <t>Chicken Mexican Rice Bowl - طبق الرز المكسيكي دجاج,ZOI Ice tea - شاي زوي المثلج,Pepsi Diet - بيبسي دايت</t>
  </si>
  <si>
    <t>11:51 PM</t>
  </si>
  <si>
    <t>2 Chicken Burger Meal Large Size- Al Kafu + - وجبة 2 برجر دجاج حجم وسط - الكفو +,Water 500 ml - مياه 500 مل</t>
  </si>
  <si>
    <t>Baskin Robbins| باسكنSULTANA R37</t>
  </si>
  <si>
    <t>46603e31-69f8-4cd7-839d-a10342824e57</t>
  </si>
  <si>
    <t>Baskin Robbins | باسكن روبنز</t>
  </si>
  <si>
    <t>Fun Pack - عبوة المرح</t>
  </si>
  <si>
    <t>12:37 AM</t>
  </si>
  <si>
    <t>tok_n6rr2nqbu3cynpwjxk73lrznwi</t>
  </si>
  <si>
    <t xml:space="preserve">Popeyes Cajun Kabsa Rice Regular - أرز كبسة الدجاج - حجم عادي,Popeyes Cajun Chicken Rice Meal - أرز كبسة الدجاج </t>
  </si>
  <si>
    <t>12:59 AM</t>
  </si>
  <si>
    <t>tok_ybj2kgibanhy5bsmpxh4dvwocu</t>
  </si>
  <si>
    <t>طيف</t>
  </si>
  <si>
    <t>7 Piece Chicken Nuggets Meal - وجبة دجاج مسحب – ٧ قطع,Spicy Fish Fillet Meal - وجبة فيليه السمك حرّاق -10قطع</t>
  </si>
  <si>
    <t>03:29 AM</t>
  </si>
  <si>
    <t>FIVE GUYS فايف جايز عرقه</t>
  </si>
  <si>
    <t>tok_ndguqrybcqci3kt6blmdoin534</t>
  </si>
  <si>
    <t>FIVE GUYS فايف جايز</t>
  </si>
  <si>
    <t>Five Guys Shake - فايف جايز شيك</t>
  </si>
  <si>
    <t>03:33 AM</t>
  </si>
  <si>
    <t>tok_as5ua5abuhzivb5st62vycybw4</t>
  </si>
  <si>
    <t>10:58 AM</t>
  </si>
  <si>
    <t>Breehant Roastery - Medinah | فرع المدينة</t>
  </si>
  <si>
    <t>tok_ldketaab33si3cykwswqsuk3fm</t>
  </si>
  <si>
    <t>Breehant | بريهانت</t>
  </si>
  <si>
    <t>Ice Coffee day - قهوة اليوم بارده,Brihant fondue - بريهانت فوندو</t>
  </si>
  <si>
    <t>12:05 PM</t>
  </si>
  <si>
    <t>tok_4zh7gpabu5gi5o3u67bklob7du</t>
  </si>
  <si>
    <t>Chia Seed Pudding - بودينغ بذور الشيا,Ahi Ala Chicken Bowl - بول دجاج آهي آلا</t>
  </si>
  <si>
    <t>12:37 PM</t>
  </si>
  <si>
    <t>5dd303ef-36ff-476e-84d0-146f87148b53</t>
  </si>
  <si>
    <t>12:50 PM</t>
  </si>
  <si>
    <t>Shwaiat Al khalig | شواية الخليج اليرموك</t>
  </si>
  <si>
    <t>tok_acfouyabidwyxplwhqjp2vrs2e</t>
  </si>
  <si>
    <t>Shwaiat Al khalig | شواية الخليج</t>
  </si>
  <si>
    <t>Spicy Salad - سلطة حارة,Pepsi Small - بيبسي صغير,Mousakka - مسقعة,1/2 Faham With Rice - 1/2 فحام مع أرز,1/2 shawayah with rice - 1/2 دجاج مع أرز,RICE  - أرز</t>
  </si>
  <si>
    <t>01:14 PM</t>
  </si>
  <si>
    <t>pay_lr5m7nybbzbybmdaun3hytjxtu</t>
  </si>
  <si>
    <t xml:space="preserve">فواز </t>
  </si>
  <si>
    <t>Super BAIK Grilled Chicken Regular - سوبر بيك دجاج مشوي.,10 Piece Spicy Chicken Nuggets Meal - وجبة دجاج مسحب حرّاق – ١٠ قطع,French Fries - بطاطس,Coleslaw Salad - سلطة ملفوف,Garlic Sauce - صلصة الثوم,Bread Buns - خبز,Pepsi - بيبسي</t>
  </si>
  <si>
    <t>01:21 PM</t>
  </si>
  <si>
    <t>tok_vna7ttybebmijj4ppnrafgxps4</t>
  </si>
  <si>
    <t>10 Piece Spicy Chicken Nuggets Meal - وجبة دجاج مسحب حرّاق – ١٠ قطع,Spicy Double BAIK - دبل بيك حرّاق,Double BAIK - دبل بيك</t>
  </si>
  <si>
    <t>tok_7p3jc7abf7eyvjxjposqypg54y</t>
  </si>
  <si>
    <t>فارس الزهراني</t>
  </si>
  <si>
    <t>10 Piece Spicy Chicken Nuggets Meal - وجبة دجاج مسحب حرّاق – ١٠ قطع,Big BAIK - بيج بيك</t>
  </si>
  <si>
    <t>02:07 PM</t>
  </si>
  <si>
    <t>1ceb146a-1463-40eb-8bf2-cd6113b0d0d5</t>
  </si>
  <si>
    <t>10 Piece Chicken Nuggets Meal - وجبة دجاج مسحب – ١٠ قطع,ALBAIK Chips - شيبس البيك,Coleslaw Salad - سلطة ملفوف,7up Diet - سفن أب دايت,Super BAIK Grilled Chicken Spicy - سوبر بيك دجاج مشوي حرّاق</t>
  </si>
  <si>
    <t>02:41 PM</t>
  </si>
  <si>
    <t>Fahad Yousaf</t>
  </si>
  <si>
    <t>tok_px2awsybbmpyvnq6qv5bllyfuy</t>
  </si>
  <si>
    <t>Pecan &amp; Caramel Valrhona Chocolate Wheat Free Bar - بار شوكولاتة فالرونا بالبيكان والكراميل خالي من القمح,Honey Cake - كيك عسل</t>
  </si>
  <si>
    <t>02:50 PM</t>
  </si>
  <si>
    <t>Al-Fakhama Grills | مشويات الفخامة</t>
  </si>
  <si>
    <t>5138402f-6c8f-4cf0-bab1-72d740e62bf2</t>
  </si>
  <si>
    <t>AAA</t>
  </si>
  <si>
    <t>Meat Kebab - كباب لحم,Hummus - حمص,Chicken Kebab Sandwich - ساندوتش كباب دجاج</t>
  </si>
  <si>
    <t>05:30 PM</t>
  </si>
  <si>
    <t>tok_6wbhgpqb4cjixk4wnuhq65aiaq</t>
  </si>
  <si>
    <t>Om Ali - أم علي,Arabic shawarma chicken W Pepsi. - شاورما عربي دجاج مع بيبسي</t>
  </si>
  <si>
    <t>06:42 PM</t>
  </si>
  <si>
    <t>ام محمد عمر</t>
  </si>
  <si>
    <t>tok_i5qmoeabbkziliixwocofrgyku</t>
  </si>
  <si>
    <t>06:53 PM</t>
  </si>
  <si>
    <t>Nelo | نيلو العارض</t>
  </si>
  <si>
    <t>tok_cmqgvvqb6s5ylgxjo54y6lewwy</t>
  </si>
  <si>
    <t>Nelo | نيلو</t>
  </si>
  <si>
    <t>لارا الناصر</t>
  </si>
  <si>
    <t>Kinder Bites - بايتس كيندر</t>
  </si>
  <si>
    <t>07:07 PM</t>
  </si>
  <si>
    <t>عبدالله الاكلبي</t>
  </si>
  <si>
    <t>10 Piece Chicken Nuggets Meal - وجبة دجاج مسحب – ١٠ قطع,ALBAIK 4 Piece Chicken Meal - وجبة دجاج البيك – ٤ قطع,Chicken Fillet Burger - برجر فيليه دجاج</t>
  </si>
  <si>
    <t>07:09 PM</t>
  </si>
  <si>
    <t>City Wok | سيتي ووك العليا</t>
  </si>
  <si>
    <t>tok_qjpodnqbuqiixnmda53kykbmly</t>
  </si>
  <si>
    <t>City Wok | سيتي ووك</t>
  </si>
  <si>
    <t xml:space="preserve"> Beef Noodles - نودلز باللحم البقري</t>
  </si>
  <si>
    <t>976bdb1f-077c-4113-9d41-976c61c405ab</t>
  </si>
  <si>
    <t>07:26 PM</t>
  </si>
  <si>
    <t>3 Asyakh | ثلاث اسياخ الامير فواز جدة</t>
  </si>
  <si>
    <t>24b8e57f-7e85-4b5e-9202-16cce3e31319</t>
  </si>
  <si>
    <t>3 Asyakh | ثلاث اسياخ</t>
  </si>
  <si>
    <t>Beef Shawarma Sandwich - ساندوتش شاورما لحم</t>
  </si>
  <si>
    <t>07:47 PM</t>
  </si>
  <si>
    <t>HEY BIRD | هاي بيرد</t>
  </si>
  <si>
    <t>tok_tl2v2pabkjvytihtisgcc77eci</t>
  </si>
  <si>
    <t>Tender's Nashville - تندرز ناشفل,Nashville Chicken - ناشفل تشكن</t>
  </si>
  <si>
    <t>07:58 PM</t>
  </si>
  <si>
    <t>pay_savyapqbwmhizlfivt7fwo44yu</t>
  </si>
  <si>
    <t>Smoky House Box - سموكي هاوس بكس,Soft Drinks Can - مشروب غازي علب</t>
  </si>
  <si>
    <t>08:18 PM</t>
  </si>
  <si>
    <t>حمد عبدالله</t>
  </si>
  <si>
    <t>pay_ihi53rybiz7ifoo7hb743nor7q</t>
  </si>
  <si>
    <t>hamad77</t>
  </si>
  <si>
    <t>Arabic 80g Protein - عربي 80 جرام بروتين,Thumilla Sauce - صوص ثوملا</t>
  </si>
  <si>
    <t>08:27 PM</t>
  </si>
  <si>
    <t>Hejra Beiruti | بيروتي الهجرة</t>
  </si>
  <si>
    <t>tok_i76mbdib66tibadlyvn3tyykuu</t>
  </si>
  <si>
    <t>Nana User</t>
  </si>
  <si>
    <t>Chicken with Pie Sandwich - ساندويش دجاج بالفطير,Orange Juice - عصير برتقال</t>
  </si>
  <si>
    <t>08:45 PM</t>
  </si>
  <si>
    <t>Teller Khadija 3 | تيلر</t>
  </si>
  <si>
    <t>tok_yzh3qnabvm4yjmxjqb4lywl3cu</t>
  </si>
  <si>
    <t>Teller l تيلر</t>
  </si>
  <si>
    <t xml:space="preserve">Lava budding   - لافا بودينق   </t>
  </si>
  <si>
    <t>08:58 PM</t>
  </si>
  <si>
    <t>Shawarma Mahbooob | شاورما محبوب الجنادريه</t>
  </si>
  <si>
    <t>tok_bxr24vqbpxaiddhrsadif7fwmu</t>
  </si>
  <si>
    <t>Shawarma Mahbooob | شاورما محبوب</t>
  </si>
  <si>
    <t>mazen</t>
  </si>
  <si>
    <t>Qonbela - قنبلة,New Shake Spicy - شيك سبايسي,Soft Drinks - المشروبات الغازية,Shawarma Brioche - شاورما بريوش</t>
  </si>
  <si>
    <t>09:05 PM</t>
  </si>
  <si>
    <t>tok_flc2qsqb34jixkj372f55o2ui4</t>
  </si>
  <si>
    <t>نوره عبدالعزيز العتيبي</t>
  </si>
  <si>
    <t>09:24 PM</t>
  </si>
  <si>
    <t>Rakan muharb</t>
  </si>
  <si>
    <t>cdb333e2-71c7-424c-8d52-8f1e1b37696e</t>
  </si>
  <si>
    <t>Chicken Mac Meal - Medium Size - وجبة تشيكن ماك  - حجم وسط,McWrap Peri Peri Sandwich - ساندويش ماك راب بيري بيري,Big Tasty Sauce - صوص بيج تيستي</t>
  </si>
  <si>
    <t>09:27 PM</t>
  </si>
  <si>
    <t>Liger | لايقر - العليا Olaya</t>
  </si>
  <si>
    <t>86d809b8-9576-4e2b-ae79-9fec8b6b9ad2</t>
  </si>
  <si>
    <t>Liger | لايقر</t>
  </si>
  <si>
    <t>Ice Coffee Of The Day - قهوة اليوم البارد,Signature Kinder Cookies - سجنتشر كوكيز كندر</t>
  </si>
  <si>
    <t>tok_pccfzxqbjacivmaw55nzl4mku4</t>
  </si>
  <si>
    <t>Layan</t>
  </si>
  <si>
    <t>Smoky Chicken Burger - سموكي برجر دجاج,Seasoned Fries - بطاطس مبهر</t>
  </si>
  <si>
    <t>10:25 PM</t>
  </si>
  <si>
    <t>PICKUP | بك اب التخصصي</t>
  </si>
  <si>
    <t>tok_7f4xavabk6hynh2hflzppcpw34</t>
  </si>
  <si>
    <t>PICKUP || بك اب</t>
  </si>
  <si>
    <t>hmsto</t>
  </si>
  <si>
    <t>Fries - R - فرايز,PICKUP fries - R - بيك اب فرايز,Jalapeño Double - 2R - هلابينو دبل</t>
  </si>
  <si>
    <t>11:02 PM</t>
  </si>
  <si>
    <t>Tanuki Sushi | تانوكي سوشي النسيم</t>
  </si>
  <si>
    <t>a458b085-168d-458d-b39c-9d35ec04f51a</t>
  </si>
  <si>
    <t>Tanuki Sushi | تانوكي سوشي</t>
  </si>
  <si>
    <t>alaa</t>
  </si>
  <si>
    <t>Build Your Own Box - 12 Pcs - كوّن بوكسك الخاص - 12 قطعة</t>
  </si>
  <si>
    <t>11:06 PM</t>
  </si>
  <si>
    <t>Podo Moro | بودومورو Shawqiyah</t>
  </si>
  <si>
    <t>pay_rt6rjyab7daynj5xtkcf6zejdy</t>
  </si>
  <si>
    <t>Podo Moro | بودومورو</t>
  </si>
  <si>
    <t>وديع</t>
  </si>
  <si>
    <t>Small Mix (Beef Tenderloin) - مشكل صغير (لحم تندرلوين),Water - ماء</t>
  </si>
  <si>
    <t>11:14 PM</t>
  </si>
  <si>
    <t>tok_b6ll7vibj3eizayr35lplj4rra</t>
  </si>
  <si>
    <t>Cheese Sauce - صوص جبنة,Sandwich Super Box - سوبر بوكس الساندوتش</t>
  </si>
  <si>
    <t>11:24 PM</t>
  </si>
  <si>
    <t>Alkookh alshami |شاورما الكوخ الشامي</t>
  </si>
  <si>
    <t>tok_7xjonkyb5doyhjasc2f7hnhbq4</t>
  </si>
  <si>
    <t>ibrahim</t>
  </si>
  <si>
    <t>Saroukh Shawarma Sandwich - ساندوتش شاورما صاروخ,Fries Dish - صحن بطاطس</t>
  </si>
  <si>
    <t>11:27 PM</t>
  </si>
  <si>
    <t>tok_wwz5mkabytqyzdpc5noc32l6ie</t>
  </si>
  <si>
    <t>faisalhh</t>
  </si>
  <si>
    <t>Grand Chicken Spicy Meal - Medium Size - وجبة جراند تشيكن سبايسي - حجم وسط,Grand Chicken Spicy Meal - Medium Size - وجبة جراند تشيكن سبايسي - حجم وسط,Grand Chicken Special Meal - Medium Size - وجبة جراند تشيكن سبيشال - حجم وسط,McChicken Meal - Medium Size - وجبة ماك تشيكن - حجم وسط</t>
  </si>
  <si>
    <t>12:13 AM</t>
  </si>
  <si>
    <t>Basket coffee Al-Shawqeyah | الشوقية</t>
  </si>
  <si>
    <t>fbb811be-8aef-4080-85b8-036e67138b3d</t>
  </si>
  <si>
    <t>Basket coffee | 🏀باسكت كوفي</t>
  </si>
  <si>
    <t>Large mini cookies box - بوكس ميني كوكيز كبير</t>
  </si>
  <si>
    <t>12:34 AM</t>
  </si>
  <si>
    <t>tok_lcspypqbvsyyzknuy2xs2vjtke</t>
  </si>
  <si>
    <t>Chicken McNuggets 12 Pcs Meal - Medium Size - وجبة تشيكن ماك ناجت 12 قطعة - حجم وسط,Chicken McNuggets 12 Pcs Meal - Medium Size - وجبة تشيكن ماك ناجت 12 قطعة - حجم وسط,Little Tasty Chicken Meal - Medium Size - وجبة ليتل تايستي دجاج - حجم وسط</t>
  </si>
  <si>
    <t>5995d637-3c85-4f8d-b038-0bdb0a0dc4be</t>
  </si>
  <si>
    <t>Friends Raheeb Deal - عرض الديو تويستر والبرجر الرهيب,Cheese Sauce - صوص الجبن</t>
  </si>
  <si>
    <t>01:04 AM</t>
  </si>
  <si>
    <t>نون نون</t>
  </si>
  <si>
    <t>tok_yczjjwibdowihi5rzn2xjovqwm</t>
  </si>
  <si>
    <t>Hibherizzr Shaqra - حبحرايززر شقراء</t>
  </si>
  <si>
    <t>01:30 AM</t>
  </si>
  <si>
    <t>tok_hwcy3riblx3y5j74tosuvq6qg4</t>
  </si>
  <si>
    <t>Cocktail Sauce - صلصة الكوكتيل,Garlic Sauce - صلصة الثوم,Pepsi - بيبسي,10 Piece Spicy Chicken Nuggets Meal - وجبة دجاج مسحب حرّاق – ١٠ قطع,Bread Buns - خبز</t>
  </si>
  <si>
    <t>02:16 AM</t>
  </si>
  <si>
    <t>ALBAIK | Qirrawan</t>
  </si>
  <si>
    <t>41748e96-afd5-44de-a11e-1a107ec83383</t>
  </si>
  <si>
    <t>ALBAIK - البيك</t>
  </si>
  <si>
    <t>10 Pieces Chicken Nuggets Meal - وجبة دجاج مسحب 10 قطع,Nugget Sauce - صلصة المسحب,Cocktail Sauce - صلصة الكوكتيل,Spicy Crispy Baik Fillet - كرسبي بيك فيليه حراق</t>
  </si>
  <si>
    <t>02:24 AM</t>
  </si>
  <si>
    <t>ابو بندر</t>
  </si>
  <si>
    <t>Malhejji</t>
  </si>
  <si>
    <t>Majnonah Flafel (Mix Falafel) - ( مكس فلافل) مجنونة فلافل,Crinkle fries - بطاطس كرنكل,Kinza - كنزا,Water - ماء</t>
  </si>
  <si>
    <t>03:14 AM</t>
  </si>
  <si>
    <t>MLT Al Aziziyah | العزيزية</t>
  </si>
  <si>
    <t>tok_z3joceqbzo2ypknevwcjevaobm</t>
  </si>
  <si>
    <t>mlt | ملت</t>
  </si>
  <si>
    <t>RANA</t>
  </si>
  <si>
    <t>Mlty Chocolate - ملتى تشوكلت,Chocolate Cookies - كوكيز الشوكولاتة</t>
  </si>
  <si>
    <t>04:19 AM</t>
  </si>
  <si>
    <t>Crispsh | كرسبش السويدي شبرا</t>
  </si>
  <si>
    <t>pay_x2i6qpybbfxyrglaynzesreajq</t>
  </si>
  <si>
    <t>Crispsh | كرسبش</t>
  </si>
  <si>
    <t>Classic Crispy Burger Meal - وجبة كلاسيك برجر</t>
  </si>
  <si>
    <t>12:56 PM</t>
  </si>
  <si>
    <t>ميم سويت الحمدانية | meem sweet</t>
  </si>
  <si>
    <t>tok_qqsa6wibklwydh6wuv45jtps7i</t>
  </si>
  <si>
    <t>ميم سويت | meem sweet</t>
  </si>
  <si>
    <t>tawfyq050</t>
  </si>
  <si>
    <t>Basbousa with cream and toasted milk - بسبوسة قشطة بالحليب المحموس</t>
  </si>
  <si>
    <t>01:00 PM</t>
  </si>
  <si>
    <t>tok_imesziqbf4oixmw7o2qd72hpym</t>
  </si>
  <si>
    <t>Super BAIK Grilled Chicken Regular - سوبر بيك دجاج مشوي.,7 Piece Chicken Nuggets Meal - وجبة دجاج مسحب – ٧ قطع,Pepsi - بيبسي</t>
  </si>
  <si>
    <t>01:58 PM</t>
  </si>
  <si>
    <t>Sukariah | سكرية لبن</t>
  </si>
  <si>
    <t>tok_eblbx2abvpwihi7wxe7k3pnbye</t>
  </si>
  <si>
    <t>Sukariah | 🤎سكرية | سينامون كرنش</t>
  </si>
  <si>
    <t>Cinnamon Crunch - سينامون كرنش</t>
  </si>
  <si>
    <t>02:12 PM</t>
  </si>
  <si>
    <t>tok_dja3tzabshwynha2q7vzraatpu</t>
  </si>
  <si>
    <t>Ocrunchy - اوكرانشي,Single Box - بوكس سينجل,Single Box - بوكس سينجل</t>
  </si>
  <si>
    <t>02:21 PM</t>
  </si>
  <si>
    <t>haya almubarak</t>
  </si>
  <si>
    <t>Mamola | مامولا السويدي</t>
  </si>
  <si>
    <t>tok_ejzy2pibymcyphy7fsif3gvv3q</t>
  </si>
  <si>
    <t>Mamola | مامولا</t>
  </si>
  <si>
    <t>Hayaalmubarak</t>
  </si>
  <si>
    <t>مكعبات الحليب المحموس - مكعبات الحليب المحموس</t>
  </si>
  <si>
    <t>02:30 PM</t>
  </si>
  <si>
    <t>Karim Refaat</t>
  </si>
  <si>
    <t>karim</t>
  </si>
  <si>
    <t>Spicy Big BAIK - بيج بيك حرّاق,Spicy Big BAIK - بيج بيك حرّاق,ALBAIK Spicy Shawerma - شاورما البيك حرّاق,10 Piece Chicken Nuggets Meal - وجبة دجاج مسحب – ١٠ قطع,Coleslaw Salad - سلطة ملفوف,Cocktail Sauce - صلصة الكوكتيل,Fries with Garlic Sauce - بطاطس مع صلصة الثوم</t>
  </si>
  <si>
    <t>02:33 PM</t>
  </si>
  <si>
    <t>sukra | سُكره</t>
  </si>
  <si>
    <t>tok_zp7kyvybzn2ynodnzq7j7bbose</t>
  </si>
  <si>
    <t>shatha</t>
  </si>
  <si>
    <t>عرض اليوم - عرض اليوم</t>
  </si>
  <si>
    <t>al-tazaj الطازج | 6020-Safa</t>
  </si>
  <si>
    <t>tok_jkrowtqbea5ylaevxway5cexr4</t>
  </si>
  <si>
    <t>al-tazaj | الطازج</t>
  </si>
  <si>
    <t>Farouj - فروج,Fries Large - بطاطس كبير,Brown Bread 4 Pcs - خبز اسمر 4 قطع,Spicy Garlic Sauce - صوص ثوم حار,Homous - حمص</t>
  </si>
  <si>
    <t>03:10 PM</t>
  </si>
  <si>
    <t>Chefs Burger RUW  |  | شيفز برجر  الرويس2002</t>
  </si>
  <si>
    <t>tok_w6yvrcybtbiidfsguq3nn3l2iy</t>
  </si>
  <si>
    <t>Chefs Burger | شيفز برجر</t>
  </si>
  <si>
    <t>ثامر</t>
  </si>
  <si>
    <t>Basic Box - بيسك بوكس</t>
  </si>
  <si>
    <t>03:47 PM</t>
  </si>
  <si>
    <t>tok_ixbrf2ib7jtinpz7amyvfhn3oe</t>
  </si>
  <si>
    <t>ahmad</t>
  </si>
  <si>
    <t>Deep signature chicken large - ديب سجنتشر دجاج كبير</t>
  </si>
  <si>
    <t>04:43 PM</t>
  </si>
  <si>
    <t>tok_54o7c6ib7mhihlnjlxb3vyjyga</t>
  </si>
  <si>
    <t>Wrap Super Box - ميجا راب سوبر بوكس,Duo Cajun Box - كيجن دو بوكس,Cheese Sauce - صوص جبنة</t>
  </si>
  <si>
    <t>04:51 PM</t>
  </si>
  <si>
    <t>DORSHA | دورشا شيلف كورنر السويدي</t>
  </si>
  <si>
    <t>tok_xxzjwiabt54yjewaucra7me3z4</t>
  </si>
  <si>
    <t>DORSHA| #عزّنا بكرمنا🇸🇦 | دورشا</t>
  </si>
  <si>
    <t>حصه</t>
  </si>
  <si>
    <t>Dorcha Baklava - بقلاوة دورشا</t>
  </si>
  <si>
    <t>07:54 PM</t>
  </si>
  <si>
    <t>Puffy-yarmouk | بفي - يرموك</t>
  </si>
  <si>
    <t>tok_tprqalqbezlyvd7mdbcw72hrki</t>
  </si>
  <si>
    <t>Puffy | بفي</t>
  </si>
  <si>
    <t>Coffee Of the day + Classic cell - عرض الفخر بوكس قهوة اليوم + خلية كلاسيك</t>
  </si>
  <si>
    <t>pay_qtcmidybwzjylmbpgfff6kgyzy</t>
  </si>
  <si>
    <t>Hibherizzr Shaqra - حبحرايززر شقراء,French Fries - البطاطس المقلية</t>
  </si>
  <si>
    <t>08:24 PM</t>
  </si>
  <si>
    <t>pay_lezfyuqbkhny3dapgqaeta3ev4</t>
  </si>
  <si>
    <t>Spicy Double Crispy BAIK - دبل كرسبي بيك حرّاق,Super Shrimp Sandwich Spicy - ساندوتش جمبري سوبر بيك الحراق,Pepsi - بيبسي</t>
  </si>
  <si>
    <t>10:18 PM</t>
  </si>
  <si>
    <t>TRI-PROTECT PHARMACY | صيدلية تراي بروتكت</t>
  </si>
  <si>
    <t>tok_ste3oqqbtzkyvhwhb4egkmtmry</t>
  </si>
  <si>
    <t>Gyno-Mikozal 400 Mg 3 Vaginal Supp - جاينو - ميكوزال 400 مجم 3 تحاميل مهبلية,Accufast Midstream Home Pregnancy Tester (M30 A) 6957290309037 - اكيوفاست تحليل حمل منزلى</t>
  </si>
  <si>
    <t>10:40 PM</t>
  </si>
  <si>
    <t>Crunch salad - سلطة كرانش,Chicken Shawarma Rice Fatteh - فتة رز شاورما دجاج,Shawarma Fries - بطاطس شاورما,Arabic Shawarma - شاورما عربي</t>
  </si>
  <si>
    <t>10:41 PM</t>
  </si>
  <si>
    <t>California Burger | كاليفورنيا برجر السليمانية</t>
  </si>
  <si>
    <t>tok_nt5qhxab6meilculxeeljc4yzm</t>
  </si>
  <si>
    <t>California Burger  | كاليفورنيا برجر</t>
  </si>
  <si>
    <t>1x1 Burger  - 1x1 برجر,Cajun Bacon Cheese Fries -  كيجن بيكون تشيز فرايز,2x2 Burger  - 2x2 برجر</t>
  </si>
  <si>
    <t>10:46 PM</t>
  </si>
  <si>
    <t>CROWN TIKKA كراون تكا</t>
  </si>
  <si>
    <t>46f9eac5-36da-43ae-a2af-bc0b43289f0d</t>
  </si>
  <si>
    <t>Masala Single - ماسالا سنجل,Soft Drinks - المشروبات الغازية</t>
  </si>
  <si>
    <t>11:34 PM</t>
  </si>
  <si>
    <t>Waraq Altout | ورق التوت للمشويات الطازجة القدس</t>
  </si>
  <si>
    <t>tok_vi44nuqbshsyxes6mcski4yarm</t>
  </si>
  <si>
    <t>Waraq Altout | ورق التوت للمشويات الطازجة</t>
  </si>
  <si>
    <t>Awsal - أوصال,Meat Kabab - كباب لحم</t>
  </si>
  <si>
    <t>12:21 AM</t>
  </si>
  <si>
    <t>tok_kel2pzyb5vdypjxu7kj3y6mb5a</t>
  </si>
  <si>
    <t>Regular Shawarma  - شاورما عادي,Arabi Mahbooob Chicken Saj - عربي محبوب دجاج صاج</t>
  </si>
  <si>
    <t>pay_esya6tabw6wypdnluiybqaaxje</t>
  </si>
  <si>
    <t>ALBAIK 4 Piece Spicy Chicken Meal - وجبة دجاج البيك حرّاق – ٤ قطع,Fries with Garlic Sauce - بطاطس مع صلصة الثوم,Spicy Chicken Fillet Burger - برجر فيليه دجاج حرّاق,Pepsi - بيبسي,Bread Buns - خبز</t>
  </si>
  <si>
    <t>01:11 AM</t>
  </si>
  <si>
    <t>Lorenzo | LZ # 6016 - Shawgiyah</t>
  </si>
  <si>
    <t>d8aa8775-7bef-4630-8c4f-e94063694087</t>
  </si>
  <si>
    <t>Lorenzo Pizza |  لورينزو بيتزا</t>
  </si>
  <si>
    <t xml:space="preserve">Hot Wings(4 Pcs) - أجنحة الدجاج (أربع قطع),Lorenzo Margharita LG - لورينزو مارجريتا </t>
  </si>
  <si>
    <t>01:12 AM</t>
  </si>
  <si>
    <t>نوره القحطاني</t>
  </si>
  <si>
    <t xml:space="preserve">Zinger Combo - Medium - زنجر وجبة - وسط,Twister Combo - Medium - Twister Sandwich  Original - وجبة تويستر - وسط - تويستر ساندويتش - عادي,Spicy Large Fries - بطاطا حارة حجم كبير </t>
  </si>
  <si>
    <t>01:18 AM</t>
  </si>
  <si>
    <t>عيسى البسيسي</t>
  </si>
  <si>
    <t>Farro5 | فروخ الرحيلي</t>
  </si>
  <si>
    <t>pay_7qypdyqb7owydhlasxw3nvjqka</t>
  </si>
  <si>
    <t>Farro5 | فروخ</t>
  </si>
  <si>
    <t>عيسى</t>
  </si>
  <si>
    <t>Half-chicken meal with red rice - نصف دجاجة شواية بالأرز الأحمر أمريكى,spicy  green dagus sauce  - دقس حار اخضر ,large laban sauce  - سلطة لبن كبير, Soft Drinks - مشروبات غازية</t>
  </si>
  <si>
    <t>01:55 AM</t>
  </si>
  <si>
    <t>White Heart | وايت هارت فلسطين</t>
  </si>
  <si>
    <t>White Heart | وايت هارت</t>
  </si>
  <si>
    <t>عباااددي</t>
  </si>
  <si>
    <t>Clasic cookies with ice cream - كوكيز بالايسكريم</t>
  </si>
  <si>
    <t>03:05 AM</t>
  </si>
  <si>
    <t>Halabih - Al Wadi | حلبية</t>
  </si>
  <si>
    <t>tok_dqg5ftqbmypibin252tjv2ebvu</t>
  </si>
  <si>
    <t>Halabia | حلبية</t>
  </si>
  <si>
    <t>بدر الرشبد</t>
  </si>
  <si>
    <t>Arabica Tender Combo - كومبو عربية تندر,Lebanese chicken - لبنانية دجاج</t>
  </si>
  <si>
    <t>05:39 AM</t>
  </si>
  <si>
    <t>Ishbilyah Could | معصوب و عريكة</t>
  </si>
  <si>
    <t>tok_lcogn5ab34bytcniahr34bxjsy</t>
  </si>
  <si>
    <t>Masoub and Areeka | معصوب و عريكة</t>
  </si>
  <si>
    <t>itachi</t>
  </si>
  <si>
    <t>Maasoub Your Mood - معصوب على مزاجك</t>
  </si>
  <si>
    <t>06:41 AM</t>
  </si>
  <si>
    <t>ULB | الب لبن</t>
  </si>
  <si>
    <t>tok_e6mdasyb7qwyrefohdjmjbwyly</t>
  </si>
  <si>
    <t>ULB | الب</t>
  </si>
  <si>
    <t>Dynamite Fries - ديناميت فرايز- حجم جديد,ULB ORIGINAL - اوريجينال الب,Milkshake Peanut Butter. - ميلك شيك بالفول السوداني</t>
  </si>
  <si>
    <t>07:36 AM</t>
  </si>
  <si>
    <t>Wooden Coffee Bin Bandar B48 | وودن كوفي بن بندر</t>
  </si>
  <si>
    <t>tok_l7bmjhybx7hynhmfv6lydzpone</t>
  </si>
  <si>
    <t>Wooden Coffee | وودن كوفي</t>
  </si>
  <si>
    <t>Coffee of the Day Iced  Large - قهوة اليوم الباردة كبير,Feta Danish - دانيش الفيتا,Marble Cake - ماربيل كيك</t>
  </si>
  <si>
    <t>11:03 AM</t>
  </si>
  <si>
    <t>محمد القرني</t>
  </si>
  <si>
    <t>THE HUB | ذا هب الندى</t>
  </si>
  <si>
    <t>tok_itrvs7ibolgivatjd2g5a5w32y</t>
  </si>
  <si>
    <t>The HUB |  ذا هب</t>
  </si>
  <si>
    <t>m7mm2d</t>
  </si>
  <si>
    <t>Sandwiches Gathering - بوكس الساندوتش</t>
  </si>
  <si>
    <t>12:04 PM</t>
  </si>
  <si>
    <t>عواد العنزي</t>
  </si>
  <si>
    <t>Bukhari Hut | كوخ البخاري</t>
  </si>
  <si>
    <t>pay_dti2goab4rqiddccdclqi46vam</t>
  </si>
  <si>
    <t>Awad</t>
  </si>
  <si>
    <t>1/2 Spicy Grilled Chicken - نص دجاج شواية مبهرة,Bukhari - بخاري,Roasted Mixed - مشكل فرن,Molokhia - ملوخية,Tahenia - طحينة</t>
  </si>
  <si>
    <t>12:39 PM</t>
  </si>
  <si>
    <t>tok_u7gf5qibupxytojn7b7nwc5gw4</t>
  </si>
  <si>
    <t>العنود</t>
  </si>
  <si>
    <t>Halloumi  Sandwich - سندوتش حلومي,Croi Burrata sandwich - ساندويش البوراتا,Croi Chocolate Waffle - كروي شوكلات وافل,Pistachio mini cake - ميني كيك الفستق,Coffe of the day - قهوة اليوم,Ice coffee of the day - قهوة اليوم بارد,Berry Mile feuille - ميلفيه التوت</t>
  </si>
  <si>
    <t>03:25 PM</t>
  </si>
  <si>
    <t>Mama Noura - Al Arid | ماما نورة العارض</t>
  </si>
  <si>
    <t>pay_f7flveiblo6ibdeiflatn5a6xq</t>
  </si>
  <si>
    <t>Mama Noura |  ماما نورة</t>
  </si>
  <si>
    <t>Shawerma Chicken - شاورما دجاج,Shawerma Chicken - شاورما دجاج</t>
  </si>
  <si>
    <t>03:37 PM</t>
  </si>
  <si>
    <t>pay_o6f6b2abfkiyxa3z3wlrluepze</t>
  </si>
  <si>
    <t>Biryani Rice - ارز برياني,Jareesh - جريش</t>
  </si>
  <si>
    <t>04:36 PM</t>
  </si>
  <si>
    <t>tok_y5b4ofqbg6hybggcpetekrgvky</t>
  </si>
  <si>
    <t>ALBAIK Shawerma - شاورما البيك,7 Piece Spicy Chicken Nuggets Meal - وجبة دجاج مسحب حرّاق – ٧ قطع,10 Piece Spicy Chicken Nuggets Meal - وجبة دجاج مسحب حرّاق – ١٠ قطع</t>
  </si>
  <si>
    <t>05:02 PM</t>
  </si>
  <si>
    <t>Sky Grilled Burger | سكاي البرجر المشوي</t>
  </si>
  <si>
    <t>pay_k7zox6qb7pjy5m2xc3uod5prye</t>
  </si>
  <si>
    <t>fajer</t>
  </si>
  <si>
    <t>Single Grilled Beef Burger - برجر لحم مشوي سنجل,Single Grilled Beef Burger - برجر لحم مشوي سنجل,Single Grilled Beef Burger - برجر لحم مشوي سنجل</t>
  </si>
  <si>
    <t>05:26 PM</t>
  </si>
  <si>
    <t>Joe &amp; the Juice - Cloud Kitchen Dammam</t>
  </si>
  <si>
    <t>pay_5lrrbjqb4mpivo6g2bb7fgn35a</t>
  </si>
  <si>
    <t>JOE &amp; THE JUICE | جو اند ذا جوس</t>
  </si>
  <si>
    <t>Mashael</t>
  </si>
  <si>
    <t>Halloumi 2.0 - حلومي 2.0</t>
  </si>
  <si>
    <t>06:29 PM</t>
  </si>
  <si>
    <t>b6888dcb-527e-42af-bf10-18c2444a3940</t>
  </si>
  <si>
    <t>meemee</t>
  </si>
  <si>
    <t>Happiness Pack - باقة السعادة</t>
  </si>
  <si>
    <t>06:35 PM</t>
  </si>
  <si>
    <t>Abdullah Aladwany</t>
  </si>
  <si>
    <t>tok_avb3enyb5awiradrckwkfpqt5i</t>
  </si>
  <si>
    <t>Small Pizza Meal - وجبة بيتزا صغيرة,Delight Potato Wedges - بطاطا ودجز</t>
  </si>
  <si>
    <t>06:40 PM</t>
  </si>
  <si>
    <t>YURI | يوري</t>
  </si>
  <si>
    <t>tok_qe35caab63qi7fhzcaqyjacwmu</t>
  </si>
  <si>
    <t>1124</t>
  </si>
  <si>
    <t>Nutella Rolls - لفائف نوتيلا</t>
  </si>
  <si>
    <t>07:13 PM</t>
  </si>
  <si>
    <t>HAZZAT CHAPATI | حزة جباتي الروضة</t>
  </si>
  <si>
    <t>pay_zhgiwxabygrytfaobdotudqf3a</t>
  </si>
  <si>
    <t>HAZZAT CHAPATI | حزة جباتي</t>
  </si>
  <si>
    <t>Karak pot - ترمس كرك - Karak pot - ترمس كرك,Tea pot - ترمس شاهي - Tea pot - ترمس شاهي,Saudi coffee put - ترمس قهوة سعودية - Saudi coffee put - ترمس قهوة سعودية</t>
  </si>
  <si>
    <t>07:15 PM</t>
  </si>
  <si>
    <t>QADO3 | قدوع وحلا كلاود شيلف النسيم ماس</t>
  </si>
  <si>
    <t>pay_uufz5vybivyylgsjfv7z3ijury</t>
  </si>
  <si>
    <t>QADO3 |  قدوع وحلا</t>
  </si>
  <si>
    <t>Mix Box - بوكس مكس</t>
  </si>
  <si>
    <t>07:41 PM</t>
  </si>
  <si>
    <t>tok_ofhtduib7xai7ol67stbuovere</t>
  </si>
  <si>
    <t>Garlic Sauce - صلصة الثوم,Cocktail Sauce - صلصة الكوكتيل,Spicy Double BAIK - دبل بيك حرّاق,BAIKEEZ-Chicken Breasts Spicy - بيكيز صدور الدجاج الحراق,Fish Fillet Burger - برجر فيليه سمك</t>
  </si>
  <si>
    <t>08:05 PM</t>
  </si>
  <si>
    <t>Nashville's | ناشفلز</t>
  </si>
  <si>
    <t>tok_ogjqzqab6cnybgkfp4dvk2dfv4</t>
  </si>
  <si>
    <t>Nahlah</t>
  </si>
  <si>
    <t>Nashville Fries - بطاطس ناشفل,Tenders - تندرز</t>
  </si>
  <si>
    <t>08:35 PM</t>
  </si>
  <si>
    <t>12bee8a2-163e-4184-8755-9e19c76fb83b</t>
  </si>
  <si>
    <t>Cocktail Sauce - صلصة الكوكتيل,Garlic Sauce - صلصة الثوم,Big BAIK - بيج بيك,Spicy Chicken Fillet Burger - برجر فيليه دجاج حرّاق,Coleslaw Salad - سلطة ملفوف,BAIKEEZ-Chicken Breasts Spicy - بيكيز صدور الدجاج الحراق,ALBAIK 4 Piece Spicy Chicken Meal - وجبة دجاج البيك حرّاق – ٤ قطع</t>
  </si>
  <si>
    <t>08:42 PM</t>
  </si>
  <si>
    <t>ALROMANSIAH -Dammam |  الدمام - الشاطئ</t>
  </si>
  <si>
    <t>AlRomansiah | الرومانسية</t>
  </si>
  <si>
    <t>Half Mandi Chicken - نصف دجاج مندي,Tikka Masala Box - بوكس  تكا مسالا,Tahina - طحينة</t>
  </si>
  <si>
    <t>09:04 PM</t>
  </si>
  <si>
    <t>Shawarma Jalila - Almursalat | شاورما جليلة</t>
  </si>
  <si>
    <t>tok_gou3veqb22cypieg4fjtehwghu</t>
  </si>
  <si>
    <t>Shawarma Jalila - 🤩🌯 شاورما جليلة #شاورما_عكاوي</t>
  </si>
  <si>
    <t>aziz</t>
  </si>
  <si>
    <t>National Day 2 Arabi Offer - عرض 2 عربي لليوم الوطني</t>
  </si>
  <si>
    <t>09:10 PM</t>
  </si>
  <si>
    <t>tok_ii5z5pibpymixnkh7gcihxwa6y</t>
  </si>
  <si>
    <t>lulu</t>
  </si>
  <si>
    <t>09:11 PM</t>
  </si>
  <si>
    <t>Happy house Crunchy burger - هابي هاوس برجر دجاج,Mix rice strips - رزمكس ستريبس</t>
  </si>
  <si>
    <t>09:19 PM</t>
  </si>
  <si>
    <t>Skeleton | سكيلتون</t>
  </si>
  <si>
    <t>tok_6cadfxyb3tbyvcwsqtevw3mkbe</t>
  </si>
  <si>
    <t>اياد</t>
  </si>
  <si>
    <t>Caramel Pecan - كراميل بيكان,Dolce Cake - كيكة دولتشي</t>
  </si>
  <si>
    <t>10:00 PM</t>
  </si>
  <si>
    <t>سعود غازي</t>
  </si>
  <si>
    <t>tok_mc4fchybqygy7iyluakobuhn2e</t>
  </si>
  <si>
    <t>سعود بن محمد</t>
  </si>
  <si>
    <t>1 Shawaya with Rice - 1 شواية مع أرز,1/2 shawayah with rice - 1/2 دجاج مع أرز,Molokhia - ملوخية,Pepsi Large - بيبسي كبير,Shata - شطة,Yoghurt 170G - زبادي</t>
  </si>
  <si>
    <t>10:58 PM</t>
  </si>
  <si>
    <t>tok_z5t2mdqbhqiyhboboso2lrrsmi</t>
  </si>
  <si>
    <t>sattam</t>
  </si>
  <si>
    <t>10 Piece Spicy Chicken Nuggets Meal - وجبة دجاج مسحب حرّاق – ١٠ قطع,Mirinda - ميرندا,Coleslaw Salad - سلطة ملفوف,Cocktail Sauce - صلصة الكوكتيل,Garlic Sauce - صلصة الثوم</t>
  </si>
  <si>
    <t>10:59 PM</t>
  </si>
  <si>
    <t>Abdulaziz alshehri</t>
  </si>
  <si>
    <t>Shawarma Genneh Rabwah | شاورما جنيه الربوة</t>
  </si>
  <si>
    <t>tok_dh43k4qbl6litpjiic7jdoqn3q</t>
  </si>
  <si>
    <t>Genneh | جنيه</t>
  </si>
  <si>
    <t>Large Shawarma Plate - صحن شاورما كبير,Shawarma Genneh - شاورما جنيه</t>
  </si>
  <si>
    <t>11:01 PM</t>
  </si>
  <si>
    <t>tok_ykmuxaibg67yrdptzbfhd5zlia</t>
  </si>
  <si>
    <t>رائد</t>
  </si>
  <si>
    <t>Truffle Burger Box - ترفل برجربكس</t>
  </si>
  <si>
    <t>Falafel Dam -| فلافل دام</t>
  </si>
  <si>
    <t>inprocess</t>
  </si>
  <si>
    <t>alanoud</t>
  </si>
  <si>
    <t>Classic Sandwich - ساندوتش كلاسيك,Spicy Sauce - سبايسي صوص</t>
  </si>
  <si>
    <t>Summary</t>
  </si>
  <si>
    <t>Food Amount</t>
  </si>
  <si>
    <t>Delivery</t>
  </si>
  <si>
    <t>ADD DC</t>
  </si>
  <si>
    <t>Round of differ</t>
  </si>
  <si>
    <t>COM</t>
  </si>
  <si>
    <t>Net Payable  Amount</t>
  </si>
  <si>
    <t xml:space="preserve">Total collection </t>
  </si>
  <si>
    <t>Order total</t>
  </si>
  <si>
    <t>T. Order - Collection Dif</t>
  </si>
  <si>
    <t>sg promo code disc</t>
  </si>
  <si>
    <t>T. Remaining</t>
  </si>
  <si>
    <t>Date</t>
  </si>
  <si>
    <t>time</t>
  </si>
  <si>
    <t>Merchant Id</t>
  </si>
  <si>
    <t>Merchant Name</t>
  </si>
  <si>
    <t>Order Number</t>
  </si>
  <si>
    <t>Order Type</t>
  </si>
  <si>
    <t>SG SKU</t>
  </si>
  <si>
    <t>Merchant SKU</t>
  </si>
  <si>
    <t>Product ID</t>
  </si>
  <si>
    <t>Brand</t>
  </si>
  <si>
    <t>Item Title</t>
  </si>
  <si>
    <t>Store Type</t>
  </si>
  <si>
    <t>Category</t>
  </si>
  <si>
    <t>Sub Category</t>
  </si>
  <si>
    <t>GMV</t>
  </si>
  <si>
    <t>Net GMV</t>
  </si>
  <si>
    <t>ASP</t>
  </si>
  <si>
    <t>Units</t>
  </si>
  <si>
    <t>Coupon Name</t>
  </si>
  <si>
    <t>Coupon Value</t>
  </si>
  <si>
    <t>SG Commission</t>
  </si>
  <si>
    <t>Merchant Commission</t>
  </si>
  <si>
    <t>Shipping Ownership</t>
  </si>
  <si>
    <t>Shipping Channel</t>
  </si>
  <si>
    <t>Shipping Cost</t>
  </si>
  <si>
    <t>Payment Type</t>
  </si>
  <si>
    <t>Non-Wallet Amount</t>
  </si>
  <si>
    <t xml:space="preserve">Com % </t>
  </si>
  <si>
    <t>payable</t>
  </si>
  <si>
    <t>Com % Adjust</t>
  </si>
  <si>
    <t>Invoice Due Date</t>
  </si>
  <si>
    <t>Different In Base Amount</t>
  </si>
  <si>
    <t>Unit Price</t>
  </si>
  <si>
    <t>Base Amount</t>
  </si>
  <si>
    <t>PAYABLE BEFORE ADJUSTMENTS</t>
  </si>
  <si>
    <t>Paid Amount</t>
  </si>
  <si>
    <t>Dedutible &amp; Adjustments</t>
  </si>
  <si>
    <t>Net Payble Amount</t>
  </si>
  <si>
    <t>07:45 AM</t>
  </si>
  <si>
    <t>RM</t>
  </si>
  <si>
    <t>SG-SH-03344</t>
  </si>
  <si>
    <t>Normal Order</t>
  </si>
  <si>
    <t>SG2073168D68IFBF9</t>
  </si>
  <si>
    <t>Mancera</t>
  </si>
  <si>
    <t>Mancera Cedrat Boisse Unisex Perfume - 120ml - Eau de Parfum / عطر مانسيرا سيدرات بويسي للجنسين- 120 مل - أو دي بارفيوم</t>
  </si>
  <si>
    <t>Health, Beauty &amp; Wellness</t>
  </si>
  <si>
    <t>Fragrance</t>
  </si>
  <si>
    <t>Eau De Parfum</t>
  </si>
  <si>
    <t>SGSH</t>
  </si>
  <si>
    <t>SG</t>
  </si>
  <si>
    <t>Torod</t>
  </si>
  <si>
    <t>RTO</t>
  </si>
  <si>
    <t>09:59 AM</t>
  </si>
  <si>
    <t>SG-SH-05257</t>
  </si>
  <si>
    <t>SG2073168OKNZF3FB</t>
  </si>
  <si>
    <t>Guerlain</t>
  </si>
  <si>
    <t>Guerlain L'Homme Idyll Extreme Eau de Parfum - 100ml / عطر جيرلان لهوم إيديل إكستريم – أو دو بارفيوم – 100 مل</t>
  </si>
  <si>
    <t>--</t>
  </si>
  <si>
    <t>01:26 PM</t>
  </si>
  <si>
    <t>SG-SH-05290</t>
  </si>
  <si>
    <t>SG2073168OL2XD33E</t>
  </si>
  <si>
    <t>Giorgio Armani</t>
  </si>
  <si>
    <t>Giorgio Armani Emporio Stronger With You Intensely for Men - 100ml - Eau de Parfum / عطر جورجيو أرماني إمبريو سترونجر ويذ يو إنتنسلي للرجال - 100 مل - أو دي بارفيوم</t>
  </si>
  <si>
    <t>07:59 AM</t>
  </si>
  <si>
    <t>SG-SH-05356</t>
  </si>
  <si>
    <t>SG2073168120K07D0</t>
  </si>
  <si>
    <t>Narciso Rodriguez</t>
  </si>
  <si>
    <t>Narciso Rodriguez Cristal Perfume - Eau de Parfum - 90ml / عطر نرسيسو رودريغز كريستال- او دي بارفيوم- 90مل</t>
  </si>
  <si>
    <t>02:22 PM</t>
  </si>
  <si>
    <t>SG-SH-05422</t>
  </si>
  <si>
    <t>SG207316811Z0ABA7</t>
  </si>
  <si>
    <t>Narciso Poudre perfume for women - 90 ml - Eau de Parfum / عطر نرسيسو بودر للنساء - 90 مل - أو دي بارفيوم</t>
  </si>
  <si>
    <t>03:41 PM</t>
  </si>
  <si>
    <t>SG-SH-05455</t>
  </si>
  <si>
    <t>SG2073168OL142185</t>
  </si>
  <si>
    <t>Versace</t>
  </si>
  <si>
    <t>Versace Eros for Men - 100ml - Eau de Parfum / عطر فرزاتشي إيروس للرجال - 100 مل - أو دي بارفيوم</t>
  </si>
  <si>
    <t>06:57 PM</t>
  </si>
  <si>
    <t>SG-SH-05488</t>
  </si>
  <si>
    <t>SG2073168OKUS4479</t>
  </si>
  <si>
    <t>Creed</t>
  </si>
  <si>
    <t>Creed Aventus Men's Perfume 100ml - Eau de Parfum / عطر كريد افنتس للرجال 100 مل - أو دي بارفيوم</t>
  </si>
  <si>
    <t>SG2073168OKYJ12AE</t>
  </si>
  <si>
    <t>Dior</t>
  </si>
  <si>
    <t>Dior Homme Intense 100ml - Men's - Eau de Parfum / عطر ديور هوم انتنس 100 مل - للرجال - أو دي بارفيوم</t>
  </si>
  <si>
    <t>SG2073175OKQZ3993</t>
  </si>
  <si>
    <t>Yves Saint Laurent</t>
  </si>
  <si>
    <t>Yves Saint Laurent My Self - Le Parfum - 100ml / عطر ايف سان لوران ماي سلف- لي بارفيوم -100 مل</t>
  </si>
  <si>
    <t>Parfum</t>
  </si>
  <si>
    <t>SG2073168OL0QD4CD</t>
  </si>
  <si>
    <t>Yves Saint Laurent My Self Eau de Parfum 100ml / عطر ايف سان لوران ماي سيلف او دو بارفيوم 100مل</t>
  </si>
  <si>
    <t>SG2073168OKX05BE8</t>
  </si>
  <si>
    <t>Chanel</t>
  </si>
  <si>
    <t>Chanel Bleu de Chanel Gold for Men - 100ml - Eau de Parfum / عطر شانيل بلو دو شانيل جولد للرجال - 100 مل - بارفيوم</t>
  </si>
  <si>
    <t>SG2073169OKW6A9A4</t>
  </si>
  <si>
    <t>Chanel Bleu de Chanel for Men - 100ml - Eau de Toilette / عطر شانيل بلو دو شانيل للرجال - 100 مل - أو دي تواليت</t>
  </si>
  <si>
    <t>Eau De Toilette</t>
  </si>
  <si>
    <t>03:46 PM</t>
  </si>
  <si>
    <t>SG-SH-05521</t>
  </si>
  <si>
    <t>SG2073169D668A9D0</t>
  </si>
  <si>
    <t>Benetton</t>
  </si>
  <si>
    <t>Benton Hot Unisex Perfume 100 ml - Eau de Toilette / عطر بنتون هوت لللجنسين 100 مل - أو دي تواليت</t>
  </si>
  <si>
    <t>SG2073169OL3C9733</t>
  </si>
  <si>
    <t>Benton Cold Silver Men's Perfume 100ml - Eau de Toilette / عطر بنتون كولد سلفر للرجال 100 مل - أو دي تواليت</t>
  </si>
  <si>
    <t>SG2073169OL157704</t>
  </si>
  <si>
    <t>Jaguar</t>
  </si>
  <si>
    <t>Jaguar Classic Black perfume for men - 100 ml - Eau de Toilette / عطر جاكوار كلاسيك بلاك للرجال - 100 مل - أو دي تواليت</t>
  </si>
  <si>
    <t>SG2073169OL1J1988</t>
  </si>
  <si>
    <t>Brut</t>
  </si>
  <si>
    <t>Brut Men's Perfume - 100ml Eau de Toilette / عطر بروت للرجال - 100مل أو دي تواليت</t>
  </si>
  <si>
    <t>06:59 PM</t>
  </si>
  <si>
    <t>SG-SH-05554</t>
  </si>
  <si>
    <t>SG2073168D6DD4102</t>
  </si>
  <si>
    <t>Chopard</t>
  </si>
  <si>
    <t>Chopard Cedar Malaki Perfume – Eau de Parfum – 80ml / عطر شوبارد سيدار ملكي – أو دو بارفيوم – 80 مل</t>
  </si>
  <si>
    <t>11:23 PM</t>
  </si>
  <si>
    <t>SG-SH-05587</t>
  </si>
  <si>
    <t>SG2073169D67EA332</t>
  </si>
  <si>
    <t>Calvin Klein</t>
  </si>
  <si>
    <t>Calvin Klein CK One Unisex Perfume - 100ml - Eau de Toilette / عطر كالفن كلاين سي كي ون للجنسين - 100 مل - أو دي تواليت</t>
  </si>
  <si>
    <t>12:35 PM</t>
  </si>
  <si>
    <t>SG-SH-05653</t>
  </si>
  <si>
    <t>SG207316811V56E55</t>
  </si>
  <si>
    <t>Carolina Herrera</t>
  </si>
  <si>
    <t>Carolina Herrera Good Girl Perfume for Women 80ml - Eau de Parfum / عطر كارولينا هيريرا جود جيرل للنساء 80 مل - أو دي بارفيوم</t>
  </si>
  <si>
    <t>07:20 PM</t>
  </si>
  <si>
    <t>SG-SH-05686</t>
  </si>
  <si>
    <t>SG207316911JL17B5</t>
  </si>
  <si>
    <t>Calvin Klein Forbidden Euphoria Perfume for Women - 50ml - Eau de Toilette / عطر كالفن كلاين فوربيدن ايوفوريا للنساء - 50 مل - أو دي تواليت</t>
  </si>
  <si>
    <t>06:45 AM</t>
  </si>
  <si>
    <t>SG-SH-05752</t>
  </si>
  <si>
    <t>SG2073169OL1A462B</t>
  </si>
  <si>
    <t>Davidoff</t>
  </si>
  <si>
    <t>Davidoff Cool Water perfume for men 75 ml - Eau de Toilette / عطر دافيدوف كول وتر للرجال 75 مل - او دي تواليت</t>
  </si>
  <si>
    <t>SG2073169OL22E670</t>
  </si>
  <si>
    <t>Calvin Klein Internet perfume for men - 100 ml - Eau de Toilette / عطر كالفن كلاين انترنتي للرجال - 100 مل - أو دي تواليت</t>
  </si>
  <si>
    <t>09:08 AM</t>
  </si>
  <si>
    <t>SG-SH-05785</t>
  </si>
  <si>
    <t>SG207316811XYBCD1</t>
  </si>
  <si>
    <t>Guerlain L'Instant Magic Perfume for Women - 75ml - Eau de Parfum / عطر جيرلان لينستانت ماجيك للنساء - 75 مل - أو دي بارفيوم</t>
  </si>
  <si>
    <t>07:49 PM</t>
  </si>
  <si>
    <t>SG-SH-05950</t>
  </si>
  <si>
    <t>SG2073168OKO92EBE</t>
  </si>
  <si>
    <t>Chopard Oud Malaki for Men - 80ml - Eau de Parfum / عطر شوبارد عود ملكي للرجال - 80 مل - أو دي بارفيوم</t>
  </si>
  <si>
    <t>06:20 AM</t>
  </si>
  <si>
    <t>SG-SH-06115</t>
  </si>
  <si>
    <t>SG2073169OKZRBD7A</t>
  </si>
  <si>
    <t>Armaf</t>
  </si>
  <si>
    <t>Armaf Club de Nuit Intense Man perfume - Eau de Toilette - 105 ml / عطر ارماف كلوب دي نوي انتنس مان -او دي تواليت- 105مل</t>
  </si>
  <si>
    <t>07:14 AM</t>
  </si>
  <si>
    <t>SG-SH-06118</t>
  </si>
  <si>
    <t>SG2073169OL2H5124</t>
  </si>
  <si>
    <t>Hugo Boss</t>
  </si>
  <si>
    <t>Hugo Boss The Scent for Men - 100ml - Eau de Toilette / عطر هوجو بوس ذا سنت للرجال - 100 مل - أو دي تواليت</t>
  </si>
  <si>
    <t>04:55 PM</t>
  </si>
  <si>
    <t>SG-SH-06247</t>
  </si>
  <si>
    <t>SG2073169OL3306E5</t>
  </si>
  <si>
    <t>Davidoff Cool Water perfume for men - Eau de Toilette - 125 ml / عطر دافيدوف كول وتر رجالي- او دي تواليت-125مل</t>
  </si>
  <si>
    <t>SG2073169OL1NDCF6</t>
  </si>
  <si>
    <t>Hermes</t>
  </si>
  <si>
    <t>Hermes Terre d'Hermes perfume for men - 100 ml Eau de Toilette / عطر هيرمس تيري دي هيرمس للرجال - 100 مل او دي تواليت</t>
  </si>
  <si>
    <t>01:16 PM</t>
  </si>
  <si>
    <t>SG-SH-06874</t>
  </si>
  <si>
    <t>08:23 PM</t>
  </si>
  <si>
    <t>SG-SH-07105</t>
  </si>
  <si>
    <t>SG2073169OL1W8886</t>
  </si>
  <si>
    <t>Versace Versus Blue Jeans for Men - Eau de Toilette - 75ml / عطر فيرزاتشي فيرسوس بلو جينز للرجال- أو دي تواليت- 75مل</t>
  </si>
  <si>
    <t>SG2073169OKPNB9C3</t>
  </si>
  <si>
    <t>Versace L'Homme – Eau de Toilette – 100ml / فرزاتشي لي هوم – أو دو تواليت – 100مل</t>
  </si>
  <si>
    <t>10:23 PM</t>
  </si>
  <si>
    <t>SG-SH-07173</t>
  </si>
  <si>
    <t>SG2073168OKUNDCBF</t>
  </si>
  <si>
    <t>Ralph Lauren</t>
  </si>
  <si>
    <t>Polo Lauren Ultra Blue for Men - 125ml - Eau de Parfum / عطر بولو لورين ألترا بلوللرجال - 125 مل - أو دي بارفيوم</t>
  </si>
  <si>
    <t>09:45 AM</t>
  </si>
  <si>
    <t>SG-SH-07435</t>
  </si>
  <si>
    <t>Return</t>
  </si>
  <si>
    <t>SG-SH-07568</t>
  </si>
  <si>
    <t>SG2073169OKP8B111</t>
  </si>
  <si>
    <t>Valentino</t>
  </si>
  <si>
    <t>Valentino Uomo Toilette for Men 100ml - Eau de Toilette / عطر فالنتينو أومو تواليت للرجال 100 مل - أو دي تواليت</t>
  </si>
  <si>
    <t>SG2073169YKD84C69</t>
  </si>
  <si>
    <t>Laura Mars</t>
  </si>
  <si>
    <t>Splendid Black perfume for men - 100 ml - Eau de Toilette / عطر سبلندد بلاك للرجال - 100 مل - أو دي تواليت</t>
  </si>
  <si>
    <t>SG2073168OL39AF21</t>
  </si>
  <si>
    <t>Gucci</t>
  </si>
  <si>
    <t>Gucci Gulti Absolute for Men - 90ml - Eau de Parfum / عطر قوتشي جولتي ابسولوت للرجال - 90 مل - أو دي بارفيوم</t>
  </si>
  <si>
    <t>SG2073169YKA18F24</t>
  </si>
  <si>
    <t>Karl Lagerafeld</t>
  </si>
  <si>
    <t>Karl Lagerfeld Men's Perfume - 50ml - Eau de Toilette / عطر كارل لاجرفيلد للرجال - 50 مل - أو دي تواليت</t>
  </si>
  <si>
    <t>SG2073169OKV633E7</t>
  </si>
  <si>
    <t>Roberto Cavalli</t>
  </si>
  <si>
    <t>Roberto Cavalli Uomo for Men - 60ml - Eau de Toilette / عطر ربورتو كفالي أومو للرجال - 60 مل - أو دي تواليت</t>
  </si>
  <si>
    <t>SG2073168YK4L31FD</t>
  </si>
  <si>
    <t>Guerlain Idylle Homme Perfume – Eau de Parfum – 100ml / عطر جيرلان إيديل هوم – أو دو بارفيوم – 100 مل</t>
  </si>
  <si>
    <t>SG2073169OKYRCE2D</t>
  </si>
  <si>
    <t>Lalique</t>
  </si>
  <si>
    <t>Lalique Encre Noir for Men - 100ml - Eau de Toilette / عطر لاليك انكر نوير للرجا�� - 100 مل - أو دي تواليت</t>
  </si>
  <si>
    <t>03:13 PM</t>
  </si>
  <si>
    <t>SG-SH-07798</t>
  </si>
  <si>
    <t>SG2073169OKZVEBA3</t>
  </si>
  <si>
    <t>Givenchy</t>
  </si>
  <si>
    <t>Givenchy Pi for Men - 100ml - Eau de Toilette / عطر جيفنشي باي للرجال -100 مل - أو دي تواليت</t>
  </si>
  <si>
    <t>08:39 AM</t>
  </si>
  <si>
    <t>SG-SH-08029</t>
  </si>
  <si>
    <t>SG207316811V0636E</t>
  </si>
  <si>
    <t>Dolce &amp; Gabbana</t>
  </si>
  <si>
    <t>Dolce &amp; Gabbana Power Femme Perfume for Women - 100ml - Eau de Parfum / عطر دولسي جابانا باور فيمي للنساء - 100 مل - أو دي بارفيوم</t>
  </si>
  <si>
    <t>SG2073168YKFF21DC</t>
  </si>
  <si>
    <t>Narciso Rodriguez Musc Noir Rose - Eau de Parfum - 100ml / عطر نارسيسو رودريغز مسك نوار روز - أو دي بارفيوم - 100 مل</t>
  </si>
  <si>
    <t>09:10 AM</t>
  </si>
  <si>
    <t>SG-SH-08062</t>
  </si>
  <si>
    <t>SG2073168OKQ448E9</t>
  </si>
  <si>
    <t>Bentley</t>
  </si>
  <si>
    <t>Bentley Silverlake Men's Perfume - Eau de Parfum - 100ml / عطر بنتلي سيلفرليك الرجالي – أو دو بارفيوم – 100مل</t>
  </si>
  <si>
    <t>07:02 PM</t>
  </si>
  <si>
    <t>SG-SH-08194</t>
  </si>
  <si>
    <t>SG2073168YKJ0101F</t>
  </si>
  <si>
    <t>Roberto Cavalli Paradiso Perfume for Women - 75ml - Eau de Parfum / عطر روبرتو كفالي باراديسو للنساء - 75 مل - أو دي بارفيوم</t>
  </si>
  <si>
    <t>SG207316811KD4925</t>
  </si>
  <si>
    <t>Roberto Cavalli Nero Assoluto Women's Perfume - 75ml - Eau de Parfum / عطر روبورتو كفالي نيرو أسولوتو للنساء - 75 مل - أو دي بارفيوم</t>
  </si>
  <si>
    <t>SG207316811Z1AF56</t>
  </si>
  <si>
    <t>Roberto Cavalli Paradiso Azzurro Perfume for Women - 75ml - Eau de Parfum / عطر روبرتو كفالي باراديسو أزورو للنساء - 75 مل -أو دي بارفيوم</t>
  </si>
  <si>
    <t>11:15 AM</t>
  </si>
  <si>
    <t>SG-SH-08260</t>
  </si>
  <si>
    <t>SG2073169YJUP487D</t>
  </si>
  <si>
    <t>Benton Hot Gold Perfume for Women - 100ml - Eau de Toilette / عطر بنتون هوت جولد للنساء - 100 مل - أو دي تواليت</t>
  </si>
  <si>
    <t>SG-SH-08293</t>
  </si>
  <si>
    <t>SG2073169OKYO882A</t>
  </si>
  <si>
    <t>Gemina B.</t>
  </si>
  <si>
    <t>Idôle La Nuit for Men - 90ml Eau de Toilette / عطر ايدول لانويت للرجال - 90 مل أو دي تواليت</t>
  </si>
  <si>
    <t>08:38 PM</t>
  </si>
  <si>
    <t>SG-SH-08392</t>
  </si>
  <si>
    <t>SG2073168OL2K9CB7</t>
  </si>
  <si>
    <t>Dolce &amp; Gabbana The One for Men - 100ml - Eau de Parfum / عطر دولتشي آند غابانا ذا ون للرجال - 100 مل - أو دي بارفيوم</t>
  </si>
  <si>
    <t>01:07 AM</t>
  </si>
  <si>
    <t>SG-SH-08458</t>
  </si>
  <si>
    <t>SG2073168YKBNAB6F</t>
  </si>
  <si>
    <t>La Perla</t>
  </si>
  <si>
    <t>In Rosa Perfume for Women - 50ml - Eau de Parfum / عطر إن روزا للنساء - 50 مل - أو دي بارفيوم</t>
  </si>
  <si>
    <t>SG2073168YK1T1D6F</t>
  </si>
  <si>
    <t>Escada</t>
  </si>
  <si>
    <t>Magnesium Perfume for Women Eau de Parfum 50ml / عطر مغنيسيوم للنساء أو دي بيرفيوم 50 مل</t>
  </si>
  <si>
    <t>03:03 AM</t>
  </si>
  <si>
    <t>SG-SH-08491</t>
  </si>
  <si>
    <t>SG2073168YKDB44E1</t>
  </si>
  <si>
    <t>Splendid Pour Homme for Men - 100ml Eau de Parfum / عطر سبلندد بور هوم للرجال- 100 مل أو دي بارفيوم</t>
  </si>
  <si>
    <t>SG2073169YKD3E55F</t>
  </si>
  <si>
    <t>Splendid White perfume for men, 100 ml, Eau de Toilette / عطر سبلانديد وايت اللرجال 100 مل أو دي تواليت</t>
  </si>
  <si>
    <t>SG2073168YK8G468F</t>
  </si>
  <si>
    <t>Johan B</t>
  </si>
  <si>
    <t>Gibrilly's B Seductive Cherry by Johan B for Women - 100ml - Eau de Parfum / عطر جيبرليز بي سيديوسد تشيري من جوهان بي للنساء - 100 مل - أو دي بارفيوم</t>
  </si>
  <si>
    <t>SG2073168YK7HB75B</t>
  </si>
  <si>
    <t>Jennifer Lopez</t>
  </si>
  <si>
    <t>Jennifer Lopez Luxe Perfume for Women - 100ml - Eau de Parfum / عطر جينفير لوبيز لوكس للنساء - 100 مل - أو دي بارفيوم</t>
  </si>
  <si>
    <t>SG2073169YK5H5307</t>
  </si>
  <si>
    <t>Boss Number One perfume - Eau de Toilette - 100 ml / عطر بوس نمبر ون - او دي تواليت-100 مل</t>
  </si>
  <si>
    <t>SG2073169YK56F9C5</t>
  </si>
  <si>
    <t>Guess</t>
  </si>
  <si>
    <t>Guess Girl Eau de Toilette 100 ml / عطر جيس جيرل  او دي توليت 100 مل</t>
  </si>
  <si>
    <t>SG2073168YK2MAEDA</t>
  </si>
  <si>
    <t>Geparlys</t>
  </si>
  <si>
    <t>Joyful Perfume for Women - 85ml - Eau de Parfum / عطر جويفل للنساء - 85 مل - أو دي بارفيوم</t>
  </si>
  <si>
    <t>SG2073169YJW58396</t>
  </si>
  <si>
    <t>Calvin Klein Obsession Eau de Toilette - 125ml / عطر كالفن كلاين أوبسيشن – أو دو تواليت – 125 مل</t>
  </si>
  <si>
    <t>10:09 PM</t>
  </si>
  <si>
    <t>SG-SH-08624</t>
  </si>
  <si>
    <t>SG207316811W75046</t>
  </si>
  <si>
    <t>Givenchy L'Interdit Rouge Eau de Parfum for Women - 80ml / عطر جيفنشي لانترديت روج للنساء - أو دي بارفيوم - 80 مل</t>
  </si>
  <si>
    <t>SG2073173YKFKBD23</t>
  </si>
  <si>
    <t>Narciso Rodriguez Narciso Hair Mist - 30ml / معطر شعر نارسيسو رودريغيز نارسيسو – 30 مل</t>
  </si>
  <si>
    <t>Hair Mists</t>
  </si>
  <si>
    <t>SG207316811RQA83A</t>
  </si>
  <si>
    <t>Givenchy L'Interdit Perfume for Women - 80ml - Eau de Parfum / عطر جيفنشي لينتر ديت للنساء - 80 مل - أو دي بارفيوم</t>
  </si>
  <si>
    <t>07:39 AM</t>
  </si>
  <si>
    <t>SG-SH-08854</t>
  </si>
  <si>
    <t>SG2073168OKZX85E3</t>
  </si>
  <si>
    <t>Mont Blanc</t>
  </si>
  <si>
    <t>Montblanc Explorer for Men - 100ml - Eau de Parfum / عطر مون بلانك اكسبلورر للرجال - 100 مل - أو دي بارفيوم</t>
  </si>
  <si>
    <t>SG2073175OL2B41CF</t>
  </si>
  <si>
    <t>Montblanc Explorer Extreme Perfume - 100ml / عطر مونت بلانك إكسبلورر إكستريم – برفيوم – 100 مل</t>
  </si>
  <si>
    <t>SG-SH-08986</t>
  </si>
  <si>
    <t>SG-SH-10144</t>
  </si>
  <si>
    <t>09:43 AM</t>
  </si>
  <si>
    <t>SG-SH-10702</t>
  </si>
  <si>
    <t>SG2073169OKS3AD66</t>
  </si>
  <si>
    <t>Armani Eau de Cedar for Men - 100ml - Eau de Toilette / عطر أرماني أو دي سيدار للرجال - 100 مل - أو دي تواليت</t>
  </si>
  <si>
    <t>Sales</t>
  </si>
  <si>
    <t>Commission</t>
  </si>
  <si>
    <t>Total Payable</t>
  </si>
  <si>
    <t>Adjustment From Old settlement</t>
  </si>
  <si>
    <t>Adjustment on Return</t>
  </si>
  <si>
    <t>Net Amount Payable</t>
  </si>
  <si>
    <t>Total sale</t>
  </si>
  <si>
    <t>Com 15%</t>
  </si>
  <si>
    <t>Com 10%</t>
  </si>
  <si>
    <t>date</t>
  </si>
  <si>
    <t xml:space="preserve">Commision Rate </t>
  </si>
  <si>
    <t>Net Payable</t>
  </si>
  <si>
    <t>MATCH SKU's</t>
  </si>
  <si>
    <t>تاريخ</t>
  </si>
  <si>
    <t>المعرف</t>
  </si>
  <si>
    <t>رمز المنتج</t>
  </si>
  <si>
    <t>رمز البائع</t>
  </si>
  <si>
    <t>رمز النمط</t>
  </si>
  <si>
    <t>barcode</t>
  </si>
  <si>
    <t>العلامة التجارية</t>
  </si>
  <si>
    <t>عنوان المنتج</t>
  </si>
  <si>
    <t>الفئة العليا</t>
  </si>
  <si>
    <t>الفئة</t>
  </si>
  <si>
    <t>الفئة الفرعية</t>
  </si>
  <si>
    <t>مباشر</t>
  </si>
  <si>
    <t>سعر العرض</t>
  </si>
  <si>
    <t>msrp</t>
  </si>
  <si>
    <t>سبب عدم البث المباشر</t>
  </si>
  <si>
    <t>عدد الصور</t>
  </si>
  <si>
    <t>15% Commission (Current Standard)</t>
  </si>
  <si>
    <t>10% Commission (To be charged till 8th Aug)</t>
  </si>
  <si>
    <t>Difference</t>
  </si>
  <si>
    <t>04:26 PM</t>
  </si>
  <si>
    <t>Giorgio Armani Emporio Stronger With You Intensely for Men - 100ml - Eau de Parfum / عطر جورجيو أرما...</t>
  </si>
  <si>
    <t>10:59 AM</t>
  </si>
  <si>
    <t>Narciso Rodriguez Cristal Perfume - Eau de Parfum - 90ml / عطر نرسيسو رودريغز كريستال- او دي بارفيوم...</t>
  </si>
  <si>
    <t>09:59 PM</t>
  </si>
  <si>
    <t>12:08 PM</t>
  </si>
  <si>
    <t>Guerlain L'Instant Magic Perfume for Women - 75ml - Eau de Parfum / عطر جيرلان لينستانت ماجيك للنساء...</t>
  </si>
  <si>
    <t>10:49 PM</t>
  </si>
  <si>
    <t>Chopard Oud Malaki for Men - 80ml - Eau de Parfum / عطر شوبارد عود ملكي للرجال - 80 مل - أو دي بارفي...</t>
  </si>
  <si>
    <t>10:14 AM</t>
  </si>
  <si>
    <t>Hugo Boss The Scent for Men - 100ml - Eau de Toilette / عطر هوجو بوس ذا سنت للرجال - 100 مل - أو دي ...</t>
  </si>
  <si>
    <t>Ready to Pickup</t>
  </si>
  <si>
    <t>04:16 PM</t>
  </si>
  <si>
    <t>06:46 PM</t>
  </si>
  <si>
    <t>Valentino Uomo Toilette for Men 100ml - Eau de Toilette / عطر فالنتينو أومو تواليت للرجال 100 مل - أ...</t>
  </si>
  <si>
    <t>Gucci Gulti Absolute for Men - 90ml - Eau de Parfum / عطر قوتشي جولتي ابسولوت للرجال - 90 مل - أو دي...</t>
  </si>
  <si>
    <t>06:13 PM</t>
  </si>
  <si>
    <t>05:22 PM</t>
  </si>
  <si>
    <t>Narciso Poudre perfume for women - 90 ml - Eau de Parfum / عطر نرسيسو بودر للنساء - 90 مل - أو دي با...</t>
  </si>
  <si>
    <t>12 May, 2026</t>
  </si>
  <si>
    <t>12:49:59 PM</t>
  </si>
  <si>
    <t>SG2073169OKSU1F9B</t>
  </si>
  <si>
    <t>Baldessarini</t>
  </si>
  <si>
    <t>عطر بالديساريني سيكريت ميشين للرجال - 90 مل - أو دي تواليت</t>
  </si>
  <si>
    <t>الجمال والصحة</t>
  </si>
  <si>
    <t>العطور</t>
  </si>
  <si>
    <t>Yes</t>
  </si>
  <si>
    <t>372.00</t>
  </si>
  <si>
    <t>16 May, 2026</t>
  </si>
  <si>
    <t>11:42:22 AM</t>
  </si>
  <si>
    <t>SG207316811JDFDEF</t>
  </si>
  <si>
    <t>Montale</t>
  </si>
  <si>
    <t>عطر مونتال الفوشي روز مسك انتنس – أو دو بارفيوم – 100 مل</t>
  </si>
  <si>
    <t>680.00</t>
  </si>
  <si>
    <t>SG207316811PR95B5</t>
  </si>
  <si>
    <t>Paco Rabanne</t>
  </si>
  <si>
    <t>عطر باكو رابان مليون قولد فور هير -او دو بارفيوم -90مل</t>
  </si>
  <si>
    <t>735.00</t>
  </si>
  <si>
    <t>SG207316811PL930A</t>
  </si>
  <si>
    <t>عطر أرماني سي باشن إنتنس – أو دو بارفيوم – 100 مل</t>
  </si>
  <si>
    <t>678.00</t>
  </si>
  <si>
    <t>SG2073168OL0203D5</t>
  </si>
  <si>
    <t>عطر هوغو بوس بوتلد إنفينيت – أو دو بارفيوم – 100 مل</t>
  </si>
  <si>
    <t>409.00</t>
  </si>
  <si>
    <t>SG2073169OKTLB8E2</t>
  </si>
  <si>
    <t>عطر كارولينا هيريرا باد بوي للرجال - 100 مل - أو دو تواليت</t>
  </si>
  <si>
    <t>450.00</t>
  </si>
  <si>
    <t>SG2073168OKWCBD16</t>
  </si>
  <si>
    <t>عطر باكو رابان  مليون قولد – أو دو بارفيوم إنتنس – 100 مل</t>
  </si>
  <si>
    <t>610.00</t>
  </si>
  <si>
    <t>عطر ايف سان لوران ماي سيلف او دو بارفيوم 100مل</t>
  </si>
  <si>
    <t>598.00</t>
  </si>
  <si>
    <t>SG207316811DRE1CF</t>
  </si>
  <si>
    <t>عطر دولتشي أند غابانا فيلفت روز للنساء - 50 مل - أو دي بارفيوم</t>
  </si>
  <si>
    <t>999.00</t>
  </si>
  <si>
    <t>SG2073175OKXA7232</t>
  </si>
  <si>
    <t>عطر غوتشي غيلتي- إكسير دو بارفيوم – 60مل</t>
  </si>
  <si>
    <t>647.00</t>
  </si>
  <si>
    <t>SG207316811PV7551</t>
  </si>
  <si>
    <t>كارولينا هيريرا قود غيرل بلَش – أو دو بارفيوم – 80 مل</t>
  </si>
  <si>
    <t>629.00</t>
  </si>
  <si>
    <t>SG2073169OKZ1EFC3</t>
  </si>
  <si>
    <t>Issey Miyake</t>
  </si>
  <si>
    <t>عطر إيسي مياكي ليو ديسي الرجالي – أو دو تواليت – 125 مل</t>
  </si>
  <si>
    <t>363.00</t>
  </si>
  <si>
    <t>12:49:58 PM</t>
  </si>
  <si>
    <t>عطر فالنتينو أومو تواليت للرجال 100 مل - أو دي تواليت</t>
  </si>
  <si>
    <t>11:42:23 AM</t>
  </si>
  <si>
    <t>SG207316811V83231</t>
  </si>
  <si>
    <t>Viktor</t>
  </si>
  <si>
    <t>عطر فيكتور أند رولف فلاور بومب للنساء - 100 مل - أو دي بارفيوم</t>
  </si>
  <si>
    <t>630.00</t>
  </si>
  <si>
    <t>SG207316811QH5D88</t>
  </si>
  <si>
    <t>عطر جيفنشي هوت كوتور للنساء - 100 مل - أو دي بارفيوم</t>
  </si>
  <si>
    <t>420.00</t>
  </si>
  <si>
    <t>SG2073168OKP12E9B</t>
  </si>
  <si>
    <t>Jean Paul Gaultier</t>
  </si>
  <si>
    <t>عطر جان بول غولتير لو مال لي بارفيوم – أو دو بارفيوم إنتنس – 125 مل</t>
  </si>
  <si>
    <t>635.00</t>
  </si>
  <si>
    <t>10 Jun, 2026</t>
  </si>
  <si>
    <t>01:15:33 PM</t>
  </si>
  <si>
    <t>عطر شوبارد سيدار ملكي – أو دو بارفيوم – 80 مل</t>
  </si>
  <si>
    <t>316.00</t>
  </si>
  <si>
    <t>عطر جيفنشي لانترديت روج للنساء - أو دي بارفيوم - 80 مل</t>
  </si>
  <si>
    <t>538.00</t>
  </si>
  <si>
    <t>SG207316811OP0079</t>
  </si>
  <si>
    <t>عطر جيرلان مون -او دي بارفيوم- 100مل</t>
  </si>
  <si>
    <t>SG2073169OKP6D140</t>
  </si>
  <si>
    <t>عطر رالف لورين بولو EST 67 – أو دو تواليت – 125 مل</t>
  </si>
  <si>
    <t>364.00</t>
  </si>
  <si>
    <t>SG2073168OKWICD3E</t>
  </si>
  <si>
    <t>Elie Saab</t>
  </si>
  <si>
    <t>عطر إيلي صعب كيور أبسوليو للجنسين - 100 مل -أو دي بارفيوم</t>
  </si>
  <si>
    <t>910.00</t>
  </si>
  <si>
    <t>SG207316911NT7814</t>
  </si>
  <si>
    <t>عطر فيرزاتشي ايروس للنساء - 100 مل - أو دي تواليت</t>
  </si>
  <si>
    <t>390.00</t>
  </si>
  <si>
    <t>SG2073168OKPJ5608</t>
  </si>
  <si>
    <t>عطر جيفنشي جنتلمان ريسيرف برايف- او دي بارفيوم- 100مل</t>
  </si>
  <si>
    <t>459.00</t>
  </si>
  <si>
    <t>SG207316911YD5002</t>
  </si>
  <si>
    <t>عطر كريستال نوار من فرزاتشي للنساء - او دو تواليت -90مل</t>
  </si>
  <si>
    <t>490.00</t>
  </si>
  <si>
    <t>SG2073175OKWRF790</t>
  </si>
  <si>
    <t>Lacoste</t>
  </si>
  <si>
    <t>عطر لاكوست أورجينال – بارفيوم – 100 مل</t>
  </si>
  <si>
    <t>340.00</t>
  </si>
  <si>
    <t>SG207316811Y677D1</t>
  </si>
  <si>
    <t>عطر قوتشي فلورا جيرجيوس ماغنوليا -او دي بارفيوم- 100 مل</t>
  </si>
  <si>
    <t>502.00</t>
  </si>
  <si>
    <t>SG2073168120NC89B</t>
  </si>
  <si>
    <t>نرسيسو رودريغز فور هير إنتنس – أو دو بارفيوم – 100مل</t>
  </si>
  <si>
    <t>430.00</t>
  </si>
  <si>
    <t>SG207316811G72C8A</t>
  </si>
  <si>
    <t>Chloe</t>
  </si>
  <si>
    <t>عطر كلوي للنساء -او دي بارفيوم-75 مل</t>
  </si>
  <si>
    <t>649.00</t>
  </si>
  <si>
    <t>SG2073168OKWUBECA</t>
  </si>
  <si>
    <t>عطر باكو رابان إنفكتوس فيكتوري إكستريم – أو دو بارفيوم – 100 مل</t>
  </si>
  <si>
    <t>SG207317511X8896A</t>
  </si>
  <si>
    <t>عطر هيوغو بوس ذا سنت إلكسير بارفيوم إنتنس للنساء – 50 مل</t>
  </si>
  <si>
    <t>590.00</t>
  </si>
  <si>
    <t>SG2073168D69974FF</t>
  </si>
  <si>
    <t>MRG01AB</t>
  </si>
  <si>
    <t>عطر مانسيرا روز جريدي للجنسين - 120 مل - أو دي بارفيوم</t>
  </si>
  <si>
    <t>350.00</t>
  </si>
  <si>
    <t>SG207316811U271D6</t>
  </si>
  <si>
    <t>Coach</t>
  </si>
  <si>
    <t>عطر كوتش دريمز مون لايت – أو دو بارفيوم – 90مل</t>
  </si>
  <si>
    <t>290.00</t>
  </si>
  <si>
    <t>SG207316811VZ42DD</t>
  </si>
  <si>
    <t>عطر روبرتو كفالي فلورنس للنساء - 75 مل - أو دي بارفيوم</t>
  </si>
  <si>
    <t>233.00</t>
  </si>
  <si>
    <t>SG207316811WMFEB8</t>
  </si>
  <si>
    <t>عطر جان بول غولتير سكاندال لي بارفيوم- او دي بارفيوم انتنس - 80مل</t>
  </si>
  <si>
    <t>591.00</t>
  </si>
  <si>
    <t>SG2073168120Q65C6</t>
  </si>
  <si>
    <t>عطر قوتشي فلورا جورجيوس غاردينيا إنتنس – أو دو بارفيوم – 100مل</t>
  </si>
  <si>
    <t>644.00</t>
  </si>
  <si>
    <t>SG2073175OL0I0C0A</t>
  </si>
  <si>
    <t>Burberry</t>
  </si>
  <si>
    <t>عطر بربري هيرو -بارفيوم- 100مل</t>
  </si>
  <si>
    <t>615.00</t>
  </si>
  <si>
    <t>SG207316811MQC231</t>
  </si>
  <si>
    <t>Prada</t>
  </si>
  <si>
    <t>عطر برادا لافيم للنساء -100 مل -أو دي بارفيوم</t>
  </si>
  <si>
    <t>593.00</t>
  </si>
  <si>
    <t>SG207316811SZ4F8A</t>
  </si>
  <si>
    <t>عطر كارولينا هيريرا سي اتش جود جيرل ميدنايت للنساء - 80 مل أو دي بارفيوم</t>
  </si>
  <si>
    <t>SG2073168121C9A5A</t>
  </si>
  <si>
    <t>عطر فالنتينو دونا بورن ان روما - انتنس او دو بارفيوم -100مل</t>
  </si>
  <si>
    <t>782.00</t>
  </si>
  <si>
    <t>SG2073168D6AFFE27</t>
  </si>
  <si>
    <t>عطر قوتشي عود انتنس للجنسين - 90 مل - أو دي بارفيوم</t>
  </si>
  <si>
    <t>489.00</t>
  </si>
  <si>
    <t>SG207316811M82B52</t>
  </si>
  <si>
    <t>عطر جيفنشي لانج نوار للنساء - 75 مل - أو دي بارفيوم</t>
  </si>
  <si>
    <t>SG207316811MV341A</t>
  </si>
  <si>
    <t>عطر برادا لا فيم إنتنس للنساء - 50 مل - أو دي بارفيوم</t>
  </si>
  <si>
    <t>SG2073168D6CB88A6</t>
  </si>
  <si>
    <t>MGI01AB</t>
  </si>
  <si>
    <t>عطر مانسبرا جولد انسنس للجنسين - 120 مل - أو دي بارفيوم</t>
  </si>
  <si>
    <t>520.00</t>
  </si>
  <si>
    <t>SG207316811MS797C</t>
  </si>
  <si>
    <t>عطر برادا لا فيم انتنس للنساء - 100 مل - أو دي بارفيوم</t>
  </si>
  <si>
    <t>640.00</t>
  </si>
  <si>
    <t>عطر مونت بلانك إكسبلورر إكستريم – برفيوم – 100 مل</t>
  </si>
  <si>
    <t>460.00</t>
  </si>
  <si>
    <t>SG207316811XD5E7B</t>
  </si>
  <si>
    <t>عطر كارولينا هيريرا 212 في آي بي روز للنساء - 80 مل - أو دي بارفيوم</t>
  </si>
  <si>
    <t>421.00</t>
  </si>
  <si>
    <t>SG2073169OL1EF52F</t>
  </si>
  <si>
    <t>Bvlgari</t>
  </si>
  <si>
    <t>عطر بولغاري اكوا للرجال - 100 مل - أو دي تواليت</t>
  </si>
  <si>
    <t>SG207316811YW5B09</t>
  </si>
  <si>
    <t>عطر إسكادا ماجنيتزم للنساء - 75 مل - أو دي بارفيوم</t>
  </si>
  <si>
    <t>251.00</t>
  </si>
  <si>
    <t>SG207316811MC9F85</t>
  </si>
  <si>
    <t>عطر جيفنشي لانج نوارللنساء - 50 مل - أو دي بارفيوم</t>
  </si>
  <si>
    <t>410.00</t>
  </si>
  <si>
    <t>SG207316911M036DE</t>
  </si>
  <si>
    <t>عطر باكو رابان أوليمبيا أكوا للنساء - 80 مل - أو دي تواليت</t>
  </si>
  <si>
    <t>398.00</t>
  </si>
  <si>
    <t>SG207316811GJ0741</t>
  </si>
  <si>
    <t>عطر جورجيو أرماني إمبوريو أرماني دايموندز للنساء - 100 مل - أو دي بارفيوم</t>
  </si>
  <si>
    <t>414.00</t>
  </si>
  <si>
    <t>SG207316811Q9D5D3</t>
  </si>
  <si>
    <t>Thierry Mugler</t>
  </si>
  <si>
    <t>عطر تيري موغلر ايسنس ابسولو للنساء - 30 مل - أو دي بارفيوم</t>
  </si>
  <si>
    <t>SG207316811QM794F</t>
  </si>
  <si>
    <t>عطر هيرمس جور دي هيرمس للنساء - 50 مل - أو دي بارفيوم</t>
  </si>
  <si>
    <t>SG2073168D6AV0C30</t>
  </si>
  <si>
    <t>M0060208B</t>
  </si>
  <si>
    <t>عطر مونتال ذا نيو روز للجنسين - 100 مل - أو دي بارفيوم</t>
  </si>
  <si>
    <t>415.00</t>
  </si>
  <si>
    <t>SG207316811U47FEB</t>
  </si>
  <si>
    <t>كارولينا هيريرا قود غيرل بلَش إليكسير – أو دو بارفيوم – 80 مل</t>
  </si>
  <si>
    <t>650.00</t>
  </si>
  <si>
    <t>SG207316811C199E9</t>
  </si>
  <si>
    <t>عطر باكو رابان ليدي مليون للنساء - 80 مل -أو دي بارفيوم</t>
  </si>
  <si>
    <t>عطر نرسيسو بودر للنساء - 90 مل - أو دي بارفيوم</t>
  </si>
  <si>
    <t>480.00</t>
  </si>
  <si>
    <t>SG2073168OKPZ6F17</t>
  </si>
  <si>
    <t>M0060162B</t>
  </si>
  <si>
    <t>عطر مونتال عود إيفر للرجال - 100 مل - أو دي بارفيوم</t>
  </si>
  <si>
    <t>393.00</t>
  </si>
  <si>
    <t>SG207316911XH6E37</t>
  </si>
  <si>
    <t>Stella Mccartney</t>
  </si>
  <si>
    <t>عطر ستيلا مكارتني للنساء - 50 مل - أو دي تواليت</t>
  </si>
  <si>
    <t>SG2073168OL1D88D9</t>
  </si>
  <si>
    <t>عطر جورجيو ارماني سترونجر ويذ يو أبسلوتلي للرجال -100مل - أو دي بارفيوم</t>
  </si>
  <si>
    <t>491.00</t>
  </si>
  <si>
    <t>SG207316811LQ69E3</t>
  </si>
  <si>
    <t>عطر كالفن كلاين ايفوريا جولد اديشن للنساء - 100 مل - أو دي بارفيوم</t>
  </si>
  <si>
    <t>379.00</t>
  </si>
  <si>
    <t>عطر جيرلان لينستانت ماجيك للنساء - 75 مل - أو دي بارفيوم</t>
  </si>
  <si>
    <t>570.00</t>
  </si>
  <si>
    <t>SG207316811QR27B9</t>
  </si>
  <si>
    <t>Moschino</t>
  </si>
  <si>
    <t>عطر موسكينو شيب آند شيك ستارز للنساء - 100 مل - أو دي بارفيوم</t>
  </si>
  <si>
    <t>384.00</t>
  </si>
  <si>
    <t>SG207316811U620E4</t>
  </si>
  <si>
    <t>عطر غولتير ديفين – أو دو بارفيوم – 100 مل</t>
  </si>
  <si>
    <t>529.00</t>
  </si>
  <si>
    <t>SG207316811XA49F2</t>
  </si>
  <si>
    <t>عطر لاكوست أورجينال للنساء – أو دو بارفيوم – 100 مل</t>
  </si>
  <si>
    <t>SG207316811Y82388</t>
  </si>
  <si>
    <t>عطر جوتشي جولتي ابسولوت للنساء - 50 مل - أو دي بارفيوم</t>
  </si>
  <si>
    <t>399.00</t>
  </si>
  <si>
    <t>عطر ايف سان لوران ماي سلف- لي بارفيوم -100 مل</t>
  </si>
  <si>
    <t>788.00</t>
  </si>
  <si>
    <t>SG2073168OKUY06B4</t>
  </si>
  <si>
    <t>عطر جان بول غولتير لو بو لو بارفيوم -او دي بارفيوم انتنس- 125مل</t>
  </si>
  <si>
    <t>559.00</t>
  </si>
  <si>
    <t>SG207316811K6E8D4</t>
  </si>
  <si>
    <t>Boucheron</t>
  </si>
  <si>
    <t>عطر بوشرون جايبور براسلت للنساء - 50 مل - أو دي بارفيوم</t>
  </si>
  <si>
    <t>320.00</t>
  </si>
  <si>
    <t>SG2073169OKZ68494</t>
  </si>
  <si>
    <t>عطر ربورتو كفالي أومو للرجال - 100 مل - أو دي تواليت</t>
  </si>
  <si>
    <t>SG207316811XGA5A7</t>
  </si>
  <si>
    <t>Juicy Couture</t>
  </si>
  <si>
    <t>عطر جوسي كوتور أي آم للنساء - 100 مل - أو دي بارفيوم</t>
  </si>
  <si>
    <t>310.00</t>
  </si>
  <si>
    <t>SG2073168OKW79B98</t>
  </si>
  <si>
    <t>عطر جان بول غولتير سكاندال للرجال - 100 مل - أو دي بارفيوم</t>
  </si>
  <si>
    <t>580.00</t>
  </si>
  <si>
    <t>SG207316811V7BE57</t>
  </si>
  <si>
    <t>عطر فيرزاتشي للنساء - 100 مل - أو دي بارفيوم</t>
  </si>
  <si>
    <t>232.00</t>
  </si>
  <si>
    <t>SG2073168OKZMC46A</t>
  </si>
  <si>
    <t>عطر مون بلانك ليجند للرجال - 100 مل - أو دي بارفيوم</t>
  </si>
  <si>
    <t>240.00</t>
  </si>
  <si>
    <t>SG2073168OL1S01DD</t>
  </si>
  <si>
    <t>عطر فيرزاتشي بور هوم عود نوار-او دي برفيوم - 100مل</t>
  </si>
  <si>
    <t>SG207316811SOA39D</t>
  </si>
  <si>
    <t>عطر نارسيسو رودريغز نارسيسو أمبري للنساء - 90مل -أو دي بارفيوم</t>
  </si>
  <si>
    <t>427.00</t>
  </si>
  <si>
    <t>عطر دولسي جابانا باور فيمي للنساء - 100 مل - أو دي بارفيوم</t>
  </si>
  <si>
    <t>SG2073169OL2N0A0D</t>
  </si>
  <si>
    <t>عطر كارولينا هيريرا 212 للرجال - 100 مل - أو دي تواليت</t>
  </si>
  <si>
    <t>SG207316811XUEADA</t>
  </si>
  <si>
    <t>Houbigant</t>
  </si>
  <si>
    <t>عطر كلك فلاور للنساء -100 مل - أو دي بارفيوم</t>
  </si>
  <si>
    <t>339.00</t>
  </si>
  <si>
    <t>SG2073168D68F8B2C</t>
  </si>
  <si>
    <t>عطر مانسيرا روزز فانيلا للجنسين - 120 مل - أو دي بارفيوم</t>
  </si>
  <si>
    <t>SG2073169OKZI4674</t>
  </si>
  <si>
    <t>عطر بوشرون بور هوم للرجال 100 مل - أو دي تواليت</t>
  </si>
  <si>
    <t>301.00</t>
  </si>
  <si>
    <t>SG2073168OL276792</t>
  </si>
  <si>
    <t>عطر تيردي هرمس للرجال - 75 مل - أو دي بارفيوم</t>
  </si>
  <si>
    <t>SG2073175OL1HB0B5</t>
  </si>
  <si>
    <t>عطر باكو رابان انفكتوس فيكتوري إليكسير –  بارفيوم إنتنس – 100 مل</t>
  </si>
  <si>
    <t>SG2073175OKQP585E</t>
  </si>
  <si>
    <t>عطر أرماني سترونجر ويذ يو- بارفيوم  - 100 مل</t>
  </si>
  <si>
    <t>731.00</t>
  </si>
  <si>
    <t>SG207316911EY806F</t>
  </si>
  <si>
    <t>Jean Louis Scherrer</t>
  </si>
  <si>
    <t>عطر شيرر تو للنساء - 100 مل - او دي تواليت</t>
  </si>
  <si>
    <t>298.00</t>
  </si>
  <si>
    <t>SG2073175OL1LF649</t>
  </si>
  <si>
    <t>عطر باكو رابان ون مليون الرجال اليكسير -بارفيوم انتنس- 100مل</t>
  </si>
  <si>
    <t>575.00</t>
  </si>
  <si>
    <t>SG2073168120V317E</t>
  </si>
  <si>
    <t>عطر كوتش دريم للنساء - 90 مل - أو دي بارفيوم</t>
  </si>
  <si>
    <t>عطر نرسيسو رودريغز كريستال- او دي بارفيوم- 90مل</t>
  </si>
  <si>
    <t>493.00</t>
  </si>
  <si>
    <t>SG2073168OL0697BE</t>
  </si>
  <si>
    <t>عطر كارولينا هيريرا في آي بي 212 بلاك للرجال - 100 مل - أو دي بارفيوم</t>
  </si>
  <si>
    <t>425.00</t>
  </si>
  <si>
    <t>عطر شوبارد عود ملكي للرجال - 80 مل - أو دي بارفيوم</t>
  </si>
  <si>
    <t>SG207316811XP06C0</t>
  </si>
  <si>
    <t>Trussardi</t>
  </si>
  <si>
    <t>عطر تروزاردي دونا للنساء - 100 مل - أو دي بيرفيوم</t>
  </si>
  <si>
    <t>270.00</t>
  </si>
  <si>
    <t>SG2073169OL2E5CAB</t>
  </si>
  <si>
    <t>عطر لاكوست بلانك ال .12.12 للرجال - 100 مل - او دي تواليت</t>
  </si>
  <si>
    <t>SG207316811ZG3FC6</t>
  </si>
  <si>
    <t>Estee Lauder</t>
  </si>
  <si>
    <t>عطر إستي لودر بليجرز للنساء- 100مل -  أو دي بارفيوم</t>
  </si>
  <si>
    <t>302.00</t>
  </si>
  <si>
    <t>SG2073168121189CC</t>
  </si>
  <si>
    <t>Clinique</t>
  </si>
  <si>
    <t>عطر كلينك هابي فيم للنساء - 100 مل - أو دي بارفيوم</t>
  </si>
  <si>
    <t>239.00</t>
  </si>
  <si>
    <t>عطر قوتشي جولتي ابسولوت للرجال - 90 مل - أو دي بارفيوم</t>
  </si>
  <si>
    <t>عطر دولتشي آند غابانا ذا ون للرجال - 100 مل - أو دي بارفيوم</t>
  </si>
  <si>
    <t>510.00</t>
  </si>
  <si>
    <t>عطر جورجيو أرماني إمبريو سترونجر ويذ يو إنتنسلي للرجال - 100 مل - أو دي بارفيوم</t>
  </si>
  <si>
    <t>عطر جيفنشي باي للرجال -100 مل - أو دي تواليت</t>
  </si>
  <si>
    <t>عطر روبورتو كفالي نيرو أسولوتو للنساء - 75 مل - أو دي بارفيوم</t>
  </si>
  <si>
    <t>250.00</t>
  </si>
  <si>
    <t>عطر هوجو بوس ذا سنت للرجال - 100 مل - أو دي تواليت</t>
  </si>
  <si>
    <t>264.00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</si>
</sst>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##########"/>
    <numFmt numFmtId="165" formatCode="#,##0.##"/>
    <numFmt numFmtId="166" formatCode="mmmm\ d\,\ yyyy\,\ h:mm\ AM/PM"/>
  </numFmts>
  <fonts count="12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Aptos Narrow"/>
      <family val="2"/>
      <scheme val="minor"/>
    </font>
    <font>
      <sz val="11"/>
      <color theme="1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</font>
    <font>
      <sz val="14"/>
      <color theme="1"/>
      <name val="Calibri"/>
      <family val="2"/>
    </font>
    <font>
      <sz val="11"/>
      <color theme="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2" fillId="0" borderId="0"/>
  </cellStyleXfs>
  <cellXfs count="15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10" fontId="1" fillId="2" borderId="0" xfId="2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0" borderId="0" xfId="3" applyAlignment="1">
      <alignment horizontal="center" vertical="center" wrapText="1"/>
    </xf>
    <xf numFmtId="1" fontId="3" fillId="0" borderId="0" xfId="3" applyNumberFormat="1" applyAlignment="1">
      <alignment horizontal="center" vertical="center" wrapText="1"/>
    </xf>
    <xf numFmtId="0" fontId="3" fillId="4" borderId="0" xfId="3" applyFill="1" applyAlignment="1">
      <alignment horizontal="center" vertical="center" wrapText="1"/>
    </xf>
    <xf numFmtId="0" fontId="3" fillId="5" borderId="0" xfId="3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3" borderId="0" xfId="0" applyNumberFormat="1" applyFill="1"/>
    <xf numFmtId="2" fontId="0" fillId="0" borderId="0" xfId="0" applyNumberFormat="1"/>
    <xf numFmtId="10" fontId="0" fillId="0" borderId="0" xfId="2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" fontId="0" fillId="2" borderId="0" xfId="0" applyNumberFormat="1" applyFill="1" applyAlignment="1">
      <alignment horizontal="center"/>
    </xf>
    <xf numFmtId="1" fontId="3" fillId="2" borderId="0" xfId="3" applyNumberFormat="1" applyFill="1" applyAlignment="1">
      <alignment horizontal="center"/>
    </xf>
    <xf numFmtId="3" fontId="3" fillId="0" borderId="0" xfId="3" applyNumberFormat="1"/>
    <xf numFmtId="0" fontId="3" fillId="0" borderId="0" xfId="3"/>
    <xf numFmtId="0" fontId="3" fillId="2" borderId="0" xfId="3" applyFill="1"/>
    <xf numFmtId="4" fontId="3" fillId="0" borderId="0" xfId="3" applyNumberFormat="1"/>
    <xf numFmtId="164" fontId="3" fillId="0" borderId="0" xfId="3" applyNumberFormat="1"/>
    <xf numFmtId="14" fontId="3" fillId="2" borderId="0" xfId="3" applyNumberFormat="1" applyFill="1"/>
    <xf numFmtId="0" fontId="3" fillId="0" borderId="0" xfId="3" applyAlignment="1">
      <alignment horizontal="center"/>
    </xf>
    <xf numFmtId="4" fontId="3" fillId="0" borderId="0" xfId="3" applyNumberFormat="1" applyAlignment="1">
      <alignment horizontal="center"/>
    </xf>
    <xf numFmtId="164" fontId="3" fillId="0" borderId="0" xfId="3" applyNumberFormat="1" applyAlignment="1">
      <alignment horizontal="center"/>
    </xf>
    <xf numFmtId="2" fontId="0" fillId="6" borderId="0" xfId="0" applyNumberFormat="1" applyFill="1"/>
    <xf numFmtId="43" fontId="0" fillId="0" borderId="0" xfId="0" applyNumberFormat="1" applyAlignment="1">
      <alignment horizontal="center"/>
    </xf>
    <xf numFmtId="9" fontId="0" fillId="0" borderId="0" xfId="2" applyFont="1"/>
    <xf numFmtId="0" fontId="2" fillId="0" borderId="0" xfId="0" applyFont="1"/>
    <xf numFmtId="2" fontId="2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1" fillId="2" borderId="0" xfId="0" applyNumberFormat="1" applyFont="1" applyFill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3" fillId="0" borderId="0" xfId="3" applyNumberFormat="1" applyAlignment="1">
      <alignment horizontal="center"/>
    </xf>
    <xf numFmtId="165" fontId="3" fillId="0" borderId="0" xfId="3" applyNumberFormat="1"/>
    <xf numFmtId="0" fontId="3" fillId="5" borderId="0" xfId="3" applyFill="1"/>
    <xf numFmtId="166" fontId="3" fillId="0" borderId="0" xfId="3" applyNumberFormat="1"/>
    <xf numFmtId="166" fontId="3" fillId="2" borderId="0" xfId="3" applyNumberFormat="1" applyFill="1"/>
    <xf numFmtId="2" fontId="1" fillId="0" borderId="0" xfId="0" applyNumberFormat="1" applyFont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9" fontId="1" fillId="2" borderId="0" xfId="0" applyNumberFormat="1" applyFont="1" applyFill="1" applyAlignment="1">
      <alignment horizontal="center" vertical="center" wrapText="1"/>
    </xf>
    <xf numFmtId="9" fontId="1" fillId="2" borderId="0" xfId="2" applyFont="1" applyFill="1" applyAlignment="1">
      <alignment horizontal="center" vertical="center" wrapText="1"/>
    </xf>
    <xf numFmtId="1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/>
    <xf numFmtId="2" fontId="4" fillId="0" borderId="2" xfId="0" applyNumberFormat="1" applyFont="1" applyBorder="1"/>
    <xf numFmtId="2" fontId="4" fillId="0" borderId="2" xfId="0" applyNumberFormat="1" applyFont="1" applyBorder="1" applyAlignment="1">
      <alignment horizontal="center"/>
    </xf>
    <xf numFmtId="10" fontId="4" fillId="0" borderId="2" xfId="2" applyNumberFormat="1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0" fillId="0" borderId="0" xfId="0" applyNumberFormat="1" applyAlignment="1">
      <alignment horizontal="right"/>
    </xf>
    <xf numFmtId="2" fontId="6" fillId="7" borderId="0" xfId="0" applyNumberFormat="1" applyFont="1" applyFill="1" applyAlignment="1">
      <alignment horizontal="right"/>
    </xf>
    <xf numFmtId="2" fontId="6" fillId="7" borderId="0" xfId="0" applyNumberFormat="1" applyFont="1" applyFill="1"/>
    <xf numFmtId="2" fontId="6" fillId="7" borderId="0" xfId="0" applyNumberFormat="1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right"/>
    </xf>
    <xf numFmtId="2" fontId="0" fillId="2" borderId="0" xfId="0" applyNumberFormat="1" applyFill="1"/>
    <xf numFmtId="2" fontId="2" fillId="2" borderId="0" xfId="0" applyNumberFormat="1" applyFont="1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4" fillId="8" borderId="2" xfId="0" applyFont="1" applyFill="1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center" vertical="center" wrapText="1"/>
    </xf>
    <xf numFmtId="14" fontId="8" fillId="9" borderId="1" xfId="0" applyNumberFormat="1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1" fontId="8" fillId="9" borderId="2" xfId="0" applyNumberFormat="1" applyFont="1" applyFill="1" applyBorder="1" applyAlignment="1">
      <alignment horizontal="center"/>
    </xf>
    <xf numFmtId="0" fontId="8" fillId="9" borderId="2" xfId="0" applyFont="1" applyFill="1" applyBorder="1"/>
    <xf numFmtId="2" fontId="8" fillId="9" borderId="2" xfId="0" applyNumberFormat="1" applyFont="1" applyFill="1" applyBorder="1"/>
    <xf numFmtId="2" fontId="8" fillId="9" borderId="2" xfId="0" applyNumberFormat="1" applyFont="1" applyFill="1" applyBorder="1" applyAlignment="1">
      <alignment horizontal="center"/>
    </xf>
    <xf numFmtId="10" fontId="8" fillId="9" borderId="2" xfId="2" applyNumberFormat="1" applyFont="1" applyFill="1" applyBorder="1" applyAlignment="1">
      <alignment horizontal="center"/>
    </xf>
    <xf numFmtId="0" fontId="8" fillId="9" borderId="0" xfId="0" applyFont="1" applyFill="1"/>
    <xf numFmtId="0" fontId="2" fillId="9" borderId="2" xfId="0" applyFont="1" applyFill="1" applyBorder="1"/>
    <xf numFmtId="14" fontId="2" fillId="9" borderId="0" xfId="0" applyNumberFormat="1" applyFont="1" applyFill="1" applyAlignment="1">
      <alignment horizontal="center"/>
    </xf>
    <xf numFmtId="2" fontId="5" fillId="9" borderId="0" xfId="0" applyNumberFormat="1" applyFont="1" applyFill="1" applyAlignment="1">
      <alignment horizontal="center"/>
    </xf>
    <xf numFmtId="2" fontId="2" fillId="9" borderId="0" xfId="0" applyNumberFormat="1" applyFont="1" applyFill="1"/>
    <xf numFmtId="0" fontId="2" fillId="9" borderId="0" xfId="0" applyFont="1" applyFill="1" applyAlignment="1">
      <alignment horizontal="right"/>
    </xf>
    <xf numFmtId="2" fontId="2" fillId="9" borderId="0" xfId="0" applyNumberFormat="1" applyFont="1" applyFill="1" applyAlignment="1">
      <alignment horizontal="right"/>
    </xf>
    <xf numFmtId="2" fontId="2" fillId="9" borderId="0" xfId="0" applyNumberFormat="1" applyFont="1" applyFill="1" applyAlignment="1">
      <alignment horizontal="center" vertical="center" wrapText="1"/>
    </xf>
    <xf numFmtId="2" fontId="0" fillId="9" borderId="0" xfId="0" applyNumberFormat="1" applyFill="1" applyAlignment="1">
      <alignment horizontal="center" vertical="center" wrapText="1"/>
    </xf>
    <xf numFmtId="2" fontId="0" fillId="9" borderId="0" xfId="0" applyNumberFormat="1" applyFill="1"/>
    <xf numFmtId="0" fontId="4" fillId="2" borderId="2" xfId="0" applyFont="1" applyFill="1" applyBorder="1" applyAlignment="1">
      <alignment horizontal="center"/>
    </xf>
    <xf numFmtId="2" fontId="8" fillId="7" borderId="0" xfId="0" applyNumberFormat="1" applyFont="1" applyFill="1" applyAlignment="1">
      <alignment horizontal="right"/>
    </xf>
    <xf numFmtId="2" fontId="8" fillId="7" borderId="0" xfId="0" applyNumberFormat="1" applyFont="1" applyFill="1"/>
    <xf numFmtId="2" fontId="8" fillId="7" borderId="0" xfId="0" applyNumberFormat="1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2" fontId="9" fillId="7" borderId="2" xfId="0" applyNumberFormat="1" applyFont="1" applyFill="1" applyBorder="1"/>
    <xf numFmtId="2" fontId="5" fillId="10" borderId="0" xfId="0" applyNumberFormat="1" applyFont="1" applyFill="1" applyAlignment="1">
      <alignment horizontal="center"/>
    </xf>
    <xf numFmtId="2" fontId="7" fillId="7" borderId="2" xfId="0" applyNumberFormat="1" applyFont="1" applyFill="1" applyBorder="1"/>
    <xf numFmtId="2" fontId="1" fillId="0" borderId="0" xfId="0" applyNumberFormat="1" applyFont="1" applyAlignment="1">
      <alignment horizontal="center" vertical="center"/>
    </xf>
    <xf numFmtId="4" fontId="0" fillId="0" borderId="0" xfId="0" applyNumberFormat="1"/>
    <xf numFmtId="4" fontId="2" fillId="0" borderId="0" xfId="0" applyNumberFormat="1" applyFont="1"/>
    <xf numFmtId="4" fontId="1" fillId="0" borderId="0" xfId="0" applyNumberFormat="1" applyFont="1" applyAlignment="1">
      <alignment vertical="center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0" fillId="0" borderId="0" xfId="4" applyFont="1" applyAlignment="1">
      <alignment horizontal="center" vertical="center" wrapText="1"/>
    </xf>
    <xf numFmtId="0" fontId="1" fillId="0" borderId="0" xfId="4" applyFont="1" applyAlignment="1">
      <alignment horizontal="center" vertical="center" wrapText="1"/>
    </xf>
    <xf numFmtId="0" fontId="1" fillId="11" borderId="0" xfId="4" applyFont="1" applyFill="1" applyAlignment="1">
      <alignment horizontal="center" vertical="center" wrapText="1"/>
    </xf>
    <xf numFmtId="0" fontId="2" fillId="0" borderId="0" xfId="4" applyAlignment="1">
      <alignment wrapText="1"/>
    </xf>
    <xf numFmtId="14" fontId="4" fillId="0" borderId="1" xfId="4" applyNumberFormat="1" applyFont="1" applyBorder="1"/>
    <xf numFmtId="0" fontId="4" fillId="0" borderId="2" xfId="4" applyFont="1" applyBorder="1"/>
    <xf numFmtId="1" fontId="4" fillId="0" borderId="2" xfId="4" applyNumberFormat="1" applyFont="1" applyBorder="1" applyAlignment="1">
      <alignment horizontal="center"/>
    </xf>
    <xf numFmtId="0" fontId="4" fillId="0" borderId="2" xfId="4" applyFont="1" applyBorder="1" applyAlignment="1">
      <alignment horizontal="center"/>
    </xf>
    <xf numFmtId="0" fontId="2" fillId="0" borderId="2" xfId="4" applyBorder="1"/>
    <xf numFmtId="2" fontId="2" fillId="0" borderId="2" xfId="4" applyNumberFormat="1" applyBorder="1"/>
    <xf numFmtId="0" fontId="2" fillId="0" borderId="2" xfId="4" applyBorder="1" applyAlignment="1">
      <alignment horizontal="center"/>
    </xf>
    <xf numFmtId="2" fontId="2" fillId="0" borderId="2" xfId="4" applyNumberFormat="1" applyBorder="1" applyAlignment="1">
      <alignment horizontal="center"/>
    </xf>
    <xf numFmtId="9" fontId="0" fillId="0" borderId="2" xfId="2" applyFont="1" applyBorder="1" applyAlignment="1">
      <alignment horizontal="center"/>
    </xf>
    <xf numFmtId="2" fontId="2" fillId="0" borderId="0" xfId="4" applyNumberFormat="1" applyAlignment="1">
      <alignment horizontal="center"/>
    </xf>
    <xf numFmtId="0" fontId="11" fillId="0" borderId="0" xfId="4" applyFont="1" applyAlignment="1">
      <alignment horizontal="center"/>
    </xf>
    <xf numFmtId="0" fontId="11" fillId="0" borderId="0" xfId="4" applyFont="1"/>
    <xf numFmtId="1" fontId="11" fillId="0" borderId="0" xfId="4" applyNumberFormat="1" applyFont="1"/>
    <xf numFmtId="14" fontId="4" fillId="0" borderId="0" xfId="4" applyNumberFormat="1" applyFont="1"/>
    <xf numFmtId="0" fontId="4" fillId="0" borderId="0" xfId="4" applyFont="1"/>
    <xf numFmtId="1" fontId="4" fillId="0" borderId="0" xfId="4" applyNumberFormat="1" applyFont="1" applyAlignment="1">
      <alignment horizontal="center"/>
    </xf>
    <xf numFmtId="0" fontId="4" fillId="0" borderId="0" xfId="4" applyFont="1" applyAlignment="1">
      <alignment horizontal="center"/>
    </xf>
    <xf numFmtId="0" fontId="2" fillId="0" borderId="0" xfId="4"/>
    <xf numFmtId="2" fontId="2" fillId="0" borderId="0" xfId="4" applyNumberFormat="1"/>
    <xf numFmtId="0" fontId="2" fillId="0" borderId="0" xfId="4" applyAlignment="1">
      <alignment horizontal="center"/>
    </xf>
    <xf numFmtId="9" fontId="0" fillId="0" borderId="0" xfId="2" applyFont="1" applyAlignment="1">
      <alignment horizontal="center"/>
    </xf>
    <xf numFmtId="9" fontId="0" fillId="0" borderId="0" xfId="2" applyFont="1" applyBorder="1" applyAlignment="1">
      <alignment horizontal="center"/>
    </xf>
    <xf numFmtId="14" fontId="4" fillId="0" borderId="0" xfId="4" applyNumberFormat="1" applyFont="1" applyAlignment="1">
      <alignment horizontal="center"/>
    </xf>
    <xf numFmtId="2" fontId="4" fillId="0" borderId="0" xfId="4" applyNumberFormat="1" applyFont="1" applyAlignment="1">
      <alignment horizontal="center"/>
    </xf>
    <xf numFmtId="1" fontId="4" fillId="0" borderId="0" xfId="4" applyNumberFormat="1" applyFont="1"/>
    <xf numFmtId="2" fontId="4" fillId="0" borderId="0" xfId="4" applyNumberFormat="1" applyFont="1"/>
    <xf numFmtId="2" fontId="6" fillId="12" borderId="0" xfId="4" applyNumberFormat="1" applyFont="1" applyFill="1" applyAlignment="1">
      <alignment horizontal="center"/>
    </xf>
    <xf numFmtId="2" fontId="4" fillId="7" borderId="0" xfId="4" applyNumberFormat="1" applyFont="1" applyFill="1" applyAlignment="1">
      <alignment horizontal="center"/>
    </xf>
    <xf numFmtId="9" fontId="4" fillId="7" borderId="0" xfId="2" applyFont="1" applyFill="1" applyAlignment="1">
      <alignment horizontal="center"/>
    </xf>
    <xf numFmtId="0" fontId="4" fillId="7" borderId="0" xfId="4" applyFont="1" applyFill="1"/>
    <xf numFmtId="0" fontId="4" fillId="7" borderId="0" xfId="4" applyFont="1" applyFill="1" applyAlignment="1">
      <alignment horizontal="center"/>
    </xf>
    <xf numFmtId="0" fontId="2" fillId="2" borderId="0" xfId="4" applyFill="1"/>
    <xf numFmtId="0" fontId="2" fillId="2" borderId="0" xfId="4" applyFill="1" applyAlignment="1">
      <alignment horizontal="center"/>
    </xf>
    <xf numFmtId="0" fontId="2" fillId="7" borderId="0" xfId="4" applyFill="1"/>
    <xf numFmtId="0" fontId="2" fillId="7" borderId="0" xfId="4" applyFill="1" applyAlignment="1">
      <alignment horizontal="center"/>
    </xf>
    <xf numFmtId="0" fontId="1" fillId="0" borderId="0" xfId="4" applyFont="1"/>
    <xf numFmtId="0" fontId="1" fillId="11" borderId="0" xfId="4" applyFont="1" applyFill="1" applyAlignment="1">
      <alignment horizontal="center"/>
    </xf>
    <xf numFmtId="1" fontId="1" fillId="0" borderId="0" xfId="4" applyNumberFormat="1" applyFont="1"/>
    <xf numFmtId="0" fontId="2" fillId="13" borderId="0" xfId="4" applyFill="1"/>
    <xf numFmtId="1" fontId="2" fillId="13" borderId="0" xfId="4" applyNumberFormat="1" applyFill="1"/>
    <xf numFmtId="1" fontId="2" fillId="0" borderId="0" xfId="4" applyNumberFormat="1"/>
  </cellXfs>
  <cellStyles count="5">
    <cellStyle name="Comma" xfId="1" builtinId="3"/>
    <cellStyle name="Normal" xfId="0" builtinId="0"/>
    <cellStyle name="Normal 2" xfId="3" xr:uid="{12BAEF85-CC75-4E70-AE37-DFE49AB5385E}"/>
    <cellStyle name="Normal 3" xfId="4" xr:uid="{33ED2F29-D6BD-44D6-86E4-D9ACC219EE4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6\Vendor%20or%20Merchant%20related\ECOM%20VENDORS\14%20DAYS%20Rayhanat%20Makkah\Payments\RM%202nd%20Payment.xlsx" TargetMode="External"/><Relationship Id="rId1" Type="http://schemas.openxmlformats.org/officeDocument/2006/relationships/externalLinkPath" Target="file:///D:\2026\Vendor%20or%20Merchant%20related\ECOM%20VENDORS\14%20DAYS%20Rayhanat%20Makkah\Payments\RM%202nd%20Paymen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6\Vendor%20or%20Merchant%20related\ECOM%20VENDORS\14%20DAYS%20Rayhanat%20Makkah\Recon\offer%2022%20TO%2008%20aUGUST\Recon%20Betwwen%2022%20July%20TO%2008%20Aug%202026%20Offers%2010%25%20Commission.xlsx" TargetMode="External"/><Relationship Id="rId1" Type="http://schemas.openxmlformats.org/officeDocument/2006/relationships/externalLinkPath" Target="file:///D:\2026\Vendor%20or%20Merchant%20related\ECOM%20VENDORS\14%20DAYS%20Rayhanat%20Makkah\Recon\offer%2022%20TO%2008%20aUGUST\Recon%20Betwwen%2022%20July%20TO%2008%20Aug%202026%20Offers%2010%25%20Com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2)"/>
      <sheetName val="RM RECON"/>
      <sheetName val="Discount RM "/>
      <sheetName val="Dowload Data  (2)"/>
      <sheetName val="Final Sheet Dowload Data "/>
      <sheetName val="Cancelled &amp; RTO"/>
      <sheetName val="LIST @ DISCOUNT"/>
      <sheetName val="Next Payment"/>
      <sheetName val="Working &amp; ANALYSIS"/>
      <sheetName val="Final Summary"/>
    </sheetNames>
    <sheetDataSet>
      <sheetData sheetId="0" refreshError="1"/>
      <sheetData sheetId="1"/>
      <sheetData sheetId="2">
        <row r="1">
          <cell r="N1" t="str">
            <v>سعر العرض</v>
          </cell>
          <cell r="O1" t="str">
            <v>msrp</v>
          </cell>
          <cell r="P1" t="str">
            <v>سبب عدم البث المباشر</v>
          </cell>
          <cell r="Q1" t="str">
            <v>عدد الصور</v>
          </cell>
          <cell r="R1" t="str">
            <v>15% Commission (Current Standard)</v>
          </cell>
          <cell r="S1" t="str">
            <v>10% Commission (To be charged till 8th Aug)</v>
          </cell>
          <cell r="U1" t="str">
            <v>رمز البائع</v>
          </cell>
        </row>
        <row r="2">
          <cell r="N2">
            <v>110</v>
          </cell>
          <cell r="O2" t="str">
            <v>372.00</v>
          </cell>
          <cell r="P2" t="str">
            <v>-</v>
          </cell>
          <cell r="Q2">
            <v>3</v>
          </cell>
          <cell r="R2">
            <v>16.5</v>
          </cell>
          <cell r="S2">
            <v>11</v>
          </cell>
          <cell r="U2">
            <v>1030104572</v>
          </cell>
        </row>
        <row r="3">
          <cell r="N3">
            <v>199</v>
          </cell>
          <cell r="O3" t="str">
            <v>680.00</v>
          </cell>
          <cell r="P3" t="str">
            <v>-</v>
          </cell>
          <cell r="Q3">
            <v>2</v>
          </cell>
          <cell r="R3">
            <v>29.849999999999998</v>
          </cell>
          <cell r="S3">
            <v>19.900000000000002</v>
          </cell>
          <cell r="U3">
            <v>1030110619</v>
          </cell>
        </row>
        <row r="4">
          <cell r="N4">
            <v>375</v>
          </cell>
          <cell r="O4" t="str">
            <v>735.00</v>
          </cell>
          <cell r="P4" t="str">
            <v>-</v>
          </cell>
          <cell r="Q4">
            <v>2</v>
          </cell>
          <cell r="R4">
            <v>56.25</v>
          </cell>
          <cell r="S4">
            <v>37.5</v>
          </cell>
          <cell r="U4">
            <v>1030110665</v>
          </cell>
        </row>
        <row r="5">
          <cell r="N5">
            <v>399</v>
          </cell>
          <cell r="O5" t="str">
            <v>678.00</v>
          </cell>
          <cell r="P5" t="str">
            <v>-</v>
          </cell>
          <cell r="Q5">
            <v>2</v>
          </cell>
          <cell r="R5">
            <v>59.849999999999994</v>
          </cell>
          <cell r="S5">
            <v>39.900000000000006</v>
          </cell>
          <cell r="U5">
            <v>1030110077</v>
          </cell>
        </row>
        <row r="6">
          <cell r="N6">
            <v>189</v>
          </cell>
          <cell r="O6" t="str">
            <v>409.00</v>
          </cell>
          <cell r="P6" t="str">
            <v>-</v>
          </cell>
          <cell r="Q6">
            <v>2</v>
          </cell>
          <cell r="R6">
            <v>28.349999999999998</v>
          </cell>
          <cell r="S6">
            <v>18.900000000000002</v>
          </cell>
          <cell r="U6">
            <v>1030105362</v>
          </cell>
        </row>
        <row r="7">
          <cell r="N7">
            <v>299</v>
          </cell>
          <cell r="O7" t="str">
            <v>450.00</v>
          </cell>
          <cell r="P7" t="str">
            <v>-</v>
          </cell>
          <cell r="Q7">
            <v>2</v>
          </cell>
          <cell r="R7">
            <v>44.85</v>
          </cell>
          <cell r="S7">
            <v>29.900000000000002</v>
          </cell>
          <cell r="U7">
            <v>1030109827</v>
          </cell>
        </row>
        <row r="8">
          <cell r="N8">
            <v>339</v>
          </cell>
          <cell r="O8" t="str">
            <v>610.00</v>
          </cell>
          <cell r="P8" t="str">
            <v>-</v>
          </cell>
          <cell r="Q8">
            <v>2</v>
          </cell>
          <cell r="R8">
            <v>50.85</v>
          </cell>
          <cell r="S8">
            <v>33.9</v>
          </cell>
          <cell r="U8">
            <v>1030110728</v>
          </cell>
        </row>
        <row r="9">
          <cell r="N9">
            <v>399</v>
          </cell>
          <cell r="O9" t="str">
            <v>598.00</v>
          </cell>
          <cell r="P9" t="str">
            <v>-</v>
          </cell>
          <cell r="Q9">
            <v>2</v>
          </cell>
          <cell r="R9">
            <v>59.849999999999994</v>
          </cell>
          <cell r="S9">
            <v>39.900000000000006</v>
          </cell>
          <cell r="U9">
            <v>1030110426</v>
          </cell>
        </row>
        <row r="10">
          <cell r="N10">
            <v>799</v>
          </cell>
          <cell r="O10" t="str">
            <v>999.00</v>
          </cell>
          <cell r="P10" t="str">
            <v>-</v>
          </cell>
          <cell r="Q10">
            <v>2</v>
          </cell>
          <cell r="R10">
            <v>119.85</v>
          </cell>
          <cell r="S10">
            <v>79.900000000000006</v>
          </cell>
          <cell r="U10">
            <v>1030106469</v>
          </cell>
        </row>
        <row r="11">
          <cell r="N11">
            <v>419</v>
          </cell>
          <cell r="O11" t="str">
            <v>647.00</v>
          </cell>
          <cell r="P11" t="str">
            <v>-</v>
          </cell>
          <cell r="Q11">
            <v>2</v>
          </cell>
          <cell r="R11">
            <v>62.849999999999994</v>
          </cell>
          <cell r="S11">
            <v>41.900000000000006</v>
          </cell>
          <cell r="U11">
            <v>1030110513</v>
          </cell>
        </row>
        <row r="12">
          <cell r="N12">
            <v>429</v>
          </cell>
          <cell r="O12" t="str">
            <v>629.00</v>
          </cell>
          <cell r="P12" t="str">
            <v>-</v>
          </cell>
          <cell r="Q12">
            <v>2</v>
          </cell>
          <cell r="R12">
            <v>64.349999999999994</v>
          </cell>
          <cell r="S12">
            <v>42.900000000000006</v>
          </cell>
          <cell r="U12">
            <v>1030110442</v>
          </cell>
        </row>
        <row r="13">
          <cell r="N13">
            <v>140</v>
          </cell>
          <cell r="O13" t="str">
            <v>363.00</v>
          </cell>
          <cell r="P13" t="str">
            <v>-</v>
          </cell>
          <cell r="Q13">
            <v>2</v>
          </cell>
          <cell r="R13">
            <v>21</v>
          </cell>
          <cell r="S13">
            <v>14</v>
          </cell>
          <cell r="U13">
            <v>1030100437</v>
          </cell>
        </row>
        <row r="14">
          <cell r="N14">
            <v>249</v>
          </cell>
          <cell r="O14" t="str">
            <v>450.00</v>
          </cell>
          <cell r="P14" t="str">
            <v>-</v>
          </cell>
          <cell r="Q14">
            <v>2</v>
          </cell>
          <cell r="R14">
            <v>37.35</v>
          </cell>
          <cell r="S14">
            <v>24.900000000000002</v>
          </cell>
          <cell r="U14">
            <v>1030105520</v>
          </cell>
        </row>
        <row r="15">
          <cell r="N15">
            <v>319</v>
          </cell>
          <cell r="O15" t="str">
            <v>630.00</v>
          </cell>
          <cell r="P15" t="str">
            <v>-</v>
          </cell>
          <cell r="Q15">
            <v>2</v>
          </cell>
          <cell r="R15">
            <v>47.85</v>
          </cell>
          <cell r="S15">
            <v>31.900000000000002</v>
          </cell>
          <cell r="U15">
            <v>1030103286</v>
          </cell>
        </row>
        <row r="16">
          <cell r="N16">
            <v>269</v>
          </cell>
          <cell r="O16" t="str">
            <v>420.00</v>
          </cell>
          <cell r="P16" t="str">
            <v>-</v>
          </cell>
          <cell r="Q16">
            <v>2</v>
          </cell>
          <cell r="R16">
            <v>40.35</v>
          </cell>
          <cell r="S16">
            <v>26.900000000000002</v>
          </cell>
          <cell r="U16">
            <v>1030101975</v>
          </cell>
        </row>
        <row r="17">
          <cell r="N17">
            <v>379</v>
          </cell>
          <cell r="O17" t="str">
            <v>635.00</v>
          </cell>
          <cell r="P17" t="str">
            <v>-</v>
          </cell>
          <cell r="Q17">
            <v>2</v>
          </cell>
          <cell r="R17">
            <v>56.85</v>
          </cell>
          <cell r="S17">
            <v>37.9</v>
          </cell>
          <cell r="U17">
            <v>1030110111</v>
          </cell>
        </row>
        <row r="18">
          <cell r="N18">
            <v>199</v>
          </cell>
          <cell r="O18" t="str">
            <v>316.00</v>
          </cell>
          <cell r="P18" t="str">
            <v>-</v>
          </cell>
          <cell r="Q18">
            <v>2</v>
          </cell>
          <cell r="R18">
            <v>29.849999999999998</v>
          </cell>
          <cell r="S18">
            <v>19.900000000000002</v>
          </cell>
          <cell r="U18">
            <v>1030110412</v>
          </cell>
        </row>
        <row r="19">
          <cell r="N19">
            <v>399</v>
          </cell>
          <cell r="O19" t="str">
            <v>538.00</v>
          </cell>
          <cell r="P19" t="str">
            <v>-</v>
          </cell>
          <cell r="Q19">
            <v>2</v>
          </cell>
          <cell r="R19">
            <v>59.849999999999994</v>
          </cell>
          <cell r="S19">
            <v>39.900000000000006</v>
          </cell>
          <cell r="U19">
            <v>1030110203</v>
          </cell>
        </row>
        <row r="20">
          <cell r="N20">
            <v>355</v>
          </cell>
          <cell r="O20" t="str">
            <v>629.00</v>
          </cell>
          <cell r="P20" t="str">
            <v>-</v>
          </cell>
          <cell r="Q20">
            <v>2</v>
          </cell>
          <cell r="R20">
            <v>53.25</v>
          </cell>
          <cell r="S20">
            <v>35.5</v>
          </cell>
          <cell r="U20">
            <v>1030108758</v>
          </cell>
        </row>
        <row r="21">
          <cell r="N21">
            <v>213</v>
          </cell>
          <cell r="O21" t="str">
            <v>364.00</v>
          </cell>
          <cell r="P21" t="str">
            <v>-</v>
          </cell>
          <cell r="Q21">
            <v>2</v>
          </cell>
          <cell r="R21">
            <v>31.95</v>
          </cell>
          <cell r="S21">
            <v>21.3</v>
          </cell>
          <cell r="U21">
            <v>1030110763</v>
          </cell>
        </row>
        <row r="22">
          <cell r="N22">
            <v>749</v>
          </cell>
          <cell r="O22" t="str">
            <v>910.00</v>
          </cell>
          <cell r="P22" t="str">
            <v>-</v>
          </cell>
          <cell r="Q22">
            <v>2</v>
          </cell>
          <cell r="R22">
            <v>112.35</v>
          </cell>
          <cell r="S22">
            <v>74.900000000000006</v>
          </cell>
          <cell r="U22">
            <v>1030109004</v>
          </cell>
        </row>
        <row r="23">
          <cell r="N23">
            <v>219</v>
          </cell>
          <cell r="O23" t="str">
            <v>390.00</v>
          </cell>
          <cell r="P23" t="str">
            <v>-</v>
          </cell>
          <cell r="Q23">
            <v>2</v>
          </cell>
          <cell r="R23">
            <v>32.85</v>
          </cell>
          <cell r="S23">
            <v>21.900000000000002</v>
          </cell>
          <cell r="U23">
            <v>1030108788</v>
          </cell>
        </row>
        <row r="24">
          <cell r="N24">
            <v>329</v>
          </cell>
          <cell r="O24" t="str">
            <v>459.00</v>
          </cell>
          <cell r="P24" t="str">
            <v>-</v>
          </cell>
          <cell r="Q24">
            <v>2</v>
          </cell>
          <cell r="R24">
            <v>49.35</v>
          </cell>
          <cell r="S24">
            <v>32.9</v>
          </cell>
          <cell r="U24">
            <v>1030110388</v>
          </cell>
        </row>
        <row r="25">
          <cell r="N25">
            <v>229</v>
          </cell>
          <cell r="O25" t="str">
            <v>490.00</v>
          </cell>
          <cell r="P25" t="str">
            <v>-</v>
          </cell>
          <cell r="Q25">
            <v>2</v>
          </cell>
          <cell r="R25">
            <v>34.35</v>
          </cell>
          <cell r="S25">
            <v>22.900000000000002</v>
          </cell>
          <cell r="U25">
            <v>1030103169</v>
          </cell>
        </row>
        <row r="26">
          <cell r="N26">
            <v>199</v>
          </cell>
          <cell r="O26" t="str">
            <v>340.00</v>
          </cell>
          <cell r="P26" t="str">
            <v>-</v>
          </cell>
          <cell r="Q26">
            <v>2</v>
          </cell>
          <cell r="R26">
            <v>29.849999999999998</v>
          </cell>
          <cell r="S26">
            <v>19.900000000000002</v>
          </cell>
          <cell r="U26">
            <v>1030111025</v>
          </cell>
        </row>
        <row r="27">
          <cell r="N27">
            <v>339</v>
          </cell>
          <cell r="O27" t="str">
            <v>502.00</v>
          </cell>
          <cell r="P27" t="str">
            <v>-</v>
          </cell>
          <cell r="Q27">
            <v>2</v>
          </cell>
          <cell r="R27">
            <v>50.85</v>
          </cell>
          <cell r="S27">
            <v>33.9</v>
          </cell>
          <cell r="U27">
            <v>1030110431</v>
          </cell>
        </row>
        <row r="28">
          <cell r="N28">
            <v>279</v>
          </cell>
          <cell r="O28" t="str">
            <v>430.00</v>
          </cell>
          <cell r="P28" t="str">
            <v>-</v>
          </cell>
          <cell r="Q28">
            <v>3</v>
          </cell>
          <cell r="R28">
            <v>41.85</v>
          </cell>
          <cell r="S28">
            <v>27.900000000000002</v>
          </cell>
          <cell r="U28">
            <v>1030110729</v>
          </cell>
        </row>
        <row r="29">
          <cell r="N29">
            <v>272</v>
          </cell>
          <cell r="O29" t="str">
            <v>649.00</v>
          </cell>
          <cell r="P29" t="str">
            <v>-</v>
          </cell>
          <cell r="Q29">
            <v>2</v>
          </cell>
          <cell r="R29">
            <v>40.799999999999997</v>
          </cell>
          <cell r="S29">
            <v>27.200000000000003</v>
          </cell>
          <cell r="U29">
            <v>1030103540</v>
          </cell>
        </row>
        <row r="30">
          <cell r="N30">
            <v>299</v>
          </cell>
          <cell r="O30" t="str">
            <v>420.00</v>
          </cell>
          <cell r="P30" t="str">
            <v>-</v>
          </cell>
          <cell r="Q30">
            <v>2</v>
          </cell>
          <cell r="R30">
            <v>44.85</v>
          </cell>
          <cell r="S30">
            <v>29.900000000000002</v>
          </cell>
          <cell r="U30">
            <v>1030110306</v>
          </cell>
        </row>
        <row r="31">
          <cell r="N31">
            <v>439</v>
          </cell>
          <cell r="O31" t="str">
            <v>590.00</v>
          </cell>
          <cell r="P31" t="str">
            <v>-</v>
          </cell>
          <cell r="Q31">
            <v>2</v>
          </cell>
          <cell r="R31">
            <v>65.849999999999994</v>
          </cell>
          <cell r="S31">
            <v>43.900000000000006</v>
          </cell>
          <cell r="U31">
            <v>1030110879</v>
          </cell>
        </row>
        <row r="32">
          <cell r="N32">
            <v>242</v>
          </cell>
          <cell r="O32" t="str">
            <v>350.00</v>
          </cell>
          <cell r="P32" t="str">
            <v>-</v>
          </cell>
          <cell r="Q32">
            <v>2</v>
          </cell>
          <cell r="R32">
            <v>36.299999999999997</v>
          </cell>
          <cell r="S32">
            <v>24.200000000000003</v>
          </cell>
          <cell r="U32">
            <v>1030104693</v>
          </cell>
        </row>
        <row r="33">
          <cell r="N33">
            <v>219</v>
          </cell>
          <cell r="O33" t="str">
            <v>290.00</v>
          </cell>
          <cell r="P33" t="str">
            <v>-</v>
          </cell>
          <cell r="Q33">
            <v>2</v>
          </cell>
          <cell r="R33">
            <v>32.85</v>
          </cell>
          <cell r="S33">
            <v>21.900000000000002</v>
          </cell>
          <cell r="U33">
            <v>1030110504</v>
          </cell>
        </row>
        <row r="34">
          <cell r="N34">
            <v>121</v>
          </cell>
          <cell r="O34" t="str">
            <v>233.00</v>
          </cell>
          <cell r="P34" t="str">
            <v>-</v>
          </cell>
          <cell r="Q34">
            <v>2</v>
          </cell>
          <cell r="R34">
            <v>18.149999999999999</v>
          </cell>
          <cell r="S34">
            <v>12.100000000000001</v>
          </cell>
          <cell r="U34">
            <v>1030109215</v>
          </cell>
        </row>
        <row r="35">
          <cell r="N35">
            <v>399</v>
          </cell>
          <cell r="O35" t="str">
            <v>591.00</v>
          </cell>
          <cell r="P35" t="str">
            <v>-</v>
          </cell>
          <cell r="Q35">
            <v>2</v>
          </cell>
          <cell r="R35">
            <v>59.849999999999994</v>
          </cell>
          <cell r="S35">
            <v>39.900000000000006</v>
          </cell>
          <cell r="U35">
            <v>1030110378</v>
          </cell>
        </row>
        <row r="36">
          <cell r="N36">
            <v>389</v>
          </cell>
          <cell r="O36" t="str">
            <v>644.00</v>
          </cell>
          <cell r="P36" t="str">
            <v>-</v>
          </cell>
          <cell r="Q36">
            <v>2</v>
          </cell>
          <cell r="R36">
            <v>58.349999999999994</v>
          </cell>
          <cell r="S36">
            <v>38.900000000000006</v>
          </cell>
          <cell r="U36">
            <v>1030110790</v>
          </cell>
        </row>
        <row r="37">
          <cell r="N37">
            <v>429</v>
          </cell>
          <cell r="O37" t="str">
            <v>615.00</v>
          </cell>
          <cell r="P37" t="str">
            <v>-</v>
          </cell>
          <cell r="Q37">
            <v>4</v>
          </cell>
          <cell r="R37">
            <v>64.349999999999994</v>
          </cell>
          <cell r="S37">
            <v>42.900000000000006</v>
          </cell>
          <cell r="U37">
            <v>1030110457</v>
          </cell>
        </row>
        <row r="38">
          <cell r="N38">
            <v>434</v>
          </cell>
          <cell r="O38" t="str">
            <v>593.00</v>
          </cell>
          <cell r="P38" t="str">
            <v>-</v>
          </cell>
          <cell r="Q38">
            <v>2</v>
          </cell>
          <cell r="R38">
            <v>65.099999999999994</v>
          </cell>
          <cell r="S38">
            <v>43.400000000000006</v>
          </cell>
          <cell r="U38">
            <v>1030108906</v>
          </cell>
        </row>
        <row r="39">
          <cell r="N39">
            <v>409</v>
          </cell>
          <cell r="O39" t="str">
            <v>590.00</v>
          </cell>
          <cell r="P39" t="str">
            <v>-</v>
          </cell>
          <cell r="Q39">
            <v>2</v>
          </cell>
          <cell r="R39">
            <v>61.349999999999994</v>
          </cell>
          <cell r="S39">
            <v>40.900000000000006</v>
          </cell>
          <cell r="U39">
            <v>1030110377</v>
          </cell>
        </row>
        <row r="40">
          <cell r="N40">
            <v>464</v>
          </cell>
          <cell r="O40" t="str">
            <v>782.00</v>
          </cell>
          <cell r="P40" t="str">
            <v>-</v>
          </cell>
          <cell r="Q40">
            <v>2</v>
          </cell>
          <cell r="R40">
            <v>69.599999999999994</v>
          </cell>
          <cell r="S40">
            <v>46.400000000000006</v>
          </cell>
          <cell r="U40">
            <v>1030110396</v>
          </cell>
        </row>
        <row r="41">
          <cell r="N41">
            <v>382</v>
          </cell>
          <cell r="O41" t="str">
            <v>489.00</v>
          </cell>
          <cell r="P41" t="str">
            <v>-</v>
          </cell>
          <cell r="Q41">
            <v>2</v>
          </cell>
          <cell r="R41">
            <v>57.3</v>
          </cell>
          <cell r="S41">
            <v>38.200000000000003</v>
          </cell>
          <cell r="U41">
            <v>1030106482</v>
          </cell>
        </row>
        <row r="42">
          <cell r="N42">
            <v>369</v>
          </cell>
          <cell r="O42" t="str">
            <v>490.00</v>
          </cell>
          <cell r="P42" t="str">
            <v>-</v>
          </cell>
          <cell r="Q42">
            <v>2</v>
          </cell>
          <cell r="R42">
            <v>55.35</v>
          </cell>
          <cell r="S42">
            <v>36.9</v>
          </cell>
          <cell r="U42">
            <v>1030106783</v>
          </cell>
        </row>
        <row r="43">
          <cell r="N43">
            <v>359</v>
          </cell>
          <cell r="O43" t="str">
            <v>490.00</v>
          </cell>
          <cell r="P43" t="str">
            <v>-</v>
          </cell>
          <cell r="Q43">
            <v>2</v>
          </cell>
          <cell r="R43">
            <v>53.85</v>
          </cell>
          <cell r="S43">
            <v>35.9</v>
          </cell>
          <cell r="U43">
            <v>1030108913</v>
          </cell>
        </row>
        <row r="44">
          <cell r="N44">
            <v>369</v>
          </cell>
          <cell r="O44" t="str">
            <v>520.00</v>
          </cell>
          <cell r="P44" t="str">
            <v>-</v>
          </cell>
          <cell r="Q44">
            <v>2</v>
          </cell>
          <cell r="R44">
            <v>55.35</v>
          </cell>
          <cell r="S44">
            <v>36.9</v>
          </cell>
          <cell r="U44">
            <v>1030109539</v>
          </cell>
        </row>
        <row r="45">
          <cell r="N45">
            <v>500</v>
          </cell>
          <cell r="O45" t="str">
            <v>640.00</v>
          </cell>
          <cell r="P45" t="str">
            <v>-</v>
          </cell>
          <cell r="Q45">
            <v>2</v>
          </cell>
          <cell r="R45">
            <v>75</v>
          </cell>
          <cell r="S45">
            <v>50</v>
          </cell>
          <cell r="U45">
            <v>1030108912</v>
          </cell>
        </row>
        <row r="46">
          <cell r="N46">
            <v>225</v>
          </cell>
          <cell r="O46" t="str">
            <v>460.00</v>
          </cell>
          <cell r="P46" t="str">
            <v>-</v>
          </cell>
          <cell r="Q46">
            <v>2</v>
          </cell>
          <cell r="R46">
            <v>33.75</v>
          </cell>
          <cell r="S46">
            <v>22.5</v>
          </cell>
          <cell r="U46">
            <v>1030110823</v>
          </cell>
        </row>
        <row r="47">
          <cell r="N47">
            <v>295</v>
          </cell>
          <cell r="O47" t="str">
            <v>421.00</v>
          </cell>
          <cell r="P47" t="str">
            <v>-</v>
          </cell>
          <cell r="Q47">
            <v>2</v>
          </cell>
          <cell r="R47">
            <v>44.25</v>
          </cell>
          <cell r="S47">
            <v>29.5</v>
          </cell>
          <cell r="U47">
            <v>1030105517</v>
          </cell>
        </row>
        <row r="48">
          <cell r="N48">
            <v>345</v>
          </cell>
          <cell r="O48" t="str">
            <v>460.00</v>
          </cell>
          <cell r="P48" t="str">
            <v>-</v>
          </cell>
          <cell r="Q48">
            <v>2</v>
          </cell>
          <cell r="R48">
            <v>51.75</v>
          </cell>
          <cell r="S48">
            <v>34.5</v>
          </cell>
          <cell r="U48">
            <v>1030101183</v>
          </cell>
        </row>
        <row r="49">
          <cell r="N49">
            <v>109</v>
          </cell>
          <cell r="O49" t="str">
            <v>251.00</v>
          </cell>
          <cell r="P49" t="str">
            <v>-</v>
          </cell>
          <cell r="Q49">
            <v>2</v>
          </cell>
          <cell r="R49">
            <v>16.349999999999998</v>
          </cell>
          <cell r="S49">
            <v>10.9</v>
          </cell>
          <cell r="U49">
            <v>1030100392</v>
          </cell>
        </row>
        <row r="50">
          <cell r="N50">
            <v>305</v>
          </cell>
          <cell r="O50" t="str">
            <v>410.00</v>
          </cell>
          <cell r="P50" t="str">
            <v>-</v>
          </cell>
          <cell r="Q50">
            <v>3</v>
          </cell>
          <cell r="R50">
            <v>45.75</v>
          </cell>
          <cell r="S50">
            <v>30.5</v>
          </cell>
          <cell r="U50">
            <v>1030106784</v>
          </cell>
        </row>
        <row r="51">
          <cell r="N51">
            <v>295</v>
          </cell>
          <cell r="O51" t="str">
            <v>398.00</v>
          </cell>
          <cell r="P51" t="str">
            <v>-</v>
          </cell>
          <cell r="Q51">
            <v>2</v>
          </cell>
          <cell r="R51">
            <v>44.25</v>
          </cell>
          <cell r="S51">
            <v>29.5</v>
          </cell>
          <cell r="U51">
            <v>1030106561</v>
          </cell>
        </row>
        <row r="52">
          <cell r="N52">
            <v>290</v>
          </cell>
          <cell r="O52" t="str">
            <v>414.00</v>
          </cell>
          <cell r="P52" t="str">
            <v>-</v>
          </cell>
          <cell r="Q52">
            <v>2</v>
          </cell>
          <cell r="R52">
            <v>43.5</v>
          </cell>
          <cell r="S52">
            <v>29</v>
          </cell>
          <cell r="U52">
            <v>1030100688</v>
          </cell>
        </row>
        <row r="53">
          <cell r="N53">
            <v>270</v>
          </cell>
          <cell r="O53" t="str">
            <v>420.00</v>
          </cell>
          <cell r="P53" t="str">
            <v>-</v>
          </cell>
          <cell r="Q53">
            <v>2</v>
          </cell>
          <cell r="R53">
            <v>40.5</v>
          </cell>
          <cell r="S53">
            <v>27</v>
          </cell>
          <cell r="U53">
            <v>1030100962</v>
          </cell>
        </row>
        <row r="54">
          <cell r="N54">
            <v>299</v>
          </cell>
          <cell r="O54" t="str">
            <v>410.00</v>
          </cell>
          <cell r="P54" t="str">
            <v>-</v>
          </cell>
          <cell r="Q54">
            <v>3</v>
          </cell>
          <cell r="R54">
            <v>44.85</v>
          </cell>
          <cell r="S54">
            <v>29.900000000000002</v>
          </cell>
          <cell r="U54">
            <v>1030104571</v>
          </cell>
        </row>
        <row r="55">
          <cell r="N55">
            <v>290</v>
          </cell>
          <cell r="O55" t="str">
            <v>415.00</v>
          </cell>
          <cell r="P55" t="str">
            <v>-</v>
          </cell>
          <cell r="Q55">
            <v>2</v>
          </cell>
          <cell r="R55">
            <v>43.5</v>
          </cell>
          <cell r="S55">
            <v>29</v>
          </cell>
          <cell r="U55">
            <v>1030106792</v>
          </cell>
        </row>
        <row r="56">
          <cell r="N56">
            <v>419</v>
          </cell>
          <cell r="O56" t="str">
            <v>650.00</v>
          </cell>
          <cell r="P56" t="str">
            <v>-</v>
          </cell>
          <cell r="Q56">
            <v>2</v>
          </cell>
          <cell r="R56">
            <v>62.849999999999994</v>
          </cell>
          <cell r="S56">
            <v>41.900000000000006</v>
          </cell>
          <cell r="U56">
            <v>1030110621</v>
          </cell>
        </row>
        <row r="57">
          <cell r="N57">
            <v>279</v>
          </cell>
          <cell r="O57" t="str">
            <v>420.00</v>
          </cell>
          <cell r="P57" t="str">
            <v>-</v>
          </cell>
          <cell r="Q57">
            <v>3</v>
          </cell>
          <cell r="R57">
            <v>41.85</v>
          </cell>
          <cell r="S57">
            <v>27.900000000000002</v>
          </cell>
          <cell r="U57">
            <v>1030103986</v>
          </cell>
        </row>
        <row r="58">
          <cell r="N58">
            <v>222</v>
          </cell>
          <cell r="O58" t="str">
            <v>480.00</v>
          </cell>
          <cell r="P58" t="str">
            <v>-</v>
          </cell>
          <cell r="Q58">
            <v>2</v>
          </cell>
          <cell r="R58">
            <v>33.299999999999997</v>
          </cell>
          <cell r="S58">
            <v>22.200000000000003</v>
          </cell>
          <cell r="U58">
            <v>1030104308</v>
          </cell>
        </row>
        <row r="59">
          <cell r="N59">
            <v>289</v>
          </cell>
          <cell r="O59" t="str">
            <v>393.00</v>
          </cell>
          <cell r="P59" t="str">
            <v>-</v>
          </cell>
          <cell r="Q59">
            <v>2</v>
          </cell>
          <cell r="R59">
            <v>43.35</v>
          </cell>
          <cell r="S59">
            <v>28.900000000000002</v>
          </cell>
          <cell r="U59">
            <v>1030104702</v>
          </cell>
        </row>
        <row r="60">
          <cell r="N60">
            <v>270</v>
          </cell>
          <cell r="O60" t="str">
            <v>390.00</v>
          </cell>
          <cell r="P60" t="str">
            <v>-</v>
          </cell>
          <cell r="Q60">
            <v>2</v>
          </cell>
          <cell r="R60">
            <v>40.5</v>
          </cell>
          <cell r="S60">
            <v>27</v>
          </cell>
          <cell r="U60">
            <v>1030106481</v>
          </cell>
        </row>
        <row r="61">
          <cell r="N61">
            <v>325</v>
          </cell>
          <cell r="O61" t="str">
            <v>491.00</v>
          </cell>
          <cell r="P61" t="str">
            <v>-</v>
          </cell>
          <cell r="Q61">
            <v>2</v>
          </cell>
          <cell r="R61">
            <v>48.75</v>
          </cell>
          <cell r="S61">
            <v>32.5</v>
          </cell>
          <cell r="U61">
            <v>1030110137</v>
          </cell>
        </row>
        <row r="62">
          <cell r="N62">
            <v>249</v>
          </cell>
          <cell r="O62" t="str">
            <v>379.00</v>
          </cell>
          <cell r="P62" t="str">
            <v>-</v>
          </cell>
          <cell r="Q62">
            <v>2</v>
          </cell>
          <cell r="R62">
            <v>37.35</v>
          </cell>
          <cell r="S62">
            <v>24.900000000000002</v>
          </cell>
          <cell r="U62">
            <v>1030106388</v>
          </cell>
        </row>
        <row r="63">
          <cell r="N63">
            <v>425</v>
          </cell>
          <cell r="O63" t="str">
            <v>570.00</v>
          </cell>
          <cell r="P63" t="str">
            <v>-</v>
          </cell>
          <cell r="Q63">
            <v>2</v>
          </cell>
          <cell r="R63">
            <v>63.75</v>
          </cell>
          <cell r="S63">
            <v>42.5</v>
          </cell>
          <cell r="U63">
            <v>1030109521</v>
          </cell>
        </row>
        <row r="64">
          <cell r="N64">
            <v>260</v>
          </cell>
          <cell r="O64" t="str">
            <v>384.00</v>
          </cell>
          <cell r="P64" t="str">
            <v>-</v>
          </cell>
          <cell r="Q64">
            <v>2</v>
          </cell>
          <cell r="R64">
            <v>39</v>
          </cell>
          <cell r="S64">
            <v>26</v>
          </cell>
          <cell r="U64">
            <v>1030105910</v>
          </cell>
        </row>
        <row r="65">
          <cell r="N65">
            <v>379</v>
          </cell>
          <cell r="O65" t="str">
            <v>529.00</v>
          </cell>
          <cell r="P65" t="str">
            <v>-</v>
          </cell>
          <cell r="Q65">
            <v>2</v>
          </cell>
          <cell r="R65">
            <v>56.85</v>
          </cell>
          <cell r="S65">
            <v>37.9</v>
          </cell>
          <cell r="U65">
            <v>1030110985</v>
          </cell>
        </row>
        <row r="66">
          <cell r="N66">
            <v>200</v>
          </cell>
          <cell r="O66" t="str">
            <v>340.00</v>
          </cell>
          <cell r="P66" t="str">
            <v>-</v>
          </cell>
          <cell r="Q66">
            <v>2</v>
          </cell>
          <cell r="R66">
            <v>30</v>
          </cell>
          <cell r="S66">
            <v>20</v>
          </cell>
          <cell r="U66">
            <v>1030111036</v>
          </cell>
        </row>
        <row r="67">
          <cell r="N67">
            <v>239</v>
          </cell>
          <cell r="O67" t="str">
            <v>399.00</v>
          </cell>
          <cell r="P67" t="str">
            <v>-</v>
          </cell>
          <cell r="Q67">
            <v>2</v>
          </cell>
          <cell r="R67">
            <v>35.85</v>
          </cell>
          <cell r="S67">
            <v>23.900000000000002</v>
          </cell>
          <cell r="U67">
            <v>1030109413</v>
          </cell>
        </row>
        <row r="68">
          <cell r="N68">
            <v>385</v>
          </cell>
          <cell r="O68" t="str">
            <v>788.00</v>
          </cell>
          <cell r="P68" t="str">
            <v>-</v>
          </cell>
          <cell r="Q68">
            <v>2</v>
          </cell>
          <cell r="R68">
            <v>57.75</v>
          </cell>
          <cell r="S68">
            <v>38.5</v>
          </cell>
          <cell r="U68">
            <v>1030110480</v>
          </cell>
        </row>
        <row r="69">
          <cell r="N69">
            <v>395</v>
          </cell>
          <cell r="O69" t="str">
            <v>559.00</v>
          </cell>
          <cell r="P69" t="str">
            <v>-</v>
          </cell>
          <cell r="Q69">
            <v>2</v>
          </cell>
          <cell r="R69">
            <v>59.25</v>
          </cell>
          <cell r="S69">
            <v>39.5</v>
          </cell>
          <cell r="U69">
            <v>1030110492</v>
          </cell>
        </row>
        <row r="70">
          <cell r="N70">
            <v>229</v>
          </cell>
          <cell r="O70" t="str">
            <v>320.00</v>
          </cell>
          <cell r="P70" t="str">
            <v>-</v>
          </cell>
          <cell r="Q70">
            <v>2</v>
          </cell>
          <cell r="R70">
            <v>34.35</v>
          </cell>
          <cell r="S70">
            <v>22.900000000000002</v>
          </cell>
          <cell r="U70">
            <v>1030104638</v>
          </cell>
        </row>
        <row r="71">
          <cell r="N71">
            <v>129</v>
          </cell>
          <cell r="O71" t="str">
            <v>290.00</v>
          </cell>
          <cell r="P71" t="str">
            <v>-</v>
          </cell>
          <cell r="Q71">
            <v>2</v>
          </cell>
          <cell r="R71">
            <v>19.349999999999998</v>
          </cell>
          <cell r="S71">
            <v>12.9</v>
          </cell>
          <cell r="U71">
            <v>1030106714</v>
          </cell>
        </row>
        <row r="72">
          <cell r="N72">
            <v>229</v>
          </cell>
          <cell r="O72" t="str">
            <v>310.00</v>
          </cell>
          <cell r="P72" t="str">
            <v>-</v>
          </cell>
          <cell r="Q72">
            <v>2</v>
          </cell>
          <cell r="R72">
            <v>34.35</v>
          </cell>
          <cell r="S72">
            <v>22.900000000000002</v>
          </cell>
          <cell r="U72">
            <v>1030106288</v>
          </cell>
        </row>
        <row r="73">
          <cell r="N73">
            <v>305</v>
          </cell>
          <cell r="O73" t="str">
            <v>580.00</v>
          </cell>
          <cell r="P73" t="str">
            <v>-</v>
          </cell>
          <cell r="Q73">
            <v>2</v>
          </cell>
          <cell r="R73">
            <v>45.75</v>
          </cell>
          <cell r="S73">
            <v>30.5</v>
          </cell>
          <cell r="U73">
            <v>1030110383</v>
          </cell>
        </row>
        <row r="74">
          <cell r="N74">
            <v>139</v>
          </cell>
          <cell r="O74" t="str">
            <v>232.00</v>
          </cell>
          <cell r="P74" t="str">
            <v>-</v>
          </cell>
          <cell r="Q74">
            <v>2</v>
          </cell>
          <cell r="R74">
            <v>20.849999999999998</v>
          </cell>
          <cell r="S74">
            <v>13.9</v>
          </cell>
          <cell r="U74">
            <v>1030103164</v>
          </cell>
        </row>
        <row r="75">
          <cell r="N75">
            <v>165</v>
          </cell>
          <cell r="O75" t="str">
            <v>240.00</v>
          </cell>
          <cell r="P75" t="str">
            <v>-</v>
          </cell>
          <cell r="Q75">
            <v>2</v>
          </cell>
          <cell r="R75">
            <v>24.75</v>
          </cell>
          <cell r="S75">
            <v>16.5</v>
          </cell>
          <cell r="U75">
            <v>1030110132</v>
          </cell>
        </row>
        <row r="76">
          <cell r="N76">
            <v>229</v>
          </cell>
          <cell r="O76" t="str">
            <v>316.00</v>
          </cell>
          <cell r="P76" t="str">
            <v>-</v>
          </cell>
          <cell r="Q76">
            <v>2</v>
          </cell>
          <cell r="R76">
            <v>34.35</v>
          </cell>
          <cell r="S76">
            <v>22.900000000000002</v>
          </cell>
          <cell r="U76">
            <v>1030104623</v>
          </cell>
        </row>
        <row r="77">
          <cell r="N77">
            <v>239</v>
          </cell>
          <cell r="O77" t="str">
            <v>427.00</v>
          </cell>
          <cell r="P77" t="str">
            <v>-</v>
          </cell>
          <cell r="Q77">
            <v>2</v>
          </cell>
          <cell r="R77">
            <v>35.85</v>
          </cell>
          <cell r="S77">
            <v>23.900000000000002</v>
          </cell>
          <cell r="U77">
            <v>1030110140</v>
          </cell>
        </row>
        <row r="78">
          <cell r="N78">
            <v>265</v>
          </cell>
          <cell r="O78" t="str">
            <v>491.00</v>
          </cell>
          <cell r="P78" t="str">
            <v>-</v>
          </cell>
          <cell r="Q78">
            <v>2</v>
          </cell>
          <cell r="R78">
            <v>39.75</v>
          </cell>
          <cell r="S78">
            <v>26.5</v>
          </cell>
          <cell r="U78">
            <v>1030102362</v>
          </cell>
        </row>
        <row r="79">
          <cell r="N79">
            <v>222</v>
          </cell>
          <cell r="O79" t="str">
            <v>390.00</v>
          </cell>
          <cell r="P79" t="str">
            <v>-</v>
          </cell>
          <cell r="Q79">
            <v>2</v>
          </cell>
          <cell r="R79">
            <v>33.299999999999997</v>
          </cell>
          <cell r="S79">
            <v>22.200000000000003</v>
          </cell>
          <cell r="U79">
            <v>1030100060</v>
          </cell>
        </row>
        <row r="80">
          <cell r="N80">
            <v>235</v>
          </cell>
          <cell r="O80" t="str">
            <v>339.00</v>
          </cell>
          <cell r="P80" t="str">
            <v>-</v>
          </cell>
          <cell r="Q80">
            <v>2</v>
          </cell>
          <cell r="R80">
            <v>35.25</v>
          </cell>
          <cell r="S80">
            <v>23.5</v>
          </cell>
          <cell r="U80">
            <v>1030103536</v>
          </cell>
        </row>
        <row r="81">
          <cell r="N81">
            <v>242</v>
          </cell>
          <cell r="O81" t="str">
            <v>350.00</v>
          </cell>
          <cell r="P81" t="str">
            <v>-</v>
          </cell>
          <cell r="Q81">
            <v>2</v>
          </cell>
          <cell r="R81">
            <v>36.299999999999997</v>
          </cell>
          <cell r="S81">
            <v>24.200000000000003</v>
          </cell>
          <cell r="U81">
            <v>1030104602</v>
          </cell>
        </row>
        <row r="82">
          <cell r="N82">
            <v>222</v>
          </cell>
          <cell r="O82" t="str">
            <v>301.00</v>
          </cell>
          <cell r="P82" t="str">
            <v>-</v>
          </cell>
          <cell r="Q82">
            <v>2</v>
          </cell>
          <cell r="R82">
            <v>33.299999999999997</v>
          </cell>
          <cell r="S82">
            <v>22.200000000000003</v>
          </cell>
          <cell r="U82">
            <v>1030104636</v>
          </cell>
        </row>
        <row r="83">
          <cell r="N83">
            <v>272</v>
          </cell>
          <cell r="O83" t="str">
            <v>480.00</v>
          </cell>
          <cell r="P83" t="str">
            <v>-</v>
          </cell>
          <cell r="Q83">
            <v>2</v>
          </cell>
          <cell r="R83">
            <v>40.799999999999997</v>
          </cell>
          <cell r="S83">
            <v>27.200000000000003</v>
          </cell>
          <cell r="U83">
            <v>1030101756</v>
          </cell>
        </row>
        <row r="84">
          <cell r="N84">
            <v>296</v>
          </cell>
          <cell r="O84" t="str">
            <v>490.00</v>
          </cell>
          <cell r="P84" t="str">
            <v>-</v>
          </cell>
          <cell r="Q84">
            <v>2</v>
          </cell>
          <cell r="R84">
            <v>44.4</v>
          </cell>
          <cell r="S84">
            <v>29.6</v>
          </cell>
          <cell r="U84">
            <v>1030110379</v>
          </cell>
        </row>
        <row r="85">
          <cell r="N85">
            <v>369</v>
          </cell>
          <cell r="O85" t="str">
            <v>731.00</v>
          </cell>
          <cell r="P85" t="str">
            <v>-</v>
          </cell>
          <cell r="Q85">
            <v>2</v>
          </cell>
          <cell r="R85">
            <v>55.35</v>
          </cell>
          <cell r="S85">
            <v>36.9</v>
          </cell>
          <cell r="U85">
            <v>1030110617</v>
          </cell>
        </row>
        <row r="86">
          <cell r="N86">
            <v>160</v>
          </cell>
          <cell r="O86" t="str">
            <v>298.00</v>
          </cell>
          <cell r="P86" t="str">
            <v>-</v>
          </cell>
          <cell r="Q86">
            <v>2</v>
          </cell>
          <cell r="R86">
            <v>24</v>
          </cell>
          <cell r="S86">
            <v>16</v>
          </cell>
          <cell r="U86">
            <v>1030103038</v>
          </cell>
        </row>
        <row r="87">
          <cell r="N87">
            <v>299</v>
          </cell>
          <cell r="O87" t="str">
            <v>575.00</v>
          </cell>
          <cell r="P87" t="str">
            <v>-</v>
          </cell>
          <cell r="Q87">
            <v>2</v>
          </cell>
          <cell r="R87">
            <v>44.85</v>
          </cell>
          <cell r="S87">
            <v>29.900000000000002</v>
          </cell>
          <cell r="U87">
            <v>1030110425</v>
          </cell>
        </row>
        <row r="88">
          <cell r="N88">
            <v>215</v>
          </cell>
          <cell r="O88" t="str">
            <v>301.00</v>
          </cell>
          <cell r="P88" t="str">
            <v>-</v>
          </cell>
          <cell r="Q88">
            <v>2</v>
          </cell>
          <cell r="R88">
            <v>32.25</v>
          </cell>
          <cell r="S88">
            <v>21.5</v>
          </cell>
          <cell r="U88">
            <v>1030109978</v>
          </cell>
        </row>
        <row r="89">
          <cell r="N89">
            <v>235</v>
          </cell>
          <cell r="O89" t="str">
            <v>493.00</v>
          </cell>
          <cell r="P89" t="str">
            <v>-</v>
          </cell>
          <cell r="Q89">
            <v>2</v>
          </cell>
          <cell r="R89">
            <v>35.25</v>
          </cell>
          <cell r="S89">
            <v>23.5</v>
          </cell>
          <cell r="U89">
            <v>1030110335</v>
          </cell>
        </row>
        <row r="90">
          <cell r="N90">
            <v>264</v>
          </cell>
          <cell r="O90" t="str">
            <v>425.00</v>
          </cell>
          <cell r="P90" t="str">
            <v>-</v>
          </cell>
          <cell r="Q90">
            <v>2</v>
          </cell>
          <cell r="R90">
            <v>39.6</v>
          </cell>
          <cell r="S90">
            <v>26.400000000000002</v>
          </cell>
          <cell r="U90">
            <v>1030109528</v>
          </cell>
        </row>
        <row r="91">
          <cell r="N91">
            <v>185</v>
          </cell>
          <cell r="O91" t="str">
            <v>320.00</v>
          </cell>
          <cell r="P91" t="str">
            <v>-</v>
          </cell>
          <cell r="Q91">
            <v>2</v>
          </cell>
          <cell r="R91">
            <v>27.75</v>
          </cell>
          <cell r="S91">
            <v>18.5</v>
          </cell>
          <cell r="U91">
            <v>1030103030</v>
          </cell>
        </row>
        <row r="92">
          <cell r="N92">
            <v>165</v>
          </cell>
          <cell r="O92" t="str">
            <v>270.00</v>
          </cell>
          <cell r="P92" t="str">
            <v>-</v>
          </cell>
          <cell r="Q92">
            <v>2</v>
          </cell>
          <cell r="R92">
            <v>24.75</v>
          </cell>
          <cell r="S92">
            <v>16.5</v>
          </cell>
          <cell r="U92">
            <v>1030104945</v>
          </cell>
        </row>
        <row r="93">
          <cell r="N93">
            <v>165</v>
          </cell>
          <cell r="O93" t="str">
            <v>409.00</v>
          </cell>
          <cell r="P93" t="str">
            <v>-</v>
          </cell>
          <cell r="Q93">
            <v>2</v>
          </cell>
          <cell r="R93">
            <v>24.75</v>
          </cell>
          <cell r="S93">
            <v>16.5</v>
          </cell>
          <cell r="U93">
            <v>1030103764</v>
          </cell>
        </row>
        <row r="94">
          <cell r="N94">
            <v>140</v>
          </cell>
          <cell r="O94" t="str">
            <v>302.00</v>
          </cell>
          <cell r="P94" t="str">
            <v>-</v>
          </cell>
          <cell r="Q94">
            <v>2</v>
          </cell>
          <cell r="R94">
            <v>21</v>
          </cell>
          <cell r="S94">
            <v>14</v>
          </cell>
          <cell r="U94">
            <v>1030101265</v>
          </cell>
        </row>
        <row r="95">
          <cell r="N95">
            <v>110</v>
          </cell>
          <cell r="O95" t="str">
            <v>239.00</v>
          </cell>
          <cell r="P95" t="str">
            <v>-</v>
          </cell>
          <cell r="Q95">
            <v>2</v>
          </cell>
          <cell r="R95">
            <v>16.5</v>
          </cell>
          <cell r="S95">
            <v>11</v>
          </cell>
          <cell r="U95">
            <v>1030103563</v>
          </cell>
        </row>
        <row r="96">
          <cell r="N96">
            <v>259</v>
          </cell>
          <cell r="O96" t="str">
            <v>490.00</v>
          </cell>
          <cell r="P96" t="str">
            <v>-</v>
          </cell>
          <cell r="Q96">
            <v>2</v>
          </cell>
          <cell r="R96">
            <v>38.85</v>
          </cell>
          <cell r="S96">
            <v>25.900000000000002</v>
          </cell>
          <cell r="U96">
            <v>1030108935</v>
          </cell>
        </row>
        <row r="97">
          <cell r="N97">
            <v>222</v>
          </cell>
          <cell r="O97" t="str">
            <v>510.00</v>
          </cell>
          <cell r="P97" t="str">
            <v>-</v>
          </cell>
          <cell r="Q97">
            <v>2</v>
          </cell>
          <cell r="R97">
            <v>33.299999999999997</v>
          </cell>
          <cell r="S97">
            <v>22.200000000000003</v>
          </cell>
          <cell r="U97">
            <v>1030106330</v>
          </cell>
        </row>
        <row r="98">
          <cell r="N98">
            <v>300</v>
          </cell>
          <cell r="O98" t="str">
            <v>529.00</v>
          </cell>
          <cell r="P98" t="str">
            <v>-</v>
          </cell>
          <cell r="Q98">
            <v>2</v>
          </cell>
          <cell r="R98">
            <v>45</v>
          </cell>
          <cell r="S98">
            <v>30</v>
          </cell>
          <cell r="U98">
            <v>1030109795</v>
          </cell>
        </row>
        <row r="99">
          <cell r="N99">
            <v>160</v>
          </cell>
          <cell r="O99" t="str">
            <v>290.00</v>
          </cell>
          <cell r="P99" t="str">
            <v>-</v>
          </cell>
          <cell r="Q99">
            <v>2</v>
          </cell>
          <cell r="R99">
            <v>24</v>
          </cell>
          <cell r="S99">
            <v>16</v>
          </cell>
          <cell r="U99">
            <v>1030101940</v>
          </cell>
        </row>
        <row r="100">
          <cell r="N100">
            <v>113</v>
          </cell>
          <cell r="O100" t="str">
            <v>250.00</v>
          </cell>
          <cell r="P100" t="str">
            <v>-</v>
          </cell>
          <cell r="Q100">
            <v>2</v>
          </cell>
          <cell r="R100">
            <v>16.95</v>
          </cell>
          <cell r="S100">
            <v>11.3</v>
          </cell>
          <cell r="U100">
            <v>1030105267</v>
          </cell>
        </row>
        <row r="101">
          <cell r="N101">
            <v>168</v>
          </cell>
          <cell r="O101" t="str">
            <v>264.00</v>
          </cell>
          <cell r="P101" t="str">
            <v>-</v>
          </cell>
          <cell r="Q101">
            <v>2</v>
          </cell>
          <cell r="R101">
            <v>25.2</v>
          </cell>
          <cell r="S101">
            <v>16.8</v>
          </cell>
          <cell r="U101">
            <v>1030106266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M RECON"/>
      <sheetName val="Discount RM "/>
      <sheetName val="Sheet1 (2)"/>
      <sheetName val="Sheet1"/>
    </sheetNames>
    <sheetDataSet>
      <sheetData sheetId="0"/>
      <sheetData sheetId="1">
        <row r="1">
          <cell r="A1" t="str">
            <v>تاريخ</v>
          </cell>
          <cell r="B1" t="str">
            <v>time</v>
          </cell>
          <cell r="C1" t="str">
            <v>المعرف</v>
          </cell>
          <cell r="D1" t="str">
            <v>رمز المنتج</v>
          </cell>
          <cell r="E1" t="str">
            <v>رمز البائع</v>
          </cell>
          <cell r="F1" t="str">
            <v>رمز النمط</v>
          </cell>
          <cell r="G1" t="str">
            <v>barcode</v>
          </cell>
          <cell r="H1" t="str">
            <v>العلامة التجارية</v>
          </cell>
          <cell r="I1" t="str">
            <v>عنوان المنتج</v>
          </cell>
          <cell r="J1" t="str">
            <v>الفئة العليا</v>
          </cell>
          <cell r="K1" t="str">
            <v>الفئة</v>
          </cell>
          <cell r="L1" t="str">
            <v>الفئة الفرعية</v>
          </cell>
          <cell r="M1" t="str">
            <v>مباشر</v>
          </cell>
          <cell r="N1" t="str">
            <v>سعر العرض</v>
          </cell>
          <cell r="O1" t="str">
            <v>msrp</v>
          </cell>
          <cell r="P1" t="str">
            <v>سبب عدم البث المباشر</v>
          </cell>
          <cell r="Q1" t="str">
            <v>عدد الصور</v>
          </cell>
          <cell r="R1" t="str">
            <v>15% Commission (Current Standard)</v>
          </cell>
          <cell r="S1" t="str">
            <v>10% Commission (To be charged till 8th Aug)</v>
          </cell>
          <cell r="T1" t="str">
            <v>Difference</v>
          </cell>
          <cell r="U1" t="str">
            <v>رمز البائع</v>
          </cell>
        </row>
        <row r="2">
          <cell r="A2" t="str">
            <v>12 May, 2026</v>
          </cell>
          <cell r="B2" t="str">
            <v>12:49:59 PM</v>
          </cell>
          <cell r="C2">
            <v>214865</v>
          </cell>
          <cell r="D2" t="str">
            <v>SG2073169OKSU1F9B</v>
          </cell>
          <cell r="E2">
            <v>1030104572</v>
          </cell>
          <cell r="F2" t="str">
            <v>SG2073169OKSU1F9B</v>
          </cell>
          <cell r="G2">
            <v>4011700917020</v>
          </cell>
          <cell r="H2" t="str">
            <v>Baldessarini</v>
          </cell>
          <cell r="I2" t="str">
            <v>عطر بالديساريني سيكريت ميشين للرجال - 90 مل - أو دي تواليت</v>
          </cell>
          <cell r="J2" t="str">
            <v>الجمال والصحة</v>
          </cell>
          <cell r="K2" t="str">
            <v>العطور</v>
          </cell>
          <cell r="L2" t="str">
            <v>Eau De Toilette</v>
          </cell>
          <cell r="M2" t="str">
            <v>Yes</v>
          </cell>
          <cell r="N2">
            <v>110</v>
          </cell>
          <cell r="O2" t="str">
            <v>372.00</v>
          </cell>
          <cell r="P2" t="str">
            <v>-</v>
          </cell>
          <cell r="Q2">
            <v>3</v>
          </cell>
          <cell r="R2">
            <v>16.5</v>
          </cell>
          <cell r="S2">
            <v>11</v>
          </cell>
          <cell r="T2">
            <v>5.5</v>
          </cell>
          <cell r="U2">
            <v>1030104572</v>
          </cell>
        </row>
        <row r="3">
          <cell r="A3" t="str">
            <v>16 May, 2026</v>
          </cell>
          <cell r="B3" t="str">
            <v>11:42:22 AM</v>
          </cell>
          <cell r="C3">
            <v>215729</v>
          </cell>
          <cell r="D3" t="str">
            <v>SG207316811JDFDEF</v>
          </cell>
          <cell r="E3">
            <v>1030110619</v>
          </cell>
          <cell r="F3" t="str">
            <v>SG207316811JDFDEF</v>
          </cell>
          <cell r="G3">
            <v>3760260454346</v>
          </cell>
          <cell r="H3" t="str">
            <v>Montale</v>
          </cell>
          <cell r="I3" t="str">
            <v>عطر مونتال الفوشي روز مسك انتنس – أو دو بارفيوم – 100 مل</v>
          </cell>
          <cell r="J3" t="str">
            <v>الجمال والصحة</v>
          </cell>
          <cell r="K3" t="str">
            <v>العطور</v>
          </cell>
          <cell r="L3" t="str">
            <v>Eau De Parfum</v>
          </cell>
          <cell r="M3" t="str">
            <v>Yes</v>
          </cell>
          <cell r="N3">
            <v>199</v>
          </cell>
          <cell r="O3" t="str">
            <v>680.00</v>
          </cell>
          <cell r="P3" t="str">
            <v>-</v>
          </cell>
          <cell r="Q3">
            <v>2</v>
          </cell>
          <cell r="R3">
            <v>29.849999999999998</v>
          </cell>
          <cell r="S3">
            <v>19.900000000000002</v>
          </cell>
          <cell r="T3">
            <v>9.9499999999999957</v>
          </cell>
          <cell r="U3">
            <v>1030110619</v>
          </cell>
        </row>
        <row r="4">
          <cell r="A4" t="str">
            <v>16 May, 2026</v>
          </cell>
          <cell r="B4" t="str">
            <v>11:42:22 AM</v>
          </cell>
          <cell r="C4">
            <v>215824</v>
          </cell>
          <cell r="D4" t="str">
            <v>SG207316811PR95B5</v>
          </cell>
          <cell r="E4">
            <v>1030110665</v>
          </cell>
          <cell r="F4" t="str">
            <v>SG207316811PR95B5</v>
          </cell>
          <cell r="G4">
            <v>3349668630264</v>
          </cell>
          <cell r="H4" t="str">
            <v>Paco Rabanne</v>
          </cell>
          <cell r="I4" t="str">
            <v>عطر باكو رابان مليون قولد فور هير -او دو بارفيوم -90مل</v>
          </cell>
          <cell r="J4" t="str">
            <v>الجمال والصحة</v>
          </cell>
          <cell r="K4" t="str">
            <v>العطور</v>
          </cell>
          <cell r="L4" t="str">
            <v>Eau De Parfum</v>
          </cell>
          <cell r="M4" t="str">
            <v>Yes</v>
          </cell>
          <cell r="N4">
            <v>375</v>
          </cell>
          <cell r="O4" t="str">
            <v>735.00</v>
          </cell>
          <cell r="P4" t="str">
            <v>-</v>
          </cell>
          <cell r="Q4">
            <v>2</v>
          </cell>
          <cell r="R4">
            <v>56.25</v>
          </cell>
          <cell r="S4">
            <v>37.5</v>
          </cell>
          <cell r="T4">
            <v>18.75</v>
          </cell>
          <cell r="U4">
            <v>1030110665</v>
          </cell>
        </row>
        <row r="5">
          <cell r="A5" t="str">
            <v>16 May, 2026</v>
          </cell>
          <cell r="B5" t="str">
            <v>11:42:22 AM</v>
          </cell>
          <cell r="C5">
            <v>215822</v>
          </cell>
          <cell r="D5" t="str">
            <v>SG207316811PL930A</v>
          </cell>
          <cell r="E5">
            <v>1030110077</v>
          </cell>
          <cell r="F5" t="str">
            <v>SG207316811PL930A</v>
          </cell>
          <cell r="G5">
            <v>3614274150926</v>
          </cell>
          <cell r="H5" t="str">
            <v>Giorgio Armani</v>
          </cell>
          <cell r="I5" t="str">
            <v>عطر أرماني سي باشن إنتنس – أو دو بارفيوم – 100 مل</v>
          </cell>
          <cell r="J5" t="str">
            <v>الجمال والصحة</v>
          </cell>
          <cell r="K5" t="str">
            <v>العطور</v>
          </cell>
          <cell r="L5" t="str">
            <v>Eau De Parfum</v>
          </cell>
          <cell r="M5" t="str">
            <v>Yes</v>
          </cell>
          <cell r="N5">
            <v>399</v>
          </cell>
          <cell r="O5" t="str">
            <v>678.00</v>
          </cell>
          <cell r="P5" t="str">
            <v>-</v>
          </cell>
          <cell r="Q5">
            <v>2</v>
          </cell>
          <cell r="R5">
            <v>59.849999999999994</v>
          </cell>
          <cell r="S5">
            <v>39.900000000000006</v>
          </cell>
          <cell r="T5">
            <v>19.949999999999989</v>
          </cell>
          <cell r="U5">
            <v>1030110077</v>
          </cell>
        </row>
        <row r="6">
          <cell r="A6" t="str">
            <v>12 May, 2026</v>
          </cell>
          <cell r="B6" t="str">
            <v>12:49:59 PM</v>
          </cell>
          <cell r="C6">
            <v>215004</v>
          </cell>
          <cell r="D6" t="str">
            <v>SG2073168OL0203D5</v>
          </cell>
          <cell r="E6">
            <v>1030105362</v>
          </cell>
          <cell r="F6" t="str">
            <v>SG2073168OL0203D5</v>
          </cell>
          <cell r="G6">
            <v>3614228220897</v>
          </cell>
          <cell r="H6" t="str">
            <v>Hugo Boss</v>
          </cell>
          <cell r="I6" t="str">
            <v>عطر هوغو بوس بوتلد إنفينيت – أو دو بارفيوم – 100 مل</v>
          </cell>
          <cell r="J6" t="str">
            <v>الجمال والصحة</v>
          </cell>
          <cell r="K6" t="str">
            <v>العطور</v>
          </cell>
          <cell r="L6" t="str">
            <v>Eau De Parfum</v>
          </cell>
          <cell r="M6" t="str">
            <v>Yes</v>
          </cell>
          <cell r="N6">
            <v>189</v>
          </cell>
          <cell r="O6" t="str">
            <v>409.00</v>
          </cell>
          <cell r="P6" t="str">
            <v>-</v>
          </cell>
          <cell r="Q6">
            <v>2</v>
          </cell>
          <cell r="R6">
            <v>28.349999999999998</v>
          </cell>
          <cell r="S6">
            <v>18.900000000000002</v>
          </cell>
          <cell r="T6">
            <v>9.4499999999999957</v>
          </cell>
          <cell r="U6">
            <v>1030105362</v>
          </cell>
        </row>
        <row r="7">
          <cell r="A7" t="str">
            <v>12 May, 2026</v>
          </cell>
          <cell r="B7" t="str">
            <v>12:49:59 PM</v>
          </cell>
          <cell r="C7">
            <v>214879</v>
          </cell>
          <cell r="D7" t="str">
            <v>SG2073169OKTLB8E2</v>
          </cell>
          <cell r="E7">
            <v>1030109827</v>
          </cell>
          <cell r="F7" t="str">
            <v>SG2073169OKTLB8E2</v>
          </cell>
          <cell r="G7">
            <v>8411061923245</v>
          </cell>
          <cell r="H7" t="str">
            <v>Carolina Herrera</v>
          </cell>
          <cell r="I7" t="str">
            <v>عطر كارولينا هيريرا باد بوي للرجال - 100 مل - أو دو تواليت</v>
          </cell>
          <cell r="J7" t="str">
            <v>الجمال والصحة</v>
          </cell>
          <cell r="K7" t="str">
            <v>العطور</v>
          </cell>
          <cell r="L7" t="str">
            <v>Eau De Toilette</v>
          </cell>
          <cell r="M7" t="str">
            <v>Yes</v>
          </cell>
          <cell r="N7">
            <v>299</v>
          </cell>
          <cell r="O7" t="str">
            <v>450.00</v>
          </cell>
          <cell r="P7" t="str">
            <v>-</v>
          </cell>
          <cell r="Q7">
            <v>2</v>
          </cell>
          <cell r="R7">
            <v>44.85</v>
          </cell>
          <cell r="S7">
            <v>29.900000000000002</v>
          </cell>
          <cell r="T7">
            <v>14.95</v>
          </cell>
          <cell r="U7">
            <v>1030109827</v>
          </cell>
        </row>
        <row r="8">
          <cell r="A8" t="str">
            <v>12 May, 2026</v>
          </cell>
          <cell r="B8" t="str">
            <v>12:49:59 PM</v>
          </cell>
          <cell r="C8">
            <v>214922</v>
          </cell>
          <cell r="D8" t="str">
            <v>SG2073168OKWCBD16</v>
          </cell>
          <cell r="E8">
            <v>1030110728</v>
          </cell>
          <cell r="F8" t="str">
            <v>SG2073168OKWCBD16</v>
          </cell>
          <cell r="G8">
            <v>3349668630349</v>
          </cell>
          <cell r="H8" t="str">
            <v>Paco Rabanne</v>
          </cell>
          <cell r="I8" t="str">
            <v>عطر باكو رابان  مليون قولد – أو دو بارفيوم إنتنس – 100 مل</v>
          </cell>
          <cell r="J8" t="str">
            <v>الجمال والصحة</v>
          </cell>
          <cell r="K8" t="str">
            <v>العطور</v>
          </cell>
          <cell r="L8" t="str">
            <v>Eau De Parfum</v>
          </cell>
          <cell r="M8" t="str">
            <v>Yes</v>
          </cell>
          <cell r="N8">
            <v>339</v>
          </cell>
          <cell r="O8" t="str">
            <v>610.00</v>
          </cell>
          <cell r="P8" t="str">
            <v>-</v>
          </cell>
          <cell r="Q8">
            <v>2</v>
          </cell>
          <cell r="R8">
            <v>50.85</v>
          </cell>
          <cell r="S8">
            <v>33.9</v>
          </cell>
          <cell r="T8">
            <v>16.950000000000003</v>
          </cell>
          <cell r="U8">
            <v>1030110728</v>
          </cell>
        </row>
        <row r="9">
          <cell r="A9" t="str">
            <v>12 May, 2026</v>
          </cell>
          <cell r="B9" t="str">
            <v>12:49:59 PM</v>
          </cell>
          <cell r="C9">
            <v>215020</v>
          </cell>
          <cell r="D9" t="str">
            <v>SG2073168OL0QD4CD</v>
          </cell>
          <cell r="E9">
            <v>1030110426</v>
          </cell>
          <cell r="F9" t="str">
            <v>SG2073168OL0QD4CD</v>
          </cell>
          <cell r="G9">
            <v>3614273852814</v>
          </cell>
          <cell r="H9" t="str">
            <v>Yves Saint Laurent</v>
          </cell>
          <cell r="I9" t="str">
            <v>عطر ايف سان لوران ماي سيلف او دو بارفيوم 100مل</v>
          </cell>
          <cell r="J9" t="str">
            <v>الجمال والصحة</v>
          </cell>
          <cell r="K9" t="str">
            <v>العطور</v>
          </cell>
          <cell r="L9" t="str">
            <v>Eau De Parfum</v>
          </cell>
          <cell r="M9" t="str">
            <v>Yes</v>
          </cell>
          <cell r="N9">
            <v>399</v>
          </cell>
          <cell r="O9" t="str">
            <v>598.00</v>
          </cell>
          <cell r="P9" t="str">
            <v>-</v>
          </cell>
          <cell r="Q9">
            <v>2</v>
          </cell>
          <cell r="R9">
            <v>59.849999999999994</v>
          </cell>
          <cell r="S9">
            <v>39.900000000000006</v>
          </cell>
          <cell r="T9">
            <v>19.949999999999989</v>
          </cell>
          <cell r="U9">
            <v>1030110426</v>
          </cell>
        </row>
        <row r="10">
          <cell r="A10" t="str">
            <v>16 May, 2026</v>
          </cell>
          <cell r="B10" t="str">
            <v>11:42:22 AM</v>
          </cell>
          <cell r="C10">
            <v>215645</v>
          </cell>
          <cell r="D10" t="str">
            <v>SG207316811DRE1CF</v>
          </cell>
          <cell r="E10">
            <v>1030106469</v>
          </cell>
          <cell r="F10" t="str">
            <v>SG207316811DRE1CF</v>
          </cell>
          <cell r="G10">
            <v>737052785172</v>
          </cell>
          <cell r="H10" t="str">
            <v>Dolce &amp; Gabbana</v>
          </cell>
          <cell r="I10" t="str">
            <v>عطر دولتشي أند غابانا فيلفت روز للنساء - 50 مل - أو دي بارفيوم</v>
          </cell>
          <cell r="J10" t="str">
            <v>الجمال والصحة</v>
          </cell>
          <cell r="K10" t="str">
            <v>العطور</v>
          </cell>
          <cell r="L10" t="str">
            <v>Eau De Parfum</v>
          </cell>
          <cell r="M10" t="str">
            <v>Yes</v>
          </cell>
          <cell r="N10">
            <v>799</v>
          </cell>
          <cell r="O10" t="str">
            <v>999.00</v>
          </cell>
          <cell r="P10" t="str">
            <v>-</v>
          </cell>
          <cell r="Q10">
            <v>2</v>
          </cell>
          <cell r="R10">
            <v>119.85</v>
          </cell>
          <cell r="S10">
            <v>79.900000000000006</v>
          </cell>
          <cell r="T10">
            <v>39.949999999999989</v>
          </cell>
          <cell r="U10">
            <v>1030106469</v>
          </cell>
        </row>
        <row r="11">
          <cell r="A11" t="str">
            <v>12 May, 2026</v>
          </cell>
          <cell r="B11" t="str">
            <v>12:49:59 PM</v>
          </cell>
          <cell r="C11">
            <v>214940</v>
          </cell>
          <cell r="D11" t="str">
            <v>SG2073175OKXA7232</v>
          </cell>
          <cell r="E11">
            <v>1030110513</v>
          </cell>
          <cell r="F11" t="str">
            <v>SG2073175OKXA7232</v>
          </cell>
          <cell r="G11">
            <v>3616304175893</v>
          </cell>
          <cell r="H11" t="str">
            <v>Gucci</v>
          </cell>
          <cell r="I11" t="str">
            <v>عطر غوتشي غيلتي- إكسير دو بارفيوم – 60مل</v>
          </cell>
          <cell r="J11" t="str">
            <v>الجمال والصحة</v>
          </cell>
          <cell r="K11" t="str">
            <v>العطور</v>
          </cell>
          <cell r="L11" t="str">
            <v>Parfum</v>
          </cell>
          <cell r="M11" t="str">
            <v>Yes</v>
          </cell>
          <cell r="N11">
            <v>419</v>
          </cell>
          <cell r="O11" t="str">
            <v>647.00</v>
          </cell>
          <cell r="P11" t="str">
            <v>-</v>
          </cell>
          <cell r="Q11">
            <v>2</v>
          </cell>
          <cell r="R11">
            <v>62.849999999999994</v>
          </cell>
          <cell r="S11">
            <v>41.900000000000006</v>
          </cell>
          <cell r="T11">
            <v>20.949999999999989</v>
          </cell>
          <cell r="U11">
            <v>1030110513</v>
          </cell>
        </row>
        <row r="12">
          <cell r="A12" t="str">
            <v>16 May, 2026</v>
          </cell>
          <cell r="B12" t="str">
            <v>11:42:22 AM</v>
          </cell>
          <cell r="C12">
            <v>215827</v>
          </cell>
          <cell r="D12" t="str">
            <v>SG207316811PV7551</v>
          </cell>
          <cell r="E12">
            <v>1030110442</v>
          </cell>
          <cell r="F12" t="str">
            <v>SG207316811PV7551</v>
          </cell>
          <cell r="G12">
            <v>8411061056752</v>
          </cell>
          <cell r="H12" t="str">
            <v>Carolina Herrera</v>
          </cell>
          <cell r="I12" t="str">
            <v>كارولينا هيريرا قود غيرل بلَش – أو دو بارفيوم – 80 مل</v>
          </cell>
          <cell r="J12" t="str">
            <v>الجمال والصحة</v>
          </cell>
          <cell r="K12" t="str">
            <v>العطور</v>
          </cell>
          <cell r="L12" t="str">
            <v>Eau De Parfum</v>
          </cell>
          <cell r="M12" t="str">
            <v>Yes</v>
          </cell>
          <cell r="N12">
            <v>429</v>
          </cell>
          <cell r="O12" t="str">
            <v>629.00</v>
          </cell>
          <cell r="P12" t="str">
            <v>-</v>
          </cell>
          <cell r="Q12">
            <v>2</v>
          </cell>
          <cell r="R12">
            <v>64.349999999999994</v>
          </cell>
          <cell r="S12">
            <v>42.900000000000006</v>
          </cell>
          <cell r="T12">
            <v>21.449999999999989</v>
          </cell>
          <cell r="U12">
            <v>1030110442</v>
          </cell>
        </row>
        <row r="13">
          <cell r="A13" t="str">
            <v>12 May, 2026</v>
          </cell>
          <cell r="B13" t="str">
            <v>12:49:59 PM</v>
          </cell>
          <cell r="C13">
            <v>214980</v>
          </cell>
          <cell r="D13" t="str">
            <v>SG2073169OKZ1EFC3</v>
          </cell>
          <cell r="E13">
            <v>1030100437</v>
          </cell>
          <cell r="F13" t="str">
            <v>SG2073169OKZ1EFC3</v>
          </cell>
          <cell r="G13">
            <v>3423470311365</v>
          </cell>
          <cell r="H13" t="str">
            <v>Issey Miyake</v>
          </cell>
          <cell r="I13" t="str">
            <v>عطر إيسي مياكي ليو ديسي الرجالي – أو دو تواليت – 125 مل</v>
          </cell>
          <cell r="J13" t="str">
            <v>الجمال والصحة</v>
          </cell>
          <cell r="K13" t="str">
            <v>العطور</v>
          </cell>
          <cell r="L13" t="str">
            <v>Eau De Toilette</v>
          </cell>
          <cell r="M13" t="str">
            <v>Yes</v>
          </cell>
          <cell r="N13">
            <v>140</v>
          </cell>
          <cell r="O13" t="str">
            <v>363.00</v>
          </cell>
          <cell r="P13" t="str">
            <v>-</v>
          </cell>
          <cell r="Q13">
            <v>2</v>
          </cell>
          <cell r="R13">
            <v>21</v>
          </cell>
          <cell r="S13">
            <v>14</v>
          </cell>
          <cell r="T13">
            <v>7</v>
          </cell>
          <cell r="U13">
            <v>1030100437</v>
          </cell>
        </row>
        <row r="14">
          <cell r="A14" t="str">
            <v>12 May, 2026</v>
          </cell>
          <cell r="B14" t="str">
            <v>12:49:58 PM</v>
          </cell>
          <cell r="C14">
            <v>214788</v>
          </cell>
          <cell r="D14" t="str">
            <v>SG2073169OKP8B111</v>
          </cell>
          <cell r="E14">
            <v>1030105520</v>
          </cell>
          <cell r="F14" t="str">
            <v>SG2073169OKP8B111</v>
          </cell>
          <cell r="G14">
            <v>3614272732209</v>
          </cell>
          <cell r="H14" t="str">
            <v>Valentino</v>
          </cell>
          <cell r="I14" t="str">
            <v>عطر فالنتينو أومو تواليت للرجال 100 مل - أو دي تواليت</v>
          </cell>
          <cell r="J14" t="str">
            <v>الجمال والصحة</v>
          </cell>
          <cell r="K14" t="str">
            <v>العطور</v>
          </cell>
          <cell r="L14" t="str">
            <v>Eau De Toilette</v>
          </cell>
          <cell r="M14" t="str">
            <v>Yes</v>
          </cell>
          <cell r="N14">
            <v>249</v>
          </cell>
          <cell r="O14" t="str">
            <v>450.00</v>
          </cell>
          <cell r="P14" t="str">
            <v>-</v>
          </cell>
          <cell r="Q14">
            <v>2</v>
          </cell>
          <cell r="R14">
            <v>37.35</v>
          </cell>
          <cell r="S14">
            <v>24.900000000000002</v>
          </cell>
          <cell r="T14">
            <v>12.45</v>
          </cell>
          <cell r="U14">
            <v>1030105520</v>
          </cell>
        </row>
        <row r="15">
          <cell r="A15" t="str">
            <v>16 May, 2026</v>
          </cell>
          <cell r="B15" t="str">
            <v>11:42:23 AM</v>
          </cell>
          <cell r="C15">
            <v>215918</v>
          </cell>
          <cell r="D15" t="str">
            <v>SG207316811V83231</v>
          </cell>
          <cell r="E15">
            <v>1030103286</v>
          </cell>
          <cell r="F15" t="str">
            <v>SG207316811V83231</v>
          </cell>
          <cell r="G15">
            <v>3360374000059</v>
          </cell>
          <cell r="H15" t="str">
            <v>Viktor</v>
          </cell>
          <cell r="I15" t="str">
            <v>عطر فيكتور أند رولف فلاور بومب للنساء - 100 مل - أو دي بارفيوم</v>
          </cell>
          <cell r="J15" t="str">
            <v>الجمال والصحة</v>
          </cell>
          <cell r="K15" t="str">
            <v>العطور</v>
          </cell>
          <cell r="L15" t="str">
            <v>Eau De Parfum</v>
          </cell>
          <cell r="M15" t="str">
            <v>Yes</v>
          </cell>
          <cell r="N15">
            <v>319</v>
          </cell>
          <cell r="O15" t="str">
            <v>630.00</v>
          </cell>
          <cell r="P15" t="str">
            <v>-</v>
          </cell>
          <cell r="Q15">
            <v>2</v>
          </cell>
          <cell r="R15">
            <v>47.85</v>
          </cell>
          <cell r="S15">
            <v>31.900000000000002</v>
          </cell>
          <cell r="T15">
            <v>15.95</v>
          </cell>
          <cell r="U15">
            <v>1030103286</v>
          </cell>
        </row>
        <row r="16">
          <cell r="A16" t="str">
            <v>16 May, 2026</v>
          </cell>
          <cell r="B16" t="str">
            <v>11:42:22 AM</v>
          </cell>
          <cell r="C16">
            <v>215840</v>
          </cell>
          <cell r="D16" t="str">
            <v>SG207316811QH5D88</v>
          </cell>
          <cell r="E16">
            <v>1030101975</v>
          </cell>
          <cell r="F16" t="str">
            <v>SG207316811QH5D88</v>
          </cell>
          <cell r="G16">
            <v>3274872428768</v>
          </cell>
          <cell r="H16" t="str">
            <v>Givenchy</v>
          </cell>
          <cell r="I16" t="str">
            <v>عطر جيفنشي هوت كوتور للنساء - 100 مل - أو دي بارفيوم</v>
          </cell>
          <cell r="J16" t="str">
            <v>الجمال والصحة</v>
          </cell>
          <cell r="K16" t="str">
            <v>العطور</v>
          </cell>
          <cell r="L16" t="str">
            <v>Eau De Parfum</v>
          </cell>
          <cell r="M16" t="str">
            <v>Yes</v>
          </cell>
          <cell r="N16">
            <v>269</v>
          </cell>
          <cell r="O16" t="str">
            <v>420.00</v>
          </cell>
          <cell r="P16" t="str">
            <v>-</v>
          </cell>
          <cell r="Q16">
            <v>2</v>
          </cell>
          <cell r="R16">
            <v>40.35</v>
          </cell>
          <cell r="S16">
            <v>26.900000000000002</v>
          </cell>
          <cell r="T16">
            <v>13.45</v>
          </cell>
          <cell r="U16">
            <v>1030101975</v>
          </cell>
        </row>
        <row r="17">
          <cell r="A17" t="str">
            <v>12 May, 2026</v>
          </cell>
          <cell r="B17" t="str">
            <v>12:49:58 PM</v>
          </cell>
          <cell r="C17">
            <v>214784</v>
          </cell>
          <cell r="D17" t="str">
            <v>SG2073168OKP12E9B</v>
          </cell>
          <cell r="E17">
            <v>1030110111</v>
          </cell>
          <cell r="F17" t="str">
            <v>SG2073168OKP12E9B</v>
          </cell>
          <cell r="G17">
            <v>8435415032315</v>
          </cell>
          <cell r="H17" t="str">
            <v>Jean Paul Gaultier</v>
          </cell>
          <cell r="I17" t="str">
            <v>عطر جان بول غولتير لو مال لي بارفيوم – أو دو بارفيوم إنتنس – 125 مل</v>
          </cell>
          <cell r="J17" t="str">
            <v>الجمال والصحة</v>
          </cell>
          <cell r="K17" t="str">
            <v>العطور</v>
          </cell>
          <cell r="L17" t="str">
            <v>Eau De Parfum</v>
          </cell>
          <cell r="M17" t="str">
            <v>Yes</v>
          </cell>
          <cell r="N17">
            <v>379</v>
          </cell>
          <cell r="O17" t="str">
            <v>635.00</v>
          </cell>
          <cell r="P17" t="str">
            <v>-</v>
          </cell>
          <cell r="Q17">
            <v>2</v>
          </cell>
          <cell r="R17">
            <v>56.85</v>
          </cell>
          <cell r="S17">
            <v>37.9</v>
          </cell>
          <cell r="T17">
            <v>18.950000000000003</v>
          </cell>
          <cell r="U17">
            <v>1030110111</v>
          </cell>
        </row>
        <row r="18">
          <cell r="A18" t="str">
            <v>10 Jun, 2026</v>
          </cell>
          <cell r="B18" t="str">
            <v>01:15:33 PM</v>
          </cell>
          <cell r="C18">
            <v>219335</v>
          </cell>
          <cell r="D18" t="str">
            <v>SG2073168D6DD4102</v>
          </cell>
          <cell r="E18">
            <v>1030110412</v>
          </cell>
          <cell r="F18" t="str">
            <v>SG2073168D6DD4102</v>
          </cell>
          <cell r="G18">
            <v>7640177360656</v>
          </cell>
          <cell r="H18" t="str">
            <v>Chopard</v>
          </cell>
          <cell r="I18" t="str">
            <v>عطر شوبارد سيدار ملكي – أو دو بارفيوم – 80 مل</v>
          </cell>
          <cell r="J18" t="str">
            <v>الجمال والصحة</v>
          </cell>
          <cell r="K18" t="str">
            <v>العطور</v>
          </cell>
          <cell r="L18" t="str">
            <v>Eau De Parfum</v>
          </cell>
          <cell r="M18" t="str">
            <v>Yes</v>
          </cell>
          <cell r="N18">
            <v>199</v>
          </cell>
          <cell r="O18" t="str">
            <v>316.00</v>
          </cell>
          <cell r="P18" t="str">
            <v>-</v>
          </cell>
          <cell r="Q18">
            <v>2</v>
          </cell>
          <cell r="R18">
            <v>29.849999999999998</v>
          </cell>
          <cell r="S18">
            <v>19.900000000000002</v>
          </cell>
          <cell r="T18">
            <v>9.9499999999999957</v>
          </cell>
          <cell r="U18">
            <v>1030110412</v>
          </cell>
        </row>
        <row r="19">
          <cell r="A19" t="str">
            <v>16 May, 2026</v>
          </cell>
          <cell r="B19" t="str">
            <v>11:42:23 AM</v>
          </cell>
          <cell r="C19">
            <v>215931</v>
          </cell>
          <cell r="D19" t="str">
            <v>SG207316811W75046</v>
          </cell>
          <cell r="E19">
            <v>1030110203</v>
          </cell>
          <cell r="F19" t="str">
            <v>SG207316811W75046</v>
          </cell>
          <cell r="G19">
            <v>3274872428058</v>
          </cell>
          <cell r="H19" t="str">
            <v>Givenchy</v>
          </cell>
          <cell r="I19" t="str">
            <v>عطر جيفنشي لانترديت روج للنساء - أو دي بارفيوم - 80 مل</v>
          </cell>
          <cell r="J19" t="str">
            <v>الجمال والصحة</v>
          </cell>
          <cell r="K19" t="str">
            <v>العطور</v>
          </cell>
          <cell r="L19" t="str">
            <v>Eau De Parfum</v>
          </cell>
          <cell r="M19" t="str">
            <v>Yes</v>
          </cell>
          <cell r="N19">
            <v>399</v>
          </cell>
          <cell r="O19" t="str">
            <v>538.00</v>
          </cell>
          <cell r="P19" t="str">
            <v>-</v>
          </cell>
          <cell r="Q19">
            <v>2</v>
          </cell>
          <cell r="R19">
            <v>59.849999999999994</v>
          </cell>
          <cell r="S19">
            <v>39.900000000000006</v>
          </cell>
          <cell r="T19">
            <v>19.949999999999989</v>
          </cell>
          <cell r="U19">
            <v>1030110203</v>
          </cell>
        </row>
        <row r="20">
          <cell r="A20" t="str">
            <v>16 May, 2026</v>
          </cell>
          <cell r="B20" t="str">
            <v>11:42:22 AM</v>
          </cell>
          <cell r="C20">
            <v>215811</v>
          </cell>
          <cell r="D20" t="str">
            <v>SG207316811OP0079</v>
          </cell>
          <cell r="E20">
            <v>1030108758</v>
          </cell>
          <cell r="F20" t="str">
            <v>SG207316811OP0079</v>
          </cell>
          <cell r="G20">
            <v>3346470131408</v>
          </cell>
          <cell r="H20" t="str">
            <v>Guerlain</v>
          </cell>
          <cell r="I20" t="str">
            <v>عطر جيرلان مون -او دي بارفيوم- 100مل</v>
          </cell>
          <cell r="J20" t="str">
            <v>الجمال والصحة</v>
          </cell>
          <cell r="K20" t="str">
            <v>العطور</v>
          </cell>
          <cell r="L20" t="str">
            <v>Eau De Parfum</v>
          </cell>
          <cell r="M20" t="str">
            <v>Yes</v>
          </cell>
          <cell r="N20">
            <v>355</v>
          </cell>
          <cell r="O20" t="str">
            <v>629.00</v>
          </cell>
          <cell r="P20" t="str">
            <v>-</v>
          </cell>
          <cell r="Q20">
            <v>2</v>
          </cell>
          <cell r="R20">
            <v>53.25</v>
          </cell>
          <cell r="S20">
            <v>35.5</v>
          </cell>
          <cell r="T20">
            <v>17.75</v>
          </cell>
          <cell r="U20">
            <v>1030108758</v>
          </cell>
        </row>
        <row r="21">
          <cell r="A21" t="str">
            <v>12 May, 2026</v>
          </cell>
          <cell r="B21" t="str">
            <v>12:49:58 PM</v>
          </cell>
          <cell r="C21">
            <v>214787</v>
          </cell>
          <cell r="D21" t="str">
            <v>SG2073169OKP6D140</v>
          </cell>
          <cell r="E21">
            <v>1030110763</v>
          </cell>
          <cell r="F21" t="str">
            <v>SG2073169OKP6D140</v>
          </cell>
          <cell r="G21">
            <v>3605972910240</v>
          </cell>
          <cell r="H21" t="str">
            <v>Ralph Lauren</v>
          </cell>
          <cell r="I21" t="str">
            <v>عطر رالف لورين بولو EST 67 – أو دو تواليت – 125 مل</v>
          </cell>
          <cell r="J21" t="str">
            <v>الجمال والصحة</v>
          </cell>
          <cell r="K21" t="str">
            <v>العطور</v>
          </cell>
          <cell r="L21" t="str">
            <v>Eau De Toilette</v>
          </cell>
          <cell r="M21" t="str">
            <v>Yes</v>
          </cell>
          <cell r="N21">
            <v>213</v>
          </cell>
          <cell r="O21" t="str">
            <v>364.00</v>
          </cell>
          <cell r="P21" t="str">
            <v>-</v>
          </cell>
          <cell r="Q21">
            <v>2</v>
          </cell>
          <cell r="R21">
            <v>31.95</v>
          </cell>
          <cell r="S21">
            <v>21.3</v>
          </cell>
          <cell r="T21">
            <v>10.649999999999999</v>
          </cell>
          <cell r="U21">
            <v>1030110763</v>
          </cell>
        </row>
        <row r="22">
          <cell r="A22" t="str">
            <v>12 May, 2026</v>
          </cell>
          <cell r="B22" t="str">
            <v>12:49:59 PM</v>
          </cell>
          <cell r="C22">
            <v>214925</v>
          </cell>
          <cell r="D22" t="str">
            <v>SG2073168OKWICD3E</v>
          </cell>
          <cell r="E22">
            <v>1030109004</v>
          </cell>
          <cell r="F22" t="str">
            <v>SG2073168OKWICD3E</v>
          </cell>
          <cell r="G22">
            <v>3423473969358</v>
          </cell>
          <cell r="H22" t="str">
            <v>Elie Saab</v>
          </cell>
          <cell r="I22" t="str">
            <v>عطر إيلي صعب كيور أبسوليو للجنسين - 100 مل -أو دي بارفيوم</v>
          </cell>
          <cell r="J22" t="str">
            <v>الجمال والصحة</v>
          </cell>
          <cell r="K22" t="str">
            <v>العطور</v>
          </cell>
          <cell r="L22" t="str">
            <v>Eau De Parfum</v>
          </cell>
          <cell r="M22" t="str">
            <v>Yes</v>
          </cell>
          <cell r="N22">
            <v>749</v>
          </cell>
          <cell r="O22" t="str">
            <v>910.00</v>
          </cell>
          <cell r="P22" t="str">
            <v>-</v>
          </cell>
          <cell r="Q22">
            <v>2</v>
          </cell>
          <cell r="R22">
            <v>112.35</v>
          </cell>
          <cell r="S22">
            <v>74.900000000000006</v>
          </cell>
          <cell r="T22">
            <v>37.449999999999989</v>
          </cell>
          <cell r="U22">
            <v>1030109004</v>
          </cell>
        </row>
        <row r="23">
          <cell r="A23" t="str">
            <v>16 May, 2026</v>
          </cell>
          <cell r="B23" t="str">
            <v>11:42:22 AM</v>
          </cell>
          <cell r="C23">
            <v>215793</v>
          </cell>
          <cell r="D23" t="str">
            <v>SG207316911NT7814</v>
          </cell>
          <cell r="E23">
            <v>1030108788</v>
          </cell>
          <cell r="F23" t="str">
            <v>SG207316911NT7814</v>
          </cell>
          <cell r="G23">
            <v>8011003827343</v>
          </cell>
          <cell r="H23" t="str">
            <v>Versace</v>
          </cell>
          <cell r="I23" t="str">
            <v>عطر فيرزاتشي ايروس للنساء - 100 مل - أو دي تواليت</v>
          </cell>
          <cell r="J23" t="str">
            <v>الجمال والصحة</v>
          </cell>
          <cell r="K23" t="str">
            <v>العطور</v>
          </cell>
          <cell r="L23" t="str">
            <v>Eau De Toilette</v>
          </cell>
          <cell r="M23" t="str">
            <v>Yes</v>
          </cell>
          <cell r="N23">
            <v>219</v>
          </cell>
          <cell r="O23" t="str">
            <v>390.00</v>
          </cell>
          <cell r="P23" t="str">
            <v>-</v>
          </cell>
          <cell r="Q23">
            <v>2</v>
          </cell>
          <cell r="R23">
            <v>32.85</v>
          </cell>
          <cell r="S23">
            <v>21.900000000000002</v>
          </cell>
          <cell r="T23">
            <v>10.95</v>
          </cell>
          <cell r="U23">
            <v>1030108788</v>
          </cell>
        </row>
        <row r="24">
          <cell r="A24" t="str">
            <v>12 May, 2026</v>
          </cell>
          <cell r="B24" t="str">
            <v>12:49:58 PM</v>
          </cell>
          <cell r="C24">
            <v>214795</v>
          </cell>
          <cell r="D24" t="str">
            <v>SG2073168OKPJ5608</v>
          </cell>
          <cell r="E24">
            <v>1030110388</v>
          </cell>
          <cell r="F24" t="str">
            <v>SG2073168OKPJ5608</v>
          </cell>
          <cell r="G24">
            <v>3274872439078</v>
          </cell>
          <cell r="H24" t="str">
            <v>Givenchy</v>
          </cell>
          <cell r="I24" t="str">
            <v>عطر جيفنشي جنتلمان ريسيرف برايف- او دي بارفيوم- 100مل</v>
          </cell>
          <cell r="J24" t="str">
            <v>الجمال والصحة</v>
          </cell>
          <cell r="K24" t="str">
            <v>العطور</v>
          </cell>
          <cell r="L24" t="str">
            <v>Eau De Parfum</v>
          </cell>
          <cell r="M24" t="str">
            <v>Yes</v>
          </cell>
          <cell r="N24">
            <v>329</v>
          </cell>
          <cell r="O24" t="str">
            <v>459.00</v>
          </cell>
          <cell r="P24" t="str">
            <v>-</v>
          </cell>
          <cell r="Q24">
            <v>2</v>
          </cell>
          <cell r="R24">
            <v>49.35</v>
          </cell>
          <cell r="S24">
            <v>32.9</v>
          </cell>
          <cell r="T24">
            <v>16.450000000000003</v>
          </cell>
          <cell r="U24">
            <v>1030110388</v>
          </cell>
        </row>
        <row r="25">
          <cell r="A25" t="str">
            <v>16 May, 2026</v>
          </cell>
          <cell r="B25" t="str">
            <v>11:42:23 AM</v>
          </cell>
          <cell r="C25">
            <v>215972</v>
          </cell>
          <cell r="D25" t="str">
            <v>SG207316911YD5002</v>
          </cell>
          <cell r="E25">
            <v>1030103169</v>
          </cell>
          <cell r="F25" t="str">
            <v>SG207316911YD5002</v>
          </cell>
          <cell r="G25">
            <v>8018365071469</v>
          </cell>
          <cell r="H25" t="str">
            <v>Versace</v>
          </cell>
          <cell r="I25" t="str">
            <v>عطر كريستال نوار من فرزاتشي للنساء - او دو تواليت -90مل</v>
          </cell>
          <cell r="J25" t="str">
            <v>الجمال والصحة</v>
          </cell>
          <cell r="K25" t="str">
            <v>العطور</v>
          </cell>
          <cell r="L25" t="str">
            <v>Eau De Toilette</v>
          </cell>
          <cell r="M25" t="str">
            <v>Yes</v>
          </cell>
          <cell r="N25">
            <v>229</v>
          </cell>
          <cell r="O25" t="str">
            <v>490.00</v>
          </cell>
          <cell r="P25" t="str">
            <v>-</v>
          </cell>
          <cell r="Q25">
            <v>2</v>
          </cell>
          <cell r="R25">
            <v>34.35</v>
          </cell>
          <cell r="S25">
            <v>22.900000000000002</v>
          </cell>
          <cell r="T25">
            <v>11.45</v>
          </cell>
          <cell r="U25">
            <v>1030103169</v>
          </cell>
        </row>
        <row r="26">
          <cell r="A26" t="str">
            <v>12 May, 2026</v>
          </cell>
          <cell r="B26" t="str">
            <v>12:49:59 PM</v>
          </cell>
          <cell r="C26">
            <v>214931</v>
          </cell>
          <cell r="D26" t="str">
            <v>SG2073175OKWRF790</v>
          </cell>
          <cell r="E26">
            <v>1030111025</v>
          </cell>
          <cell r="F26" t="str">
            <v>SG2073175OKWRF790</v>
          </cell>
          <cell r="G26">
            <v>3386460165969</v>
          </cell>
          <cell r="H26" t="str">
            <v>Lacoste</v>
          </cell>
          <cell r="I26" t="str">
            <v>عطر لاكوست أورجينال – بارفيوم – 100 مل</v>
          </cell>
          <cell r="J26" t="str">
            <v>الجمال والصحة</v>
          </cell>
          <cell r="K26" t="str">
            <v>العطور</v>
          </cell>
          <cell r="L26" t="str">
            <v>Parfum</v>
          </cell>
          <cell r="M26" t="str">
            <v>Yes</v>
          </cell>
          <cell r="N26">
            <v>199</v>
          </cell>
          <cell r="O26" t="str">
            <v>340.00</v>
          </cell>
          <cell r="P26" t="str">
            <v>-</v>
          </cell>
          <cell r="Q26">
            <v>2</v>
          </cell>
          <cell r="R26">
            <v>29.849999999999998</v>
          </cell>
          <cell r="S26">
            <v>19.900000000000002</v>
          </cell>
          <cell r="T26">
            <v>9.9499999999999957</v>
          </cell>
          <cell r="U26">
            <v>1030111025</v>
          </cell>
        </row>
        <row r="27">
          <cell r="A27" t="str">
            <v>16 May, 2026</v>
          </cell>
          <cell r="B27" t="str">
            <v>11:42:23 AM</v>
          </cell>
          <cell r="C27">
            <v>215968</v>
          </cell>
          <cell r="D27" t="str">
            <v>SG207316811Y677D1</v>
          </cell>
          <cell r="E27">
            <v>1030110431</v>
          </cell>
          <cell r="F27" t="str">
            <v>SG207316811Y677D1</v>
          </cell>
          <cell r="G27">
            <v>3616303470791</v>
          </cell>
          <cell r="H27" t="str">
            <v>Gucci</v>
          </cell>
          <cell r="I27" t="str">
            <v>عطر قوتشي فلورا جيرجيوس ماغنوليا -او دي بارفيوم- 100 مل</v>
          </cell>
          <cell r="J27" t="str">
            <v>الجمال والصحة</v>
          </cell>
          <cell r="K27" t="str">
            <v>العطور</v>
          </cell>
          <cell r="L27" t="str">
            <v>Eau De Parfum</v>
          </cell>
          <cell r="M27" t="str">
            <v>Yes</v>
          </cell>
          <cell r="N27">
            <v>339</v>
          </cell>
          <cell r="O27" t="str">
            <v>502.00</v>
          </cell>
          <cell r="P27" t="str">
            <v>-</v>
          </cell>
          <cell r="Q27">
            <v>2</v>
          </cell>
          <cell r="R27">
            <v>50.85</v>
          </cell>
          <cell r="S27">
            <v>33.9</v>
          </cell>
          <cell r="T27">
            <v>16.950000000000003</v>
          </cell>
          <cell r="U27">
            <v>1030110431</v>
          </cell>
        </row>
        <row r="28">
          <cell r="A28" t="str">
            <v>16 May, 2026</v>
          </cell>
          <cell r="B28" t="str">
            <v>11:42:23 AM</v>
          </cell>
          <cell r="C28">
            <v>216008</v>
          </cell>
          <cell r="D28" t="str">
            <v>SG2073168120NC89B</v>
          </cell>
          <cell r="E28">
            <v>1030110729</v>
          </cell>
          <cell r="F28" t="str">
            <v>SG2073168120NC89B</v>
          </cell>
          <cell r="G28">
            <v>3423222121297</v>
          </cell>
          <cell r="H28" t="str">
            <v>Narciso Rodriguez</v>
          </cell>
          <cell r="I28" t="str">
            <v>نرسيسو رودريغز فور هير إنتنس – أو دو بارفيوم – 100مل</v>
          </cell>
          <cell r="J28" t="str">
            <v>الجمال والصحة</v>
          </cell>
          <cell r="K28" t="str">
            <v>العطور</v>
          </cell>
          <cell r="L28" t="str">
            <v>Eau De Parfum</v>
          </cell>
          <cell r="M28" t="str">
            <v>Yes</v>
          </cell>
          <cell r="N28">
            <v>279</v>
          </cell>
          <cell r="O28" t="str">
            <v>430.00</v>
          </cell>
          <cell r="P28" t="str">
            <v>-</v>
          </cell>
          <cell r="Q28">
            <v>3</v>
          </cell>
          <cell r="R28">
            <v>41.85</v>
          </cell>
          <cell r="S28">
            <v>27.900000000000002</v>
          </cell>
          <cell r="T28">
            <v>13.95</v>
          </cell>
          <cell r="U28">
            <v>1030110729</v>
          </cell>
        </row>
        <row r="29">
          <cell r="A29" t="str">
            <v>16 May, 2026</v>
          </cell>
          <cell r="B29" t="str">
            <v>11:42:22 AM</v>
          </cell>
          <cell r="C29">
            <v>215680</v>
          </cell>
          <cell r="D29" t="str">
            <v>SG207316811G72C8A</v>
          </cell>
          <cell r="E29">
            <v>1030103540</v>
          </cell>
          <cell r="F29" t="str">
            <v>SG207316811G72C8A</v>
          </cell>
          <cell r="G29">
            <v>3607346232385</v>
          </cell>
          <cell r="H29" t="str">
            <v>Chloe</v>
          </cell>
          <cell r="I29" t="str">
            <v>عطر كلوي للنساء -او دي بارفيوم-75 مل</v>
          </cell>
          <cell r="J29" t="str">
            <v>الجمال والصحة</v>
          </cell>
          <cell r="K29" t="str">
            <v>العطور</v>
          </cell>
          <cell r="L29" t="str">
            <v>Eau De Parfum</v>
          </cell>
          <cell r="M29" t="str">
            <v>Yes</v>
          </cell>
          <cell r="N29">
            <v>272</v>
          </cell>
          <cell r="O29" t="str">
            <v>649.00</v>
          </cell>
          <cell r="P29" t="str">
            <v>-</v>
          </cell>
          <cell r="Q29">
            <v>2</v>
          </cell>
          <cell r="R29">
            <v>40.799999999999997</v>
          </cell>
          <cell r="S29">
            <v>27.200000000000003</v>
          </cell>
          <cell r="T29">
            <v>13.599999999999994</v>
          </cell>
          <cell r="U29">
            <v>1030103540</v>
          </cell>
        </row>
        <row r="30">
          <cell r="A30" t="str">
            <v>12 May, 2026</v>
          </cell>
          <cell r="B30" t="str">
            <v>12:49:59 PM</v>
          </cell>
          <cell r="C30">
            <v>214933</v>
          </cell>
          <cell r="D30" t="str">
            <v>SG2073168OKWUBECA</v>
          </cell>
          <cell r="E30">
            <v>1030110306</v>
          </cell>
          <cell r="F30" t="str">
            <v>SG2073168OKWUBECA</v>
          </cell>
          <cell r="G30">
            <v>3349668588732</v>
          </cell>
          <cell r="H30" t="str">
            <v>Paco Rabanne</v>
          </cell>
          <cell r="I30" t="str">
            <v>عطر باكو رابان إنفكتوس فيكتوري إكستريم – أو دو بارفيوم – 100 مل</v>
          </cell>
          <cell r="J30" t="str">
            <v>الجمال والصحة</v>
          </cell>
          <cell r="K30" t="str">
            <v>العطور</v>
          </cell>
          <cell r="L30" t="str">
            <v>Eau De Parfum</v>
          </cell>
          <cell r="M30" t="str">
            <v>Yes</v>
          </cell>
          <cell r="N30">
            <v>299</v>
          </cell>
          <cell r="O30" t="str">
            <v>420.00</v>
          </cell>
          <cell r="P30" t="str">
            <v>-</v>
          </cell>
          <cell r="Q30">
            <v>2</v>
          </cell>
          <cell r="R30">
            <v>44.85</v>
          </cell>
          <cell r="S30">
            <v>29.900000000000002</v>
          </cell>
          <cell r="T30">
            <v>14.95</v>
          </cell>
          <cell r="U30">
            <v>1030110306</v>
          </cell>
        </row>
        <row r="31">
          <cell r="A31" t="str">
            <v>16 May, 2026</v>
          </cell>
          <cell r="B31" t="str">
            <v>11:42:23 AM</v>
          </cell>
          <cell r="C31">
            <v>215950</v>
          </cell>
          <cell r="D31" t="str">
            <v>SG207317511X8896A</v>
          </cell>
          <cell r="E31">
            <v>1030110879</v>
          </cell>
          <cell r="F31" t="str">
            <v>SG207317511X8896A</v>
          </cell>
          <cell r="G31">
            <v>3616305169228</v>
          </cell>
          <cell r="H31" t="str">
            <v>Hugo Boss</v>
          </cell>
          <cell r="I31" t="str">
            <v>عطر هيوغو بوس ذا سنت إلكسير بارفيوم إنتنس للنساء – 50 مل</v>
          </cell>
          <cell r="J31" t="str">
            <v>الجمال والصحة</v>
          </cell>
          <cell r="K31" t="str">
            <v>العطور</v>
          </cell>
          <cell r="L31" t="str">
            <v>Parfum</v>
          </cell>
          <cell r="M31" t="str">
            <v>Yes</v>
          </cell>
          <cell r="N31">
            <v>439</v>
          </cell>
          <cell r="O31" t="str">
            <v>590.00</v>
          </cell>
          <cell r="P31" t="str">
            <v>-</v>
          </cell>
          <cell r="Q31">
            <v>2</v>
          </cell>
          <cell r="R31">
            <v>65.849999999999994</v>
          </cell>
          <cell r="S31">
            <v>43.900000000000006</v>
          </cell>
          <cell r="T31">
            <v>21.949999999999989</v>
          </cell>
          <cell r="U31">
            <v>1030110879</v>
          </cell>
        </row>
        <row r="32">
          <cell r="A32" t="str">
            <v>10 Jun, 2026</v>
          </cell>
          <cell r="B32" t="str">
            <v>01:15:33 PM</v>
          </cell>
          <cell r="C32">
            <v>219304</v>
          </cell>
          <cell r="D32" t="str">
            <v>SG2073168D69974FF</v>
          </cell>
          <cell r="E32">
            <v>1030104693</v>
          </cell>
          <cell r="F32" t="str">
            <v>SG2073168D69974FF</v>
          </cell>
          <cell r="G32" t="str">
            <v>MRG01AB</v>
          </cell>
          <cell r="H32" t="str">
            <v>Mancera</v>
          </cell>
          <cell r="I32" t="str">
            <v>عطر مانسيرا روز جريدي للجنسين - 120 مل - أو دي بارفيوم</v>
          </cell>
          <cell r="J32" t="str">
            <v>الجمال والصحة</v>
          </cell>
          <cell r="K32" t="str">
            <v>العطور</v>
          </cell>
          <cell r="L32" t="str">
            <v>Eau De Parfum</v>
          </cell>
          <cell r="M32" t="str">
            <v>Yes</v>
          </cell>
          <cell r="N32">
            <v>242</v>
          </cell>
          <cell r="O32" t="str">
            <v>350.00</v>
          </cell>
          <cell r="P32" t="str">
            <v>-</v>
          </cell>
          <cell r="Q32">
            <v>2</v>
          </cell>
          <cell r="R32">
            <v>36.299999999999997</v>
          </cell>
          <cell r="S32">
            <v>24.200000000000003</v>
          </cell>
          <cell r="T32">
            <v>12.099999999999994</v>
          </cell>
          <cell r="U32">
            <v>1030104693</v>
          </cell>
        </row>
        <row r="33">
          <cell r="A33" t="str">
            <v>16 May, 2026</v>
          </cell>
          <cell r="B33" t="str">
            <v>11:42:23 AM</v>
          </cell>
          <cell r="C33">
            <v>215900</v>
          </cell>
          <cell r="D33" t="str">
            <v>SG207316811U271D6</v>
          </cell>
          <cell r="E33">
            <v>1030110504</v>
          </cell>
          <cell r="F33" t="str">
            <v>SG207316811U271D6</v>
          </cell>
          <cell r="G33">
            <v>3386460151962</v>
          </cell>
          <cell r="H33" t="str">
            <v>Coach</v>
          </cell>
          <cell r="I33" t="str">
            <v>عطر كوتش دريمز مون لايت – أو دو بارفيوم – 90مل</v>
          </cell>
          <cell r="J33" t="str">
            <v>الجمال والصحة</v>
          </cell>
          <cell r="K33" t="str">
            <v>العطور</v>
          </cell>
          <cell r="L33" t="str">
            <v>Eau De Parfum</v>
          </cell>
          <cell r="M33" t="str">
            <v>Yes</v>
          </cell>
          <cell r="N33">
            <v>219</v>
          </cell>
          <cell r="O33" t="str">
            <v>290.00</v>
          </cell>
          <cell r="P33" t="str">
            <v>-</v>
          </cell>
          <cell r="Q33">
            <v>2</v>
          </cell>
          <cell r="R33">
            <v>32.85</v>
          </cell>
          <cell r="S33">
            <v>21.900000000000002</v>
          </cell>
          <cell r="T33">
            <v>10.95</v>
          </cell>
          <cell r="U33">
            <v>1030110504</v>
          </cell>
        </row>
        <row r="34">
          <cell r="A34" t="str">
            <v>16 May, 2026</v>
          </cell>
          <cell r="B34" t="str">
            <v>11:42:23 AM</v>
          </cell>
          <cell r="C34">
            <v>215928</v>
          </cell>
          <cell r="D34" t="str">
            <v>SG207316811VZ42DD</v>
          </cell>
          <cell r="E34">
            <v>1030109215</v>
          </cell>
          <cell r="F34" t="str">
            <v>SG207316811VZ42DD</v>
          </cell>
          <cell r="G34">
            <v>8052464896905</v>
          </cell>
          <cell r="H34" t="str">
            <v>Roberto Cavalli</v>
          </cell>
          <cell r="I34" t="str">
            <v>عطر روبرتو كفالي فلورنس للنساء - 75 مل - أو دي بارفيوم</v>
          </cell>
          <cell r="J34" t="str">
            <v>الجمال والصحة</v>
          </cell>
          <cell r="K34" t="str">
            <v>العطور</v>
          </cell>
          <cell r="L34" t="str">
            <v>Eau De Parfum</v>
          </cell>
          <cell r="M34" t="str">
            <v>Yes</v>
          </cell>
          <cell r="N34">
            <v>121</v>
          </cell>
          <cell r="O34" t="str">
            <v>233.00</v>
          </cell>
          <cell r="P34" t="str">
            <v>-</v>
          </cell>
          <cell r="Q34">
            <v>2</v>
          </cell>
          <cell r="R34">
            <v>18.149999999999999</v>
          </cell>
          <cell r="S34">
            <v>12.100000000000001</v>
          </cell>
          <cell r="T34">
            <v>6.0499999999999972</v>
          </cell>
          <cell r="U34">
            <v>1030109215</v>
          </cell>
        </row>
        <row r="35">
          <cell r="A35" t="str">
            <v>16 May, 2026</v>
          </cell>
          <cell r="B35" t="str">
            <v>11:42:23 AM</v>
          </cell>
          <cell r="C35">
            <v>215939</v>
          </cell>
          <cell r="D35" t="str">
            <v>SG207316811WMFEB8</v>
          </cell>
          <cell r="E35">
            <v>1030110378</v>
          </cell>
          <cell r="F35" t="str">
            <v>SG207316811WMFEB8</v>
          </cell>
          <cell r="G35">
            <v>8435415050760</v>
          </cell>
          <cell r="H35" t="str">
            <v>Jean Paul Gaultier</v>
          </cell>
          <cell r="I35" t="str">
            <v>عطر جان بول غولتير سكاندال لي بارفيوم- او دي بارفيوم انتنس - 80مل</v>
          </cell>
          <cell r="J35" t="str">
            <v>الجمال والصحة</v>
          </cell>
          <cell r="K35" t="str">
            <v>العطور</v>
          </cell>
          <cell r="L35" t="str">
            <v>Eau De Parfum</v>
          </cell>
          <cell r="M35" t="str">
            <v>Yes</v>
          </cell>
          <cell r="N35">
            <v>399</v>
          </cell>
          <cell r="O35" t="str">
            <v>591.00</v>
          </cell>
          <cell r="P35" t="str">
            <v>-</v>
          </cell>
          <cell r="Q35">
            <v>2</v>
          </cell>
          <cell r="R35">
            <v>59.849999999999994</v>
          </cell>
          <cell r="S35">
            <v>39.900000000000006</v>
          </cell>
          <cell r="T35">
            <v>19.949999999999989</v>
          </cell>
          <cell r="U35">
            <v>1030110378</v>
          </cell>
        </row>
        <row r="36">
          <cell r="A36" t="str">
            <v>16 May, 2026</v>
          </cell>
          <cell r="B36" t="str">
            <v>11:42:23 AM</v>
          </cell>
          <cell r="C36">
            <v>216009</v>
          </cell>
          <cell r="D36" t="str">
            <v>SG2073168120Q65C6</v>
          </cell>
          <cell r="E36">
            <v>1030110790</v>
          </cell>
          <cell r="F36" t="str">
            <v>SG2073168120Q65C6</v>
          </cell>
          <cell r="G36">
            <v>3616305275745</v>
          </cell>
          <cell r="H36" t="str">
            <v>Gucci</v>
          </cell>
          <cell r="I36" t="str">
            <v>عطر قوتشي فلورا جورجيوس غاردينيا إنتنس – أو دو بارفيوم – 100مل</v>
          </cell>
          <cell r="J36" t="str">
            <v>الجمال والصحة</v>
          </cell>
          <cell r="K36" t="str">
            <v>العطور</v>
          </cell>
          <cell r="L36" t="str">
            <v>Eau De Parfum</v>
          </cell>
          <cell r="M36" t="str">
            <v>Yes</v>
          </cell>
          <cell r="N36">
            <v>389</v>
          </cell>
          <cell r="O36" t="str">
            <v>644.00</v>
          </cell>
          <cell r="P36" t="str">
            <v>-</v>
          </cell>
          <cell r="Q36">
            <v>2</v>
          </cell>
          <cell r="R36">
            <v>58.349999999999994</v>
          </cell>
          <cell r="S36">
            <v>38.900000000000006</v>
          </cell>
          <cell r="T36">
            <v>19.449999999999989</v>
          </cell>
          <cell r="U36">
            <v>1030110790</v>
          </cell>
        </row>
        <row r="37">
          <cell r="A37" t="str">
            <v>12 May, 2026</v>
          </cell>
          <cell r="B37" t="str">
            <v>12:49:59 PM</v>
          </cell>
          <cell r="C37">
            <v>215015</v>
          </cell>
          <cell r="D37" t="str">
            <v>SG2073175OL0I0C0A</v>
          </cell>
          <cell r="E37">
            <v>1030110457</v>
          </cell>
          <cell r="F37" t="str">
            <v>SG2073175OL0I0C0A</v>
          </cell>
          <cell r="G37">
            <v>3616304679445</v>
          </cell>
          <cell r="H37" t="str">
            <v>Burberry</v>
          </cell>
          <cell r="I37" t="str">
            <v>عطر بربري هيرو -بارفيوم- 100مل</v>
          </cell>
          <cell r="J37" t="str">
            <v>الجمال والصحة</v>
          </cell>
          <cell r="K37" t="str">
            <v>العطور</v>
          </cell>
          <cell r="L37" t="str">
            <v>Parfum</v>
          </cell>
          <cell r="M37" t="str">
            <v>Yes</v>
          </cell>
          <cell r="N37">
            <v>429</v>
          </cell>
          <cell r="O37" t="str">
            <v>615.00</v>
          </cell>
          <cell r="P37" t="str">
            <v>-</v>
          </cell>
          <cell r="Q37">
            <v>4</v>
          </cell>
          <cell r="R37">
            <v>64.349999999999994</v>
          </cell>
          <cell r="S37">
            <v>42.900000000000006</v>
          </cell>
          <cell r="T37">
            <v>21.449999999999989</v>
          </cell>
          <cell r="U37">
            <v>1030110457</v>
          </cell>
        </row>
        <row r="38">
          <cell r="A38" t="str">
            <v>16 May, 2026</v>
          </cell>
          <cell r="B38" t="str">
            <v>11:42:22 AM</v>
          </cell>
          <cell r="C38">
            <v>215779</v>
          </cell>
          <cell r="D38" t="str">
            <v>SG207316811MQC231</v>
          </cell>
          <cell r="E38">
            <v>1030108906</v>
          </cell>
          <cell r="F38" t="str">
            <v>SG207316811MQC231</v>
          </cell>
          <cell r="G38">
            <v>8435137749287</v>
          </cell>
          <cell r="H38" t="str">
            <v>Prada</v>
          </cell>
          <cell r="I38" t="str">
            <v>عطر برادا لافيم للنساء -100 مل -أو دي بارفيوم</v>
          </cell>
          <cell r="J38" t="str">
            <v>الجمال والصحة</v>
          </cell>
          <cell r="K38" t="str">
            <v>العطور</v>
          </cell>
          <cell r="L38" t="str">
            <v>Eau De Parfum</v>
          </cell>
          <cell r="M38" t="str">
            <v>Yes</v>
          </cell>
          <cell r="N38">
            <v>434</v>
          </cell>
          <cell r="O38" t="str">
            <v>593.00</v>
          </cell>
          <cell r="P38" t="str">
            <v>-</v>
          </cell>
          <cell r="Q38">
            <v>2</v>
          </cell>
          <cell r="R38">
            <v>65.099999999999994</v>
          </cell>
          <cell r="S38">
            <v>43.400000000000006</v>
          </cell>
          <cell r="T38">
            <v>21.699999999999989</v>
          </cell>
          <cell r="U38">
            <v>1030108906</v>
          </cell>
        </row>
        <row r="39">
          <cell r="A39" t="str">
            <v>16 May, 2026</v>
          </cell>
          <cell r="B39" t="str">
            <v>11:42:23 AM</v>
          </cell>
          <cell r="C39">
            <v>215879</v>
          </cell>
          <cell r="D39" t="str">
            <v>SG207316811SZ4F8A</v>
          </cell>
          <cell r="E39">
            <v>1030110377</v>
          </cell>
          <cell r="F39" t="str">
            <v>SG207316811SZ4F8A</v>
          </cell>
          <cell r="G39">
            <v>8411061045497</v>
          </cell>
          <cell r="H39" t="str">
            <v>Carolina Herrera</v>
          </cell>
          <cell r="I39" t="str">
            <v>عطر كارولينا هيريرا سي اتش جود جيرل ميدنايت للنساء - 80 مل أو دي بارفيوم</v>
          </cell>
          <cell r="J39" t="str">
            <v>الجمال والصحة</v>
          </cell>
          <cell r="K39" t="str">
            <v>العطور</v>
          </cell>
          <cell r="L39" t="str">
            <v>Eau De Parfum</v>
          </cell>
          <cell r="M39" t="str">
            <v>Yes</v>
          </cell>
          <cell r="N39">
            <v>409</v>
          </cell>
          <cell r="O39" t="str">
            <v>590.00</v>
          </cell>
          <cell r="P39" t="str">
            <v>-</v>
          </cell>
          <cell r="Q39">
            <v>2</v>
          </cell>
          <cell r="R39">
            <v>61.349999999999994</v>
          </cell>
          <cell r="S39">
            <v>40.900000000000006</v>
          </cell>
          <cell r="T39">
            <v>20.449999999999989</v>
          </cell>
          <cell r="U39">
            <v>1030110377</v>
          </cell>
        </row>
        <row r="40">
          <cell r="A40" t="str">
            <v>16 May, 2026</v>
          </cell>
          <cell r="B40" t="str">
            <v>11:42:23 AM</v>
          </cell>
          <cell r="C40">
            <v>216018</v>
          </cell>
          <cell r="D40" t="str">
            <v>SG2073168121C9A5A</v>
          </cell>
          <cell r="E40">
            <v>1030110396</v>
          </cell>
          <cell r="F40" t="str">
            <v>SG2073168121C9A5A</v>
          </cell>
          <cell r="G40">
            <v>3614273790840</v>
          </cell>
          <cell r="H40" t="str">
            <v>Valentino</v>
          </cell>
          <cell r="I40" t="str">
            <v>عطر فالنتينو دونا بورن ان روما - انتنس او دو بارفيوم -100مل</v>
          </cell>
          <cell r="J40" t="str">
            <v>الجمال والصحة</v>
          </cell>
          <cell r="K40" t="str">
            <v>العطور</v>
          </cell>
          <cell r="L40" t="str">
            <v>Eau De Parfum</v>
          </cell>
          <cell r="M40" t="str">
            <v>Yes</v>
          </cell>
          <cell r="N40">
            <v>464</v>
          </cell>
          <cell r="O40" t="str">
            <v>782.00</v>
          </cell>
          <cell r="P40" t="str">
            <v>-</v>
          </cell>
          <cell r="Q40">
            <v>2</v>
          </cell>
          <cell r="R40">
            <v>69.599999999999994</v>
          </cell>
          <cell r="S40">
            <v>46.400000000000006</v>
          </cell>
          <cell r="T40">
            <v>23.199999999999989</v>
          </cell>
          <cell r="U40">
            <v>1030110396</v>
          </cell>
        </row>
        <row r="41">
          <cell r="A41" t="str">
            <v>10 Jun, 2026</v>
          </cell>
          <cell r="B41" t="str">
            <v>01:15:33 PM</v>
          </cell>
          <cell r="C41">
            <v>219313</v>
          </cell>
          <cell r="D41" t="str">
            <v>SG2073168D6AFFE27</v>
          </cell>
          <cell r="E41">
            <v>1030106482</v>
          </cell>
          <cell r="F41" t="str">
            <v>SG2073168D6AFFE27</v>
          </cell>
          <cell r="G41">
            <v>730870179710</v>
          </cell>
          <cell r="H41" t="str">
            <v>Gucci</v>
          </cell>
          <cell r="I41" t="str">
            <v>عطر قوتشي عود انتنس للجنسين - 90 مل - أو دي بارفيوم</v>
          </cell>
          <cell r="J41" t="str">
            <v>الجمال والصحة</v>
          </cell>
          <cell r="K41" t="str">
            <v>العطور</v>
          </cell>
          <cell r="L41" t="str">
            <v>Eau De Parfum</v>
          </cell>
          <cell r="M41" t="str">
            <v>Yes</v>
          </cell>
          <cell r="N41">
            <v>382</v>
          </cell>
          <cell r="O41" t="str">
            <v>489.00</v>
          </cell>
          <cell r="P41" t="str">
            <v>-</v>
          </cell>
          <cell r="Q41">
            <v>2</v>
          </cell>
          <cell r="R41">
            <v>57.3</v>
          </cell>
          <cell r="S41">
            <v>38.200000000000003</v>
          </cell>
          <cell r="T41">
            <v>19.099999999999994</v>
          </cell>
          <cell r="U41">
            <v>1030106482</v>
          </cell>
        </row>
        <row r="42">
          <cell r="A42" t="str">
            <v>16 May, 2026</v>
          </cell>
          <cell r="B42" t="str">
            <v>11:42:22 AM</v>
          </cell>
          <cell r="C42">
            <v>215772</v>
          </cell>
          <cell r="D42" t="str">
            <v>SG207316811M82B52</v>
          </cell>
          <cell r="E42">
            <v>1030106783</v>
          </cell>
          <cell r="F42" t="str">
            <v>SG207316811M82B52</v>
          </cell>
          <cell r="G42">
            <v>3274872330146</v>
          </cell>
          <cell r="H42" t="str">
            <v>Givenchy</v>
          </cell>
          <cell r="I42" t="str">
            <v>عطر جيفنشي لانج نوار للنساء - 75 مل - أو دي بارفيوم</v>
          </cell>
          <cell r="J42" t="str">
            <v>الجمال والصحة</v>
          </cell>
          <cell r="K42" t="str">
            <v>العطور</v>
          </cell>
          <cell r="L42" t="str">
            <v>Eau De Parfum</v>
          </cell>
          <cell r="M42" t="str">
            <v>Yes</v>
          </cell>
          <cell r="N42">
            <v>369</v>
          </cell>
          <cell r="O42" t="str">
            <v>490.00</v>
          </cell>
          <cell r="P42" t="str">
            <v>-</v>
          </cell>
          <cell r="Q42">
            <v>2</v>
          </cell>
          <cell r="R42">
            <v>55.35</v>
          </cell>
          <cell r="S42">
            <v>36.9</v>
          </cell>
          <cell r="T42">
            <v>18.450000000000003</v>
          </cell>
          <cell r="U42">
            <v>1030106783</v>
          </cell>
        </row>
        <row r="43">
          <cell r="A43" t="str">
            <v>16 May, 2026</v>
          </cell>
          <cell r="B43" t="str">
            <v>11:42:22 AM</v>
          </cell>
          <cell r="C43">
            <v>215781</v>
          </cell>
          <cell r="D43" t="str">
            <v>SG207316811MV341A</v>
          </cell>
          <cell r="E43">
            <v>1030108913</v>
          </cell>
          <cell r="F43" t="str">
            <v>SG207316811MV341A</v>
          </cell>
          <cell r="G43">
            <v>8435137764402</v>
          </cell>
          <cell r="H43" t="str">
            <v>Prada</v>
          </cell>
          <cell r="I43" t="str">
            <v>عطر برادا لا فيم إنتنس للنساء - 50 مل - أو دي بارفيوم</v>
          </cell>
          <cell r="J43" t="str">
            <v>الجمال والصحة</v>
          </cell>
          <cell r="K43" t="str">
            <v>العطور</v>
          </cell>
          <cell r="L43" t="str">
            <v>Eau De Parfum</v>
          </cell>
          <cell r="M43" t="str">
            <v>Yes</v>
          </cell>
          <cell r="N43">
            <v>359</v>
          </cell>
          <cell r="O43" t="str">
            <v>490.00</v>
          </cell>
          <cell r="P43" t="str">
            <v>-</v>
          </cell>
          <cell r="Q43">
            <v>2</v>
          </cell>
          <cell r="R43">
            <v>53.85</v>
          </cell>
          <cell r="S43">
            <v>35.9</v>
          </cell>
          <cell r="T43">
            <v>17.950000000000003</v>
          </cell>
          <cell r="U43">
            <v>1030108913</v>
          </cell>
        </row>
        <row r="44">
          <cell r="A44" t="str">
            <v>10 Jun, 2026</v>
          </cell>
          <cell r="B44" t="str">
            <v>01:15:33 PM</v>
          </cell>
          <cell r="C44">
            <v>219327</v>
          </cell>
          <cell r="D44" t="str">
            <v>SG2073168D6CB88A6</v>
          </cell>
          <cell r="E44">
            <v>1030109539</v>
          </cell>
          <cell r="F44" t="str">
            <v>SG2073168D6CB88A6</v>
          </cell>
          <cell r="G44" t="str">
            <v>MGI01AB</v>
          </cell>
          <cell r="H44" t="str">
            <v>Mancera</v>
          </cell>
          <cell r="I44" t="str">
            <v>عطر مانسبرا جولد انسنس للجنسين - 120 مل - أو دي بارفيوم</v>
          </cell>
          <cell r="J44" t="str">
            <v>الجمال والصحة</v>
          </cell>
          <cell r="K44" t="str">
            <v>العطور</v>
          </cell>
          <cell r="L44" t="str">
            <v>Eau De Parfum</v>
          </cell>
          <cell r="M44" t="str">
            <v>Yes</v>
          </cell>
          <cell r="N44">
            <v>369</v>
          </cell>
          <cell r="O44" t="str">
            <v>520.00</v>
          </cell>
          <cell r="P44" t="str">
            <v>-</v>
          </cell>
          <cell r="Q44">
            <v>2</v>
          </cell>
          <cell r="R44">
            <v>55.35</v>
          </cell>
          <cell r="S44">
            <v>36.9</v>
          </cell>
          <cell r="T44">
            <v>18.450000000000003</v>
          </cell>
          <cell r="U44">
            <v>1030109539</v>
          </cell>
        </row>
        <row r="45">
          <cell r="A45" t="str">
            <v>16 May, 2026</v>
          </cell>
          <cell r="B45" t="str">
            <v>11:42:22 AM</v>
          </cell>
          <cell r="C45">
            <v>215780</v>
          </cell>
          <cell r="D45" t="str">
            <v>SG207316811MS797C</v>
          </cell>
          <cell r="E45">
            <v>1030108912</v>
          </cell>
          <cell r="F45" t="str">
            <v>SG207316811MS797C</v>
          </cell>
          <cell r="G45">
            <v>8435137764433</v>
          </cell>
          <cell r="H45" t="str">
            <v>Prada</v>
          </cell>
          <cell r="I45" t="str">
            <v>عطر برادا لا فيم انتنس للنساء - 100 مل - أو دي بارفيوم</v>
          </cell>
          <cell r="J45" t="str">
            <v>الجمال والصحة</v>
          </cell>
          <cell r="K45" t="str">
            <v>العطور</v>
          </cell>
          <cell r="L45" t="str">
            <v>Eau De Parfum</v>
          </cell>
          <cell r="M45" t="str">
            <v>Yes</v>
          </cell>
          <cell r="N45">
            <v>500</v>
          </cell>
          <cell r="O45" t="str">
            <v>640.00</v>
          </cell>
          <cell r="P45" t="str">
            <v>-</v>
          </cell>
          <cell r="Q45">
            <v>2</v>
          </cell>
          <cell r="R45">
            <v>75</v>
          </cell>
          <cell r="S45">
            <v>50</v>
          </cell>
          <cell r="T45">
            <v>25</v>
          </cell>
          <cell r="U45">
            <v>1030108912</v>
          </cell>
        </row>
        <row r="46">
          <cell r="A46" t="str">
            <v>12 May, 2026</v>
          </cell>
          <cell r="B46" t="str">
            <v>12:49:59 PM</v>
          </cell>
          <cell r="C46">
            <v>215058</v>
          </cell>
          <cell r="D46" t="str">
            <v>SG2073175OL2B41CF</v>
          </cell>
          <cell r="E46">
            <v>1030110823</v>
          </cell>
          <cell r="F46" t="str">
            <v>SG2073175OL2B41CF</v>
          </cell>
          <cell r="G46">
            <v>3386460153720</v>
          </cell>
          <cell r="H46" t="str">
            <v>Mont Blanc</v>
          </cell>
          <cell r="I46" t="str">
            <v>عطر مونت بلانك إكسبلورر إكستريم – برفيوم – 100 مل</v>
          </cell>
          <cell r="J46" t="str">
            <v>الجمال والصحة</v>
          </cell>
          <cell r="K46" t="str">
            <v>العطور</v>
          </cell>
          <cell r="L46" t="str">
            <v>Parfum</v>
          </cell>
          <cell r="M46" t="str">
            <v>Yes</v>
          </cell>
          <cell r="N46">
            <v>225</v>
          </cell>
          <cell r="O46" t="str">
            <v>460.00</v>
          </cell>
          <cell r="P46" t="str">
            <v>-</v>
          </cell>
          <cell r="Q46">
            <v>2</v>
          </cell>
          <cell r="R46">
            <v>33.75</v>
          </cell>
          <cell r="S46">
            <v>22.5</v>
          </cell>
          <cell r="T46">
            <v>11.25</v>
          </cell>
          <cell r="U46">
            <v>1030110823</v>
          </cell>
        </row>
        <row r="47">
          <cell r="A47" t="str">
            <v>16 May, 2026</v>
          </cell>
          <cell r="B47" t="str">
            <v>11:42:23 AM</v>
          </cell>
          <cell r="C47">
            <v>215953</v>
          </cell>
          <cell r="D47" t="str">
            <v>SG207316811XD5E7B</v>
          </cell>
          <cell r="E47">
            <v>1030105517</v>
          </cell>
          <cell r="F47" t="str">
            <v>SG207316811XD5E7B</v>
          </cell>
          <cell r="G47">
            <v>8411061777176</v>
          </cell>
          <cell r="H47" t="str">
            <v>Carolina Herrera</v>
          </cell>
          <cell r="I47" t="str">
            <v>عطر كارولينا هيريرا 212 في آي بي روز للنساء - 80 مل - أو دي بارفيوم</v>
          </cell>
          <cell r="J47" t="str">
            <v>الجمال والصحة</v>
          </cell>
          <cell r="K47" t="str">
            <v>العطور</v>
          </cell>
          <cell r="L47" t="str">
            <v>Eau De Parfum</v>
          </cell>
          <cell r="M47" t="str">
            <v>Yes</v>
          </cell>
          <cell r="N47">
            <v>295</v>
          </cell>
          <cell r="O47" t="str">
            <v>421.00</v>
          </cell>
          <cell r="P47" t="str">
            <v>-</v>
          </cell>
          <cell r="Q47">
            <v>2</v>
          </cell>
          <cell r="R47">
            <v>44.25</v>
          </cell>
          <cell r="S47">
            <v>29.5</v>
          </cell>
          <cell r="T47">
            <v>14.75</v>
          </cell>
          <cell r="U47">
            <v>1030105517</v>
          </cell>
        </row>
        <row r="48">
          <cell r="A48" t="str">
            <v>12 May, 2026</v>
          </cell>
          <cell r="B48" t="str">
            <v>12:49:59 PM</v>
          </cell>
          <cell r="C48">
            <v>215036</v>
          </cell>
          <cell r="D48" t="str">
            <v>SG2073169OL1EF52F</v>
          </cell>
          <cell r="E48">
            <v>1030101183</v>
          </cell>
          <cell r="F48" t="str">
            <v>SG2073169OL1EF52F</v>
          </cell>
          <cell r="G48">
            <v>783320413698</v>
          </cell>
          <cell r="H48" t="str">
            <v>Bvlgari</v>
          </cell>
          <cell r="I48" t="str">
            <v>عطر بولغاري اكوا للرجال - 100 مل - أو دي تواليت</v>
          </cell>
          <cell r="J48" t="str">
            <v>الجمال والصحة</v>
          </cell>
          <cell r="K48" t="str">
            <v>العطور</v>
          </cell>
          <cell r="L48" t="str">
            <v>Eau De Toilette</v>
          </cell>
          <cell r="M48" t="str">
            <v>Yes</v>
          </cell>
          <cell r="N48">
            <v>345</v>
          </cell>
          <cell r="O48" t="str">
            <v>460.00</v>
          </cell>
          <cell r="P48" t="str">
            <v>-</v>
          </cell>
          <cell r="Q48">
            <v>2</v>
          </cell>
          <cell r="R48">
            <v>51.75</v>
          </cell>
          <cell r="S48">
            <v>34.5</v>
          </cell>
          <cell r="T48">
            <v>17.25</v>
          </cell>
          <cell r="U48">
            <v>1030101183</v>
          </cell>
        </row>
        <row r="49">
          <cell r="A49" t="str">
            <v>16 May, 2026</v>
          </cell>
          <cell r="B49" t="str">
            <v>11:42:23 AM</v>
          </cell>
          <cell r="C49">
            <v>215982</v>
          </cell>
          <cell r="D49" t="str">
            <v>SG207316811YW5B09</v>
          </cell>
          <cell r="E49">
            <v>1030100392</v>
          </cell>
          <cell r="F49" t="str">
            <v>SG207316811YW5B09</v>
          </cell>
          <cell r="G49">
            <v>3393670000027</v>
          </cell>
          <cell r="H49" t="str">
            <v>Escada</v>
          </cell>
          <cell r="I49" t="str">
            <v>عطر إسكادا ماجنيتزم للنساء - 75 مل - أو دي بارفيوم</v>
          </cell>
          <cell r="J49" t="str">
            <v>الجمال والصحة</v>
          </cell>
          <cell r="K49" t="str">
            <v>العطور</v>
          </cell>
          <cell r="L49" t="str">
            <v>Eau De Parfum</v>
          </cell>
          <cell r="M49" t="str">
            <v>Yes</v>
          </cell>
          <cell r="N49">
            <v>109</v>
          </cell>
          <cell r="O49" t="str">
            <v>251.00</v>
          </cell>
          <cell r="P49" t="str">
            <v>-</v>
          </cell>
          <cell r="Q49">
            <v>2</v>
          </cell>
          <cell r="R49">
            <v>16.349999999999998</v>
          </cell>
          <cell r="S49">
            <v>10.9</v>
          </cell>
          <cell r="T49">
            <v>5.4499999999999975</v>
          </cell>
          <cell r="U49">
            <v>1030100392</v>
          </cell>
        </row>
        <row r="50">
          <cell r="A50" t="str">
            <v>16 May, 2026</v>
          </cell>
          <cell r="B50" t="str">
            <v>11:42:22 AM</v>
          </cell>
          <cell r="C50">
            <v>215774</v>
          </cell>
          <cell r="D50" t="str">
            <v>SG207316811MC9F85</v>
          </cell>
          <cell r="E50">
            <v>1030106784</v>
          </cell>
          <cell r="F50" t="str">
            <v>SG207316811MC9F85</v>
          </cell>
          <cell r="G50">
            <v>3274872330139</v>
          </cell>
          <cell r="H50" t="str">
            <v>Givenchy</v>
          </cell>
          <cell r="I50" t="str">
            <v>عطر جيفنشي لانج نوارللنساء - 50 مل - أو دي بارفيوم</v>
          </cell>
          <cell r="J50" t="str">
            <v>الجمال والصحة</v>
          </cell>
          <cell r="K50" t="str">
            <v>العطور</v>
          </cell>
          <cell r="L50" t="str">
            <v>Eau De Parfum</v>
          </cell>
          <cell r="M50" t="str">
            <v>Yes</v>
          </cell>
          <cell r="N50">
            <v>305</v>
          </cell>
          <cell r="O50" t="str">
            <v>410.00</v>
          </cell>
          <cell r="P50" t="str">
            <v>-</v>
          </cell>
          <cell r="Q50">
            <v>3</v>
          </cell>
          <cell r="R50">
            <v>45.75</v>
          </cell>
          <cell r="S50">
            <v>30.5</v>
          </cell>
          <cell r="T50">
            <v>15.25</v>
          </cell>
          <cell r="U50">
            <v>1030106784</v>
          </cell>
        </row>
        <row r="51">
          <cell r="A51" t="str">
            <v>16 May, 2026</v>
          </cell>
          <cell r="B51" t="str">
            <v>11:42:22 AM</v>
          </cell>
          <cell r="C51">
            <v>215769</v>
          </cell>
          <cell r="D51" t="str">
            <v>SG207316911M036DE</v>
          </cell>
          <cell r="E51">
            <v>1030106561</v>
          </cell>
          <cell r="F51" t="str">
            <v>SG207316911M036DE</v>
          </cell>
          <cell r="G51">
            <v>3349668536511</v>
          </cell>
          <cell r="H51" t="str">
            <v>Paco Rabanne</v>
          </cell>
          <cell r="I51" t="str">
            <v>عطر باكو رابان أوليمبيا أكوا للنساء - 80 مل - أو دي تواليت</v>
          </cell>
          <cell r="J51" t="str">
            <v>الجمال والصحة</v>
          </cell>
          <cell r="K51" t="str">
            <v>العطور</v>
          </cell>
          <cell r="L51" t="str">
            <v>Eau De Toilette</v>
          </cell>
          <cell r="M51" t="str">
            <v>Yes</v>
          </cell>
          <cell r="N51">
            <v>295</v>
          </cell>
          <cell r="O51" t="str">
            <v>398.00</v>
          </cell>
          <cell r="P51" t="str">
            <v>-</v>
          </cell>
          <cell r="Q51">
            <v>2</v>
          </cell>
          <cell r="R51">
            <v>44.25</v>
          </cell>
          <cell r="S51">
            <v>29.5</v>
          </cell>
          <cell r="T51">
            <v>14.75</v>
          </cell>
          <cell r="U51">
            <v>1030106561</v>
          </cell>
        </row>
        <row r="52">
          <cell r="A52" t="str">
            <v>16 May, 2026</v>
          </cell>
          <cell r="B52" t="str">
            <v>11:42:22 AM</v>
          </cell>
          <cell r="C52">
            <v>215685</v>
          </cell>
          <cell r="D52" t="str">
            <v>SG207316811GJ0741</v>
          </cell>
          <cell r="E52">
            <v>1030100688</v>
          </cell>
          <cell r="F52" t="str">
            <v>SG207316811GJ0741</v>
          </cell>
          <cell r="G52">
            <v>3605520380310</v>
          </cell>
          <cell r="H52" t="str">
            <v>Giorgio Armani</v>
          </cell>
          <cell r="I52" t="str">
            <v>عطر جورجيو أرماني إمبوريو أرماني دايموندز للنساء - 100 مل - أو دي بارفيوم</v>
          </cell>
          <cell r="J52" t="str">
            <v>الجمال والصحة</v>
          </cell>
          <cell r="K52" t="str">
            <v>العطور</v>
          </cell>
          <cell r="L52" t="str">
            <v>Eau De Parfum</v>
          </cell>
          <cell r="M52" t="str">
            <v>Yes</v>
          </cell>
          <cell r="N52">
            <v>290</v>
          </cell>
          <cell r="O52" t="str">
            <v>414.00</v>
          </cell>
          <cell r="P52" t="str">
            <v>-</v>
          </cell>
          <cell r="Q52">
            <v>2</v>
          </cell>
          <cell r="R52">
            <v>43.5</v>
          </cell>
          <cell r="S52">
            <v>29</v>
          </cell>
          <cell r="T52">
            <v>14.5</v>
          </cell>
          <cell r="U52">
            <v>1030100688</v>
          </cell>
        </row>
        <row r="53">
          <cell r="A53" t="str">
            <v>16 May, 2026</v>
          </cell>
          <cell r="B53" t="str">
            <v>11:42:22 AM</v>
          </cell>
          <cell r="C53">
            <v>215835</v>
          </cell>
          <cell r="D53" t="str">
            <v>SG207316811Q9D5D3</v>
          </cell>
          <cell r="E53">
            <v>1030100962</v>
          </cell>
          <cell r="F53" t="str">
            <v>SG207316811Q9D5D3</v>
          </cell>
          <cell r="G53">
            <v>3439602820117</v>
          </cell>
          <cell r="H53" t="str">
            <v>Thierry Mugler</v>
          </cell>
          <cell r="I53" t="str">
            <v>عطر تيري موغلر ايسنس ابسولو للنساء - 30 مل - أو دي بارفيوم</v>
          </cell>
          <cell r="J53" t="str">
            <v>الجمال والصحة</v>
          </cell>
          <cell r="K53" t="str">
            <v>العطور</v>
          </cell>
          <cell r="L53" t="str">
            <v>Eau De Parfum</v>
          </cell>
          <cell r="M53" t="str">
            <v>Yes</v>
          </cell>
          <cell r="N53">
            <v>270</v>
          </cell>
          <cell r="O53" t="str">
            <v>420.00</v>
          </cell>
          <cell r="P53" t="str">
            <v>-</v>
          </cell>
          <cell r="Q53">
            <v>2</v>
          </cell>
          <cell r="R53">
            <v>40.5</v>
          </cell>
          <cell r="S53">
            <v>27</v>
          </cell>
          <cell r="T53">
            <v>13.5</v>
          </cell>
          <cell r="U53">
            <v>1030100962</v>
          </cell>
        </row>
        <row r="54">
          <cell r="A54" t="str">
            <v>16 May, 2026</v>
          </cell>
          <cell r="B54" t="str">
            <v>11:42:22 AM</v>
          </cell>
          <cell r="C54">
            <v>215843</v>
          </cell>
          <cell r="D54" t="str">
            <v>SG207316811QM794F</v>
          </cell>
          <cell r="E54">
            <v>1030104571</v>
          </cell>
          <cell r="F54" t="str">
            <v>SG207316811QM794F</v>
          </cell>
          <cell r="G54">
            <v>3346132301231</v>
          </cell>
          <cell r="H54" t="str">
            <v>Hermes</v>
          </cell>
          <cell r="I54" t="str">
            <v>عطر هيرمس جور دي هيرمس للنساء - 50 مل - أو دي بارفيوم</v>
          </cell>
          <cell r="J54" t="str">
            <v>الجمال والصحة</v>
          </cell>
          <cell r="K54" t="str">
            <v>العطور</v>
          </cell>
          <cell r="L54" t="str">
            <v>Eau De Parfum</v>
          </cell>
          <cell r="M54" t="str">
            <v>Yes</v>
          </cell>
          <cell r="N54">
            <v>299</v>
          </cell>
          <cell r="O54" t="str">
            <v>410.00</v>
          </cell>
          <cell r="P54" t="str">
            <v>-</v>
          </cell>
          <cell r="Q54">
            <v>3</v>
          </cell>
          <cell r="R54">
            <v>44.85</v>
          </cell>
          <cell r="S54">
            <v>29.900000000000002</v>
          </cell>
          <cell r="T54">
            <v>14.95</v>
          </cell>
          <cell r="U54">
            <v>1030104571</v>
          </cell>
        </row>
        <row r="55">
          <cell r="A55" t="str">
            <v>10 Jun, 2026</v>
          </cell>
          <cell r="B55" t="str">
            <v>01:15:33 PM</v>
          </cell>
          <cell r="C55">
            <v>219316</v>
          </cell>
          <cell r="D55" t="str">
            <v>SG2073168D6AV0C30</v>
          </cell>
          <cell r="E55">
            <v>1030106792</v>
          </cell>
          <cell r="F55" t="str">
            <v>SG2073168D6AV0C30</v>
          </cell>
          <cell r="G55" t="str">
            <v>M0060208B</v>
          </cell>
          <cell r="H55" t="str">
            <v>Montale</v>
          </cell>
          <cell r="I55" t="str">
            <v>عطر مونتال ذا نيو روز للجنسين - 100 مل - أو دي بارفيوم</v>
          </cell>
          <cell r="J55" t="str">
            <v>الجمال والصحة</v>
          </cell>
          <cell r="K55" t="str">
            <v>العطور</v>
          </cell>
          <cell r="L55" t="str">
            <v>Eau De Parfum</v>
          </cell>
          <cell r="M55" t="str">
            <v>Yes</v>
          </cell>
          <cell r="N55">
            <v>290</v>
          </cell>
          <cell r="O55" t="str">
            <v>415.00</v>
          </cell>
          <cell r="P55" t="str">
            <v>-</v>
          </cell>
          <cell r="Q55">
            <v>2</v>
          </cell>
          <cell r="R55">
            <v>43.5</v>
          </cell>
          <cell r="S55">
            <v>29</v>
          </cell>
          <cell r="T55">
            <v>14.5</v>
          </cell>
          <cell r="U55">
            <v>1030106792</v>
          </cell>
        </row>
        <row r="56">
          <cell r="A56" t="str">
            <v>16 May, 2026</v>
          </cell>
          <cell r="B56" t="str">
            <v>11:42:23 AM</v>
          </cell>
          <cell r="C56">
            <v>215901</v>
          </cell>
          <cell r="D56" t="str">
            <v>SG207316811U47FEB</v>
          </cell>
          <cell r="E56">
            <v>1030110621</v>
          </cell>
          <cell r="F56" t="str">
            <v>SG207316811U47FEB</v>
          </cell>
          <cell r="G56">
            <v>8411061083659</v>
          </cell>
          <cell r="H56" t="str">
            <v>Carolina Herrera</v>
          </cell>
          <cell r="I56" t="str">
            <v>كارولينا هيريرا قود غيرل بلَش إليكسير – أو دو بارفيوم – 80 مل</v>
          </cell>
          <cell r="J56" t="str">
            <v>الجمال والصحة</v>
          </cell>
          <cell r="K56" t="str">
            <v>العطور</v>
          </cell>
          <cell r="L56" t="str">
            <v>Eau De Parfum</v>
          </cell>
          <cell r="M56" t="str">
            <v>Yes</v>
          </cell>
          <cell r="N56">
            <v>419</v>
          </cell>
          <cell r="O56" t="str">
            <v>650.00</v>
          </cell>
          <cell r="P56" t="str">
            <v>-</v>
          </cell>
          <cell r="Q56">
            <v>2</v>
          </cell>
          <cell r="R56">
            <v>62.849999999999994</v>
          </cell>
          <cell r="S56">
            <v>41.900000000000006</v>
          </cell>
          <cell r="T56">
            <v>20.949999999999989</v>
          </cell>
          <cell r="U56">
            <v>1030110621</v>
          </cell>
        </row>
        <row r="57">
          <cell r="A57" t="str">
            <v>16 May, 2026</v>
          </cell>
          <cell r="B57" t="str">
            <v>11:42:22 AM</v>
          </cell>
          <cell r="C57">
            <v>215624</v>
          </cell>
          <cell r="D57" t="str">
            <v>SG207316811C199E9</v>
          </cell>
          <cell r="E57">
            <v>1030103986</v>
          </cell>
          <cell r="F57" t="str">
            <v>SG207316811C199E9</v>
          </cell>
          <cell r="G57">
            <v>3349668508570</v>
          </cell>
          <cell r="H57" t="str">
            <v>Paco Rabanne</v>
          </cell>
          <cell r="I57" t="str">
            <v>عطر باكو رابان ليدي مليون للنساء - 80 مل -أو دي بارفيوم</v>
          </cell>
          <cell r="J57" t="str">
            <v>الجمال والصحة</v>
          </cell>
          <cell r="K57" t="str">
            <v>العطور</v>
          </cell>
          <cell r="L57" t="str">
            <v>Eau De Parfum</v>
          </cell>
          <cell r="M57" t="str">
            <v>Yes</v>
          </cell>
          <cell r="N57">
            <v>279</v>
          </cell>
          <cell r="O57" t="str">
            <v>420.00</v>
          </cell>
          <cell r="P57" t="str">
            <v>-</v>
          </cell>
          <cell r="Q57">
            <v>3</v>
          </cell>
          <cell r="R57">
            <v>41.85</v>
          </cell>
          <cell r="S57">
            <v>27.900000000000002</v>
          </cell>
          <cell r="T57">
            <v>13.95</v>
          </cell>
          <cell r="U57">
            <v>1030103986</v>
          </cell>
        </row>
        <row r="58">
          <cell r="A58" t="str">
            <v>16 May, 2026</v>
          </cell>
          <cell r="B58" t="str">
            <v>11:42:23 AM</v>
          </cell>
          <cell r="C58">
            <v>215984</v>
          </cell>
          <cell r="D58" t="str">
            <v>SG207316811Z0ABA7</v>
          </cell>
          <cell r="E58">
            <v>1030104308</v>
          </cell>
          <cell r="F58" t="str">
            <v>SG207316811Z0ABA7</v>
          </cell>
          <cell r="G58">
            <v>3423478840652</v>
          </cell>
          <cell r="H58" t="str">
            <v>Narciso Rodriguez</v>
          </cell>
          <cell r="I58" t="str">
            <v>عطر نرسيسو بودر للنساء - 90 مل - أو دي بارفيوم</v>
          </cell>
          <cell r="J58" t="str">
            <v>الجمال والصحة</v>
          </cell>
          <cell r="K58" t="str">
            <v>العطور</v>
          </cell>
          <cell r="L58" t="str">
            <v>Eau De Parfum</v>
          </cell>
          <cell r="M58" t="str">
            <v>Yes</v>
          </cell>
          <cell r="N58">
            <v>222</v>
          </cell>
          <cell r="O58" t="str">
            <v>480.00</v>
          </cell>
          <cell r="P58" t="str">
            <v>-</v>
          </cell>
          <cell r="Q58">
            <v>2</v>
          </cell>
          <cell r="R58">
            <v>33.299999999999997</v>
          </cell>
          <cell r="S58">
            <v>22.200000000000003</v>
          </cell>
          <cell r="T58">
            <v>11.099999999999994</v>
          </cell>
          <cell r="U58">
            <v>1030104308</v>
          </cell>
        </row>
        <row r="59">
          <cell r="A59" t="str">
            <v>12 May, 2026</v>
          </cell>
          <cell r="B59" t="str">
            <v>12:49:59 PM</v>
          </cell>
          <cell r="C59">
            <v>214802</v>
          </cell>
          <cell r="D59" t="str">
            <v>SG2073168OKPZ6F17</v>
          </cell>
          <cell r="E59">
            <v>1030104702</v>
          </cell>
          <cell r="F59" t="str">
            <v>SG2073168OKPZ6F17</v>
          </cell>
          <cell r="G59" t="str">
            <v>M0060162B</v>
          </cell>
          <cell r="H59" t="str">
            <v>Montale</v>
          </cell>
          <cell r="I59" t="str">
            <v>عطر مونتال عود إيفر للرجال - 100 مل - أو دي بارفيوم</v>
          </cell>
          <cell r="J59" t="str">
            <v>الجمال والصحة</v>
          </cell>
          <cell r="K59" t="str">
            <v>العطور</v>
          </cell>
          <cell r="L59" t="str">
            <v>Eau De Parfum</v>
          </cell>
          <cell r="M59" t="str">
            <v>Yes</v>
          </cell>
          <cell r="N59">
            <v>289</v>
          </cell>
          <cell r="O59" t="str">
            <v>393.00</v>
          </cell>
          <cell r="P59" t="str">
            <v>-</v>
          </cell>
          <cell r="Q59">
            <v>2</v>
          </cell>
          <cell r="R59">
            <v>43.35</v>
          </cell>
          <cell r="S59">
            <v>28.900000000000002</v>
          </cell>
          <cell r="T59">
            <v>14.45</v>
          </cell>
          <cell r="U59">
            <v>1030104702</v>
          </cell>
        </row>
        <row r="60">
          <cell r="A60" t="str">
            <v>16 May, 2026</v>
          </cell>
          <cell r="B60" t="str">
            <v>11:42:23 AM</v>
          </cell>
          <cell r="C60">
            <v>215956</v>
          </cell>
          <cell r="D60" t="str">
            <v>SG207316911XH6E37</v>
          </cell>
          <cell r="E60">
            <v>1030106481</v>
          </cell>
          <cell r="F60" t="str">
            <v>SG207316911XH6E37</v>
          </cell>
          <cell r="G60">
            <v>737052957036</v>
          </cell>
          <cell r="H60" t="str">
            <v>Stella Mccartney</v>
          </cell>
          <cell r="I60" t="str">
            <v>عطر ستيلا مكارتني للنساء - 50 مل - أو دي تواليت</v>
          </cell>
          <cell r="J60" t="str">
            <v>الجمال والصحة</v>
          </cell>
          <cell r="K60" t="str">
            <v>العطور</v>
          </cell>
          <cell r="L60" t="str">
            <v>Eau De Toilette</v>
          </cell>
          <cell r="M60" t="str">
            <v>Yes</v>
          </cell>
          <cell r="N60">
            <v>270</v>
          </cell>
          <cell r="O60" t="str">
            <v>390.00</v>
          </cell>
          <cell r="P60" t="str">
            <v>-</v>
          </cell>
          <cell r="Q60">
            <v>2</v>
          </cell>
          <cell r="R60">
            <v>40.5</v>
          </cell>
          <cell r="S60">
            <v>27</v>
          </cell>
          <cell r="T60">
            <v>13.5</v>
          </cell>
          <cell r="U60">
            <v>1030106481</v>
          </cell>
        </row>
        <row r="61">
          <cell r="A61" t="str">
            <v>12 May, 2026</v>
          </cell>
          <cell r="B61" t="str">
            <v>12:49:59 PM</v>
          </cell>
          <cell r="C61">
            <v>215035</v>
          </cell>
          <cell r="D61" t="str">
            <v>SG2073168OL1D88D9</v>
          </cell>
          <cell r="E61">
            <v>1030110137</v>
          </cell>
          <cell r="F61" t="str">
            <v>SG2073168OL1D88D9</v>
          </cell>
          <cell r="G61">
            <v>3614273336383</v>
          </cell>
          <cell r="H61" t="str">
            <v>Giorgio Armani</v>
          </cell>
          <cell r="I61" t="str">
            <v>عطر جورجيو ارماني سترونجر ويذ يو أبسلوتلي للرجال -100مل - أو دي بارفيوم</v>
          </cell>
          <cell r="J61" t="str">
            <v>الجمال والصحة</v>
          </cell>
          <cell r="K61" t="str">
            <v>العطور</v>
          </cell>
          <cell r="L61" t="str">
            <v>Eau De Parfum</v>
          </cell>
          <cell r="M61" t="str">
            <v>Yes</v>
          </cell>
          <cell r="N61">
            <v>325</v>
          </cell>
          <cell r="O61" t="str">
            <v>491.00</v>
          </cell>
          <cell r="P61" t="str">
            <v>-</v>
          </cell>
          <cell r="Q61">
            <v>2</v>
          </cell>
          <cell r="R61">
            <v>48.75</v>
          </cell>
          <cell r="S61">
            <v>32.5</v>
          </cell>
          <cell r="T61">
            <v>16.25</v>
          </cell>
          <cell r="U61">
            <v>1030110137</v>
          </cell>
        </row>
        <row r="62">
          <cell r="A62" t="str">
            <v>16 May, 2026</v>
          </cell>
          <cell r="B62" t="str">
            <v>11:42:22 AM</v>
          </cell>
          <cell r="C62">
            <v>215765</v>
          </cell>
          <cell r="D62" t="str">
            <v>SG207316811LQ69E3</v>
          </cell>
          <cell r="E62">
            <v>1030106388</v>
          </cell>
          <cell r="F62" t="str">
            <v>SG207316811LQ69E3</v>
          </cell>
          <cell r="G62">
            <v>3607342831773</v>
          </cell>
          <cell r="H62" t="str">
            <v>Calvin Klein</v>
          </cell>
          <cell r="I62" t="str">
            <v>عطر كالفن كلاين ايفوريا جولد اديشن للنساء - 100 مل - أو دي بارفيوم</v>
          </cell>
          <cell r="J62" t="str">
            <v>الجمال والصحة</v>
          </cell>
          <cell r="K62" t="str">
            <v>العطور</v>
          </cell>
          <cell r="L62" t="str">
            <v>Eau De Parfum</v>
          </cell>
          <cell r="M62" t="str">
            <v>Yes</v>
          </cell>
          <cell r="N62">
            <v>249</v>
          </cell>
          <cell r="O62" t="str">
            <v>379.00</v>
          </cell>
          <cell r="P62" t="str">
            <v>-</v>
          </cell>
          <cell r="Q62">
            <v>2</v>
          </cell>
          <cell r="R62">
            <v>37.35</v>
          </cell>
          <cell r="S62">
            <v>24.900000000000002</v>
          </cell>
          <cell r="T62">
            <v>12.45</v>
          </cell>
          <cell r="U62">
            <v>1030106388</v>
          </cell>
        </row>
        <row r="63">
          <cell r="A63" t="str">
            <v>16 May, 2026</v>
          </cell>
          <cell r="B63" t="str">
            <v>11:42:23 AM</v>
          </cell>
          <cell r="C63">
            <v>215965</v>
          </cell>
          <cell r="D63" t="str">
            <v>SG207316811XYBCD1</v>
          </cell>
          <cell r="E63">
            <v>1030109521</v>
          </cell>
          <cell r="F63" t="str">
            <v>SG207316811XYBCD1</v>
          </cell>
          <cell r="G63">
            <v>3346470133150</v>
          </cell>
          <cell r="H63" t="str">
            <v>Guerlain</v>
          </cell>
          <cell r="I63" t="str">
            <v>عطر جيرلان لينستانت ماجيك للنساء - 75 مل - أو دي بارفيوم</v>
          </cell>
          <cell r="J63" t="str">
            <v>الجمال والصحة</v>
          </cell>
          <cell r="K63" t="str">
            <v>العطور</v>
          </cell>
          <cell r="L63" t="str">
            <v>Eau De Parfum</v>
          </cell>
          <cell r="M63" t="str">
            <v>Yes</v>
          </cell>
          <cell r="N63">
            <v>425</v>
          </cell>
          <cell r="O63" t="str">
            <v>570.00</v>
          </cell>
          <cell r="P63" t="str">
            <v>-</v>
          </cell>
          <cell r="Q63">
            <v>2</v>
          </cell>
          <cell r="R63">
            <v>63.75</v>
          </cell>
          <cell r="S63">
            <v>42.5</v>
          </cell>
          <cell r="T63">
            <v>21.25</v>
          </cell>
          <cell r="U63">
            <v>1030109521</v>
          </cell>
        </row>
        <row r="64">
          <cell r="A64" t="str">
            <v>16 May, 2026</v>
          </cell>
          <cell r="B64" t="str">
            <v>11:42:22 AM</v>
          </cell>
          <cell r="C64">
            <v>215846</v>
          </cell>
          <cell r="D64" t="str">
            <v>SG207316811QR27B9</v>
          </cell>
          <cell r="E64">
            <v>1030105910</v>
          </cell>
          <cell r="F64" t="str">
            <v>SG207316811QR27B9</v>
          </cell>
          <cell r="G64">
            <v>8011003817979</v>
          </cell>
          <cell r="H64" t="str">
            <v>Moschino</v>
          </cell>
          <cell r="I64" t="str">
            <v>عطر موسكينو شيب آند شيك ستارز للنساء - 100 مل - أو دي بارفيوم</v>
          </cell>
          <cell r="J64" t="str">
            <v>الجمال والصحة</v>
          </cell>
          <cell r="K64" t="str">
            <v>العطور</v>
          </cell>
          <cell r="L64" t="str">
            <v>Eau De Parfum</v>
          </cell>
          <cell r="M64" t="str">
            <v>Yes</v>
          </cell>
          <cell r="N64">
            <v>260</v>
          </cell>
          <cell r="O64" t="str">
            <v>384.00</v>
          </cell>
          <cell r="P64" t="str">
            <v>-</v>
          </cell>
          <cell r="Q64">
            <v>2</v>
          </cell>
          <cell r="R64">
            <v>39</v>
          </cell>
          <cell r="S64">
            <v>26</v>
          </cell>
          <cell r="T64">
            <v>13</v>
          </cell>
          <cell r="U64">
            <v>1030105910</v>
          </cell>
        </row>
        <row r="65">
          <cell r="A65" t="str">
            <v>16 May, 2026</v>
          </cell>
          <cell r="B65" t="str">
            <v>11:42:23 AM</v>
          </cell>
          <cell r="C65">
            <v>215903</v>
          </cell>
          <cell r="D65" t="str">
            <v>SG207316811U620E4</v>
          </cell>
          <cell r="E65">
            <v>1030110985</v>
          </cell>
          <cell r="F65" t="str">
            <v>SG207316811U620E4</v>
          </cell>
          <cell r="G65">
            <v>8435415076838</v>
          </cell>
          <cell r="H65" t="str">
            <v>Jean Paul Gaultier</v>
          </cell>
          <cell r="I65" t="str">
            <v>عطر غولتير ديفين – أو دو بارفيوم – 100 مل</v>
          </cell>
          <cell r="J65" t="str">
            <v>الجمال والصحة</v>
          </cell>
          <cell r="K65" t="str">
            <v>العطور</v>
          </cell>
          <cell r="L65" t="str">
            <v>Eau De Parfum</v>
          </cell>
          <cell r="M65" t="str">
            <v>Yes</v>
          </cell>
          <cell r="N65">
            <v>379</v>
          </cell>
          <cell r="O65" t="str">
            <v>529.00</v>
          </cell>
          <cell r="P65" t="str">
            <v>-</v>
          </cell>
          <cell r="Q65">
            <v>2</v>
          </cell>
          <cell r="R65">
            <v>56.85</v>
          </cell>
          <cell r="S65">
            <v>37.9</v>
          </cell>
          <cell r="T65">
            <v>18.950000000000003</v>
          </cell>
          <cell r="U65">
            <v>1030110985</v>
          </cell>
        </row>
        <row r="66">
          <cell r="A66" t="str">
            <v>16 May, 2026</v>
          </cell>
          <cell r="B66" t="str">
            <v>11:42:23 AM</v>
          </cell>
          <cell r="C66">
            <v>215951</v>
          </cell>
          <cell r="D66" t="str">
            <v>SG207316811XA49F2</v>
          </cell>
          <cell r="E66">
            <v>1030111036</v>
          </cell>
          <cell r="F66" t="str">
            <v>SG207316811XA49F2</v>
          </cell>
          <cell r="G66">
            <v>3386460156875</v>
          </cell>
          <cell r="H66" t="str">
            <v>Lacoste</v>
          </cell>
          <cell r="I66" t="str">
            <v>عطر لاكوست أورجينال للنساء – أو دو بارفيوم – 100 مل</v>
          </cell>
          <cell r="J66" t="str">
            <v>الجمال والصحة</v>
          </cell>
          <cell r="K66" t="str">
            <v>العطور</v>
          </cell>
          <cell r="L66" t="str">
            <v>Eau De Parfum</v>
          </cell>
          <cell r="M66" t="str">
            <v>Yes</v>
          </cell>
          <cell r="N66">
            <v>200</v>
          </cell>
          <cell r="O66" t="str">
            <v>340.00</v>
          </cell>
          <cell r="P66" t="str">
            <v>-</v>
          </cell>
          <cell r="Q66">
            <v>2</v>
          </cell>
          <cell r="R66">
            <v>30</v>
          </cell>
          <cell r="S66">
            <v>20</v>
          </cell>
          <cell r="T66">
            <v>10</v>
          </cell>
          <cell r="U66">
            <v>1030111036</v>
          </cell>
        </row>
        <row r="67">
          <cell r="A67" t="str">
            <v>16 May, 2026</v>
          </cell>
          <cell r="B67" t="str">
            <v>11:42:23 AM</v>
          </cell>
          <cell r="C67">
            <v>215970</v>
          </cell>
          <cell r="D67" t="str">
            <v>SG207316811Y82388</v>
          </cell>
          <cell r="E67">
            <v>1030109413</v>
          </cell>
          <cell r="F67" t="str">
            <v>SG207316811Y82388</v>
          </cell>
          <cell r="G67">
            <v>8005610524146</v>
          </cell>
          <cell r="H67" t="str">
            <v>Gucci</v>
          </cell>
          <cell r="I67" t="str">
            <v>عطر جوتشي جولتي ابسولوت للنساء - 50 مل - أو دي بارفيوم</v>
          </cell>
          <cell r="J67" t="str">
            <v>الجمال والصحة</v>
          </cell>
          <cell r="K67" t="str">
            <v>العطور</v>
          </cell>
          <cell r="L67" t="str">
            <v>Eau De Parfum</v>
          </cell>
          <cell r="M67" t="str">
            <v>Yes</v>
          </cell>
          <cell r="N67">
            <v>239</v>
          </cell>
          <cell r="O67" t="str">
            <v>399.00</v>
          </cell>
          <cell r="P67" t="str">
            <v>-</v>
          </cell>
          <cell r="Q67">
            <v>2</v>
          </cell>
          <cell r="R67">
            <v>35.85</v>
          </cell>
          <cell r="S67">
            <v>23.900000000000002</v>
          </cell>
          <cell r="T67">
            <v>11.95</v>
          </cell>
          <cell r="U67">
            <v>1030109413</v>
          </cell>
        </row>
        <row r="68">
          <cell r="A68" t="str">
            <v>12 May, 2026</v>
          </cell>
          <cell r="B68" t="str">
            <v>12:49:59 PM</v>
          </cell>
          <cell r="C68">
            <v>214823</v>
          </cell>
          <cell r="D68" t="str">
            <v>SG2073175OKQZ3993</v>
          </cell>
          <cell r="E68">
            <v>1030110480</v>
          </cell>
          <cell r="F68" t="str">
            <v>SG2073175OKQZ3993</v>
          </cell>
          <cell r="G68">
            <v>3614274114645</v>
          </cell>
          <cell r="H68" t="str">
            <v>Yves Saint Laurent</v>
          </cell>
          <cell r="I68" t="str">
            <v>عطر ايف سان لوران ماي سلف- لي بارفيوم -100 مل</v>
          </cell>
          <cell r="J68" t="str">
            <v>الجمال والصحة</v>
          </cell>
          <cell r="K68" t="str">
            <v>العطور</v>
          </cell>
          <cell r="L68" t="str">
            <v>Parfum</v>
          </cell>
          <cell r="M68" t="str">
            <v>Yes</v>
          </cell>
          <cell r="N68">
            <v>385</v>
          </cell>
          <cell r="O68" t="str">
            <v>788.00</v>
          </cell>
          <cell r="P68" t="str">
            <v>-</v>
          </cell>
          <cell r="Q68">
            <v>2</v>
          </cell>
          <cell r="R68">
            <v>57.75</v>
          </cell>
          <cell r="S68">
            <v>38.5</v>
          </cell>
          <cell r="T68">
            <v>19.25</v>
          </cell>
          <cell r="U68">
            <v>1030110480</v>
          </cell>
        </row>
        <row r="69">
          <cell r="A69" t="str">
            <v>12 May, 2026</v>
          </cell>
          <cell r="B69" t="str">
            <v>12:49:59 PM</v>
          </cell>
          <cell r="C69">
            <v>214892</v>
          </cell>
          <cell r="D69" t="str">
            <v>SG2073168OKUY06B4</v>
          </cell>
          <cell r="E69">
            <v>1030110492</v>
          </cell>
          <cell r="F69" t="str">
            <v>SG2073168OKUY06B4</v>
          </cell>
          <cell r="G69">
            <v>8435415062190</v>
          </cell>
          <cell r="H69" t="str">
            <v>Jean Paul Gaultier</v>
          </cell>
          <cell r="I69" t="str">
            <v>عطر جان بول غولتير لو بو لو بارفيوم -او دي بارفيوم انتنس- 125مل</v>
          </cell>
          <cell r="J69" t="str">
            <v>الجمال والصحة</v>
          </cell>
          <cell r="K69" t="str">
            <v>العطور</v>
          </cell>
          <cell r="L69" t="str">
            <v>Eau De Parfum</v>
          </cell>
          <cell r="M69" t="str">
            <v>Yes</v>
          </cell>
          <cell r="N69">
            <v>395</v>
          </cell>
          <cell r="O69" t="str">
            <v>559.00</v>
          </cell>
          <cell r="P69" t="str">
            <v>-</v>
          </cell>
          <cell r="Q69">
            <v>2</v>
          </cell>
          <cell r="R69">
            <v>59.25</v>
          </cell>
          <cell r="S69">
            <v>39.5</v>
          </cell>
          <cell r="T69">
            <v>19.75</v>
          </cell>
          <cell r="U69">
            <v>1030110492</v>
          </cell>
        </row>
        <row r="70">
          <cell r="A70" t="str">
            <v>16 May, 2026</v>
          </cell>
          <cell r="B70" t="str">
            <v>11:42:22 AM</v>
          </cell>
          <cell r="C70">
            <v>215743</v>
          </cell>
          <cell r="D70" t="str">
            <v>SG207316811K6E8D4</v>
          </cell>
          <cell r="E70">
            <v>1030104638</v>
          </cell>
          <cell r="F70" t="str">
            <v>SG207316811K6E8D4</v>
          </cell>
          <cell r="G70">
            <v>3386460036474</v>
          </cell>
          <cell r="H70" t="str">
            <v>Boucheron</v>
          </cell>
          <cell r="I70" t="str">
            <v>عطر بوشرون جايبور براسلت للنساء - 50 مل - أو دي بارفيوم</v>
          </cell>
          <cell r="J70" t="str">
            <v>الجمال والصحة</v>
          </cell>
          <cell r="K70" t="str">
            <v>العطور</v>
          </cell>
          <cell r="L70" t="str">
            <v>Eau De Parfum</v>
          </cell>
          <cell r="M70" t="str">
            <v>Yes</v>
          </cell>
          <cell r="N70">
            <v>229</v>
          </cell>
          <cell r="O70" t="str">
            <v>320.00</v>
          </cell>
          <cell r="P70" t="str">
            <v>-</v>
          </cell>
          <cell r="Q70">
            <v>2</v>
          </cell>
          <cell r="R70">
            <v>34.35</v>
          </cell>
          <cell r="S70">
            <v>22.900000000000002</v>
          </cell>
          <cell r="T70">
            <v>11.45</v>
          </cell>
          <cell r="U70">
            <v>1030104638</v>
          </cell>
        </row>
        <row r="71">
          <cell r="A71" t="str">
            <v>12 May, 2026</v>
          </cell>
          <cell r="B71" t="str">
            <v>12:49:59 PM</v>
          </cell>
          <cell r="C71">
            <v>214983</v>
          </cell>
          <cell r="D71" t="str">
            <v>SG2073169OKZ68494</v>
          </cell>
          <cell r="E71">
            <v>1030106714</v>
          </cell>
          <cell r="F71" t="str">
            <v>SG2073169OKZ68494</v>
          </cell>
          <cell r="G71">
            <v>8052464897032</v>
          </cell>
          <cell r="H71" t="str">
            <v>Roberto Cavalli</v>
          </cell>
          <cell r="I71" t="str">
            <v>عطر ربورتو كفالي أومو للرجال - 100 مل - أو دي تواليت</v>
          </cell>
          <cell r="J71" t="str">
            <v>الجمال والصحة</v>
          </cell>
          <cell r="K71" t="str">
            <v>العطور</v>
          </cell>
          <cell r="L71" t="str">
            <v>Eau De Toilette</v>
          </cell>
          <cell r="M71" t="str">
            <v>Yes</v>
          </cell>
          <cell r="N71">
            <v>129</v>
          </cell>
          <cell r="O71" t="str">
            <v>290.00</v>
          </cell>
          <cell r="P71" t="str">
            <v>-</v>
          </cell>
          <cell r="Q71">
            <v>2</v>
          </cell>
          <cell r="R71">
            <v>19.349999999999998</v>
          </cell>
          <cell r="S71">
            <v>12.9</v>
          </cell>
          <cell r="T71">
            <v>6.4499999999999975</v>
          </cell>
          <cell r="U71">
            <v>1030106714</v>
          </cell>
        </row>
        <row r="72">
          <cell r="A72" t="str">
            <v>16 May, 2026</v>
          </cell>
          <cell r="B72" t="str">
            <v>11:42:23 AM</v>
          </cell>
          <cell r="C72">
            <v>215955</v>
          </cell>
          <cell r="D72" t="str">
            <v>SG207316811XGA5A7</v>
          </cell>
          <cell r="E72">
            <v>1030106288</v>
          </cell>
          <cell r="F72" t="str">
            <v>SG207316811XGA5A7</v>
          </cell>
          <cell r="G72">
            <v>719346192118</v>
          </cell>
          <cell r="H72" t="str">
            <v>Juicy Couture</v>
          </cell>
          <cell r="I72" t="str">
            <v>عطر جوسي كوتور أي آم للنساء - 100 مل - أو دي بارفيوم</v>
          </cell>
          <cell r="J72" t="str">
            <v>الجمال والصحة</v>
          </cell>
          <cell r="K72" t="str">
            <v>العطور</v>
          </cell>
          <cell r="L72" t="str">
            <v>Eau De Parfum</v>
          </cell>
          <cell r="M72" t="str">
            <v>Yes</v>
          </cell>
          <cell r="N72">
            <v>229</v>
          </cell>
          <cell r="O72" t="str">
            <v>310.00</v>
          </cell>
          <cell r="P72" t="str">
            <v>-</v>
          </cell>
          <cell r="Q72">
            <v>2</v>
          </cell>
          <cell r="R72">
            <v>34.35</v>
          </cell>
          <cell r="S72">
            <v>22.900000000000002</v>
          </cell>
          <cell r="T72">
            <v>11.45</v>
          </cell>
          <cell r="U72">
            <v>1030106288</v>
          </cell>
        </row>
        <row r="73">
          <cell r="A73" t="str">
            <v>12 May, 2026</v>
          </cell>
          <cell r="B73" t="str">
            <v>12:49:59 PM</v>
          </cell>
          <cell r="C73">
            <v>214919</v>
          </cell>
          <cell r="D73" t="str">
            <v>SG2073168OKW79B98</v>
          </cell>
          <cell r="E73">
            <v>1030110383</v>
          </cell>
          <cell r="F73" t="str">
            <v>SG2073168OKW79B98</v>
          </cell>
          <cell r="G73">
            <v>8435415065191</v>
          </cell>
          <cell r="H73" t="str">
            <v>Jean Paul Gaultier</v>
          </cell>
          <cell r="I73" t="str">
            <v>عطر جان بول غولتير سكاندال للرجال - 100 مل - أو دي بارفيوم</v>
          </cell>
          <cell r="J73" t="str">
            <v>الجمال والصحة</v>
          </cell>
          <cell r="K73" t="str">
            <v>العطور</v>
          </cell>
          <cell r="L73" t="str">
            <v>Eau De Parfum</v>
          </cell>
          <cell r="M73" t="str">
            <v>Yes</v>
          </cell>
          <cell r="N73">
            <v>305</v>
          </cell>
          <cell r="O73" t="str">
            <v>580.00</v>
          </cell>
          <cell r="P73" t="str">
            <v>-</v>
          </cell>
          <cell r="Q73">
            <v>2</v>
          </cell>
          <cell r="R73">
            <v>45.75</v>
          </cell>
          <cell r="S73">
            <v>30.5</v>
          </cell>
          <cell r="T73">
            <v>15.25</v>
          </cell>
          <cell r="U73">
            <v>1030110383</v>
          </cell>
        </row>
        <row r="74">
          <cell r="A74" t="str">
            <v>16 May, 2026</v>
          </cell>
          <cell r="B74" t="str">
            <v>11:42:23 AM</v>
          </cell>
          <cell r="C74">
            <v>215917</v>
          </cell>
          <cell r="D74" t="str">
            <v>SG207316811V7BE57</v>
          </cell>
          <cell r="E74">
            <v>1030103164</v>
          </cell>
          <cell r="F74" t="str">
            <v>SG207316811V7BE57</v>
          </cell>
          <cell r="G74">
            <v>8018365250468</v>
          </cell>
          <cell r="H74" t="str">
            <v>Versace</v>
          </cell>
          <cell r="I74" t="str">
            <v>عطر فيرزاتشي للنساء - 100 مل - أو دي بارفيوم</v>
          </cell>
          <cell r="J74" t="str">
            <v>الجمال والصحة</v>
          </cell>
          <cell r="K74" t="str">
            <v>العطور</v>
          </cell>
          <cell r="L74" t="str">
            <v>Eau De Parfum</v>
          </cell>
          <cell r="M74" t="str">
            <v>Yes</v>
          </cell>
          <cell r="N74">
            <v>139</v>
          </cell>
          <cell r="O74" t="str">
            <v>232.00</v>
          </cell>
          <cell r="P74" t="str">
            <v>-</v>
          </cell>
          <cell r="Q74">
            <v>2</v>
          </cell>
          <cell r="R74">
            <v>20.849999999999998</v>
          </cell>
          <cell r="S74">
            <v>13.9</v>
          </cell>
          <cell r="T74">
            <v>6.9499999999999975</v>
          </cell>
          <cell r="U74">
            <v>1030103164</v>
          </cell>
        </row>
        <row r="75">
          <cell r="A75" t="str">
            <v>12 May, 2026</v>
          </cell>
          <cell r="B75" t="str">
            <v>12:49:59 PM</v>
          </cell>
          <cell r="C75">
            <v>214994</v>
          </cell>
          <cell r="D75" t="str">
            <v>SG2073168OKZMC46A</v>
          </cell>
          <cell r="E75">
            <v>1030110132</v>
          </cell>
          <cell r="F75" t="str">
            <v>SG2073168OKZMC46A</v>
          </cell>
          <cell r="G75">
            <v>3386460118125</v>
          </cell>
          <cell r="H75" t="str">
            <v>Mont Blanc</v>
          </cell>
          <cell r="I75" t="str">
            <v>عطر مون بلانك ليجند للرجال - 100 مل - أو دي بارفيوم</v>
          </cell>
          <cell r="J75" t="str">
            <v>الجمال والصحة</v>
          </cell>
          <cell r="K75" t="str">
            <v>العطور</v>
          </cell>
          <cell r="L75" t="str">
            <v>Eau De Parfum</v>
          </cell>
          <cell r="M75" t="str">
            <v>Yes</v>
          </cell>
          <cell r="N75">
            <v>165</v>
          </cell>
          <cell r="O75" t="str">
            <v>240.00</v>
          </cell>
          <cell r="P75" t="str">
            <v>-</v>
          </cell>
          <cell r="Q75">
            <v>2</v>
          </cell>
          <cell r="R75">
            <v>24.75</v>
          </cell>
          <cell r="S75">
            <v>16.5</v>
          </cell>
          <cell r="T75">
            <v>8.25</v>
          </cell>
          <cell r="U75">
            <v>1030110132</v>
          </cell>
        </row>
        <row r="76">
          <cell r="A76" t="str">
            <v>12 May, 2026</v>
          </cell>
          <cell r="B76" t="str">
            <v>12:49:59 PM</v>
          </cell>
          <cell r="C76">
            <v>215045</v>
          </cell>
          <cell r="D76" t="str">
            <v>SG2073168OL1S01DD</v>
          </cell>
          <cell r="E76">
            <v>1030104623</v>
          </cell>
          <cell r="F76" t="str">
            <v>SG2073168OL1S01DD</v>
          </cell>
          <cell r="G76">
            <v>8011003811274</v>
          </cell>
          <cell r="H76" t="str">
            <v>Versace</v>
          </cell>
          <cell r="I76" t="str">
            <v>عطر فيرزاتشي بور هوم عود نوار-او دي برفيوم - 100مل</v>
          </cell>
          <cell r="J76" t="str">
            <v>الجمال والصحة</v>
          </cell>
          <cell r="K76" t="str">
            <v>العطور</v>
          </cell>
          <cell r="L76" t="str">
            <v>Eau De Parfum</v>
          </cell>
          <cell r="M76" t="str">
            <v>Yes</v>
          </cell>
          <cell r="N76">
            <v>229</v>
          </cell>
          <cell r="O76" t="str">
            <v>316.00</v>
          </cell>
          <cell r="P76" t="str">
            <v>-</v>
          </cell>
          <cell r="Q76">
            <v>2</v>
          </cell>
          <cell r="R76">
            <v>34.35</v>
          </cell>
          <cell r="S76">
            <v>22.900000000000002</v>
          </cell>
          <cell r="T76">
            <v>11.45</v>
          </cell>
          <cell r="U76">
            <v>1030104623</v>
          </cell>
        </row>
        <row r="77">
          <cell r="A77" t="str">
            <v>16 May, 2026</v>
          </cell>
          <cell r="B77" t="str">
            <v>11:42:23 AM</v>
          </cell>
          <cell r="C77">
            <v>215873</v>
          </cell>
          <cell r="D77" t="str">
            <v>SG207316811SOA39D</v>
          </cell>
          <cell r="E77">
            <v>1030110140</v>
          </cell>
          <cell r="F77" t="str">
            <v>SG207316811SOA39D</v>
          </cell>
          <cell r="G77">
            <v>3423473053958</v>
          </cell>
          <cell r="H77" t="str">
            <v>Narciso Rodriguez</v>
          </cell>
          <cell r="I77" t="str">
            <v>عطر نارسيسو رودريغز نارسيسو أمبري للنساء - 90مل -أو دي بارفيوم</v>
          </cell>
          <cell r="J77" t="str">
            <v>الجمال والصحة</v>
          </cell>
          <cell r="K77" t="str">
            <v>العطور</v>
          </cell>
          <cell r="L77" t="str">
            <v>Eau De Parfum</v>
          </cell>
          <cell r="M77" t="str">
            <v>Yes</v>
          </cell>
          <cell r="N77">
            <v>239</v>
          </cell>
          <cell r="O77" t="str">
            <v>427.00</v>
          </cell>
          <cell r="P77" t="str">
            <v>-</v>
          </cell>
          <cell r="Q77">
            <v>2</v>
          </cell>
          <cell r="R77">
            <v>35.85</v>
          </cell>
          <cell r="S77">
            <v>23.900000000000002</v>
          </cell>
          <cell r="T77">
            <v>11.95</v>
          </cell>
          <cell r="U77">
            <v>1030110140</v>
          </cell>
        </row>
        <row r="78">
          <cell r="A78" t="str">
            <v>16 May, 2026</v>
          </cell>
          <cell r="B78" t="str">
            <v>11:42:23 AM</v>
          </cell>
          <cell r="C78">
            <v>215914</v>
          </cell>
          <cell r="D78" t="str">
            <v>SG207316811V0636E</v>
          </cell>
          <cell r="E78">
            <v>1030102362</v>
          </cell>
          <cell r="F78" t="str">
            <v>SG207316811V0636E</v>
          </cell>
          <cell r="G78">
            <v>8057971180400</v>
          </cell>
          <cell r="H78" t="str">
            <v>Dolce &amp; Gabbana</v>
          </cell>
          <cell r="I78" t="str">
            <v>عطر دولسي جابانا باور فيمي للنساء - 100 مل - أو دي بارفيوم</v>
          </cell>
          <cell r="J78" t="str">
            <v>الجمال والصحة</v>
          </cell>
          <cell r="K78" t="str">
            <v>العطور</v>
          </cell>
          <cell r="L78" t="str">
            <v>Eau De Parfum</v>
          </cell>
          <cell r="M78" t="str">
            <v>Yes</v>
          </cell>
          <cell r="N78">
            <v>265</v>
          </cell>
          <cell r="O78" t="str">
            <v>491.00</v>
          </cell>
          <cell r="P78" t="str">
            <v>-</v>
          </cell>
          <cell r="Q78">
            <v>2</v>
          </cell>
          <cell r="R78">
            <v>39.75</v>
          </cell>
          <cell r="S78">
            <v>26.5</v>
          </cell>
          <cell r="T78">
            <v>13.25</v>
          </cell>
          <cell r="U78">
            <v>1030102362</v>
          </cell>
        </row>
        <row r="79">
          <cell r="A79" t="str">
            <v>12 May, 2026</v>
          </cell>
          <cell r="B79" t="str">
            <v>12:49:59 PM</v>
          </cell>
          <cell r="C79">
            <v>215066</v>
          </cell>
          <cell r="D79" t="str">
            <v>SG2073169OL2N0A0D</v>
          </cell>
          <cell r="E79">
            <v>1030100060</v>
          </cell>
          <cell r="F79" t="str">
            <v>SG2073169OL2N0A0D</v>
          </cell>
          <cell r="G79">
            <v>8411061043868</v>
          </cell>
          <cell r="H79" t="str">
            <v>Carolina Herrera</v>
          </cell>
          <cell r="I79" t="str">
            <v>عطر كارولينا هيريرا 212 للرجال - 100 مل - أو دي تواليت</v>
          </cell>
          <cell r="J79" t="str">
            <v>الجمال والصحة</v>
          </cell>
          <cell r="K79" t="str">
            <v>العطور</v>
          </cell>
          <cell r="L79" t="str">
            <v>Eau De Toilette</v>
          </cell>
          <cell r="M79" t="str">
            <v>Yes</v>
          </cell>
          <cell r="N79">
            <v>222</v>
          </cell>
          <cell r="O79" t="str">
            <v>390.00</v>
          </cell>
          <cell r="P79" t="str">
            <v>-</v>
          </cell>
          <cell r="Q79">
            <v>2</v>
          </cell>
          <cell r="R79">
            <v>33.299999999999997</v>
          </cell>
          <cell r="S79">
            <v>22.200000000000003</v>
          </cell>
          <cell r="T79">
            <v>11.099999999999994</v>
          </cell>
          <cell r="U79">
            <v>1030100060</v>
          </cell>
        </row>
        <row r="80">
          <cell r="A80" t="str">
            <v>16 May, 2026</v>
          </cell>
          <cell r="B80" t="str">
            <v>11:42:23 AM</v>
          </cell>
          <cell r="C80">
            <v>215962</v>
          </cell>
          <cell r="D80" t="str">
            <v>SG207316811XUEADA</v>
          </cell>
          <cell r="E80">
            <v>1030103536</v>
          </cell>
          <cell r="F80" t="str">
            <v>SG207316811XUEADA</v>
          </cell>
          <cell r="G80">
            <v>3495080841419</v>
          </cell>
          <cell r="H80" t="str">
            <v>Houbigant</v>
          </cell>
          <cell r="I80" t="str">
            <v>عطر كلك فلاور للنساء -100 مل - أو دي بارفيوم</v>
          </cell>
          <cell r="J80" t="str">
            <v>الجمال والصحة</v>
          </cell>
          <cell r="K80" t="str">
            <v>العطور</v>
          </cell>
          <cell r="L80" t="str">
            <v>Eau De Parfum</v>
          </cell>
          <cell r="M80" t="str">
            <v>Yes</v>
          </cell>
          <cell r="N80">
            <v>235</v>
          </cell>
          <cell r="O80" t="str">
            <v>339.00</v>
          </cell>
          <cell r="P80" t="str">
            <v>-</v>
          </cell>
          <cell r="Q80">
            <v>2</v>
          </cell>
          <cell r="R80">
            <v>35.25</v>
          </cell>
          <cell r="S80">
            <v>23.5</v>
          </cell>
          <cell r="T80">
            <v>11.75</v>
          </cell>
          <cell r="U80">
            <v>1030103536</v>
          </cell>
        </row>
        <row r="81">
          <cell r="A81" t="str">
            <v>10 Jun, 2026</v>
          </cell>
          <cell r="B81" t="str">
            <v>01:15:33 PM</v>
          </cell>
          <cell r="C81">
            <v>219298</v>
          </cell>
          <cell r="D81" t="str">
            <v>SG2073168D68F8B2C</v>
          </cell>
          <cell r="E81">
            <v>1030104602</v>
          </cell>
          <cell r="F81" t="str">
            <v>SG2073168D68F8B2C</v>
          </cell>
          <cell r="G81">
            <v>3760265190966</v>
          </cell>
          <cell r="H81" t="str">
            <v>Mancera</v>
          </cell>
          <cell r="I81" t="str">
            <v>عطر مانسيرا روزز فانيلا للجنسين - 120 مل - أو دي بارفيوم</v>
          </cell>
          <cell r="J81" t="str">
            <v>الجمال والصحة</v>
          </cell>
          <cell r="K81" t="str">
            <v>العطور</v>
          </cell>
          <cell r="L81" t="str">
            <v>Eau De Parfum</v>
          </cell>
          <cell r="M81" t="str">
            <v>Yes</v>
          </cell>
          <cell r="N81">
            <v>242</v>
          </cell>
          <cell r="O81" t="str">
            <v>350.00</v>
          </cell>
          <cell r="P81" t="str">
            <v>-</v>
          </cell>
          <cell r="Q81">
            <v>2</v>
          </cell>
          <cell r="R81">
            <v>36.299999999999997</v>
          </cell>
          <cell r="S81">
            <v>24.200000000000003</v>
          </cell>
          <cell r="T81">
            <v>12.099999999999994</v>
          </cell>
          <cell r="U81">
            <v>1030104602</v>
          </cell>
        </row>
        <row r="82">
          <cell r="A82" t="str">
            <v>12 May, 2026</v>
          </cell>
          <cell r="B82" t="str">
            <v>12:49:59 PM</v>
          </cell>
          <cell r="C82">
            <v>214991</v>
          </cell>
          <cell r="D82" t="str">
            <v>SG2073169OKZI4674</v>
          </cell>
          <cell r="E82">
            <v>1030104636</v>
          </cell>
          <cell r="F82" t="str">
            <v>SG2073169OKZI4674</v>
          </cell>
          <cell r="G82">
            <v>3577580203086</v>
          </cell>
          <cell r="H82" t="str">
            <v>Boucheron</v>
          </cell>
          <cell r="I82" t="str">
            <v>عطر بوشرون بور هوم للرجال 100 مل - أو دي تواليت</v>
          </cell>
          <cell r="J82" t="str">
            <v>الجمال والصحة</v>
          </cell>
          <cell r="K82" t="str">
            <v>العطور</v>
          </cell>
          <cell r="L82" t="str">
            <v>Eau De Toilette</v>
          </cell>
          <cell r="M82" t="str">
            <v>Yes</v>
          </cell>
          <cell r="N82">
            <v>222</v>
          </cell>
          <cell r="O82" t="str">
            <v>301.00</v>
          </cell>
          <cell r="P82" t="str">
            <v>-</v>
          </cell>
          <cell r="Q82">
            <v>2</v>
          </cell>
          <cell r="R82">
            <v>33.299999999999997</v>
          </cell>
          <cell r="S82">
            <v>22.200000000000003</v>
          </cell>
          <cell r="T82">
            <v>11.099999999999994</v>
          </cell>
          <cell r="U82">
            <v>1030104636</v>
          </cell>
        </row>
        <row r="83">
          <cell r="A83" t="str">
            <v>12 May, 2026</v>
          </cell>
          <cell r="B83" t="str">
            <v>12:49:59 PM</v>
          </cell>
          <cell r="C83">
            <v>215055</v>
          </cell>
          <cell r="D83" t="str">
            <v>SG2073168OL276792</v>
          </cell>
          <cell r="E83">
            <v>1030101756</v>
          </cell>
          <cell r="F83" t="str">
            <v>SG2073168OL276792</v>
          </cell>
          <cell r="G83">
            <v>3346130013495</v>
          </cell>
          <cell r="H83" t="str">
            <v>Hermes</v>
          </cell>
          <cell r="I83" t="str">
            <v>عطر تيردي هرمس للرجال - 75 مل - أو دي بارفيوم</v>
          </cell>
          <cell r="J83" t="str">
            <v>الجمال والصحة</v>
          </cell>
          <cell r="K83" t="str">
            <v>العطور</v>
          </cell>
          <cell r="L83" t="str">
            <v>Eau De Parfum</v>
          </cell>
          <cell r="M83" t="str">
            <v>Yes</v>
          </cell>
          <cell r="N83">
            <v>272</v>
          </cell>
          <cell r="O83" t="str">
            <v>480.00</v>
          </cell>
          <cell r="P83" t="str">
            <v>-</v>
          </cell>
          <cell r="Q83">
            <v>2</v>
          </cell>
          <cell r="R83">
            <v>40.799999999999997</v>
          </cell>
          <cell r="S83">
            <v>27.200000000000003</v>
          </cell>
          <cell r="T83">
            <v>13.599999999999994</v>
          </cell>
          <cell r="U83">
            <v>1030101756</v>
          </cell>
        </row>
        <row r="84">
          <cell r="A84" t="str">
            <v>12 May, 2026</v>
          </cell>
          <cell r="B84" t="str">
            <v>12:49:59 PM</v>
          </cell>
          <cell r="C84">
            <v>215038</v>
          </cell>
          <cell r="D84" t="str">
            <v>SG2073175OL1HB0B5</v>
          </cell>
          <cell r="E84">
            <v>1030110379</v>
          </cell>
          <cell r="F84" t="str">
            <v>SG2073175OL1HB0B5</v>
          </cell>
          <cell r="G84">
            <v>3349668614523</v>
          </cell>
          <cell r="H84" t="str">
            <v>Paco Rabanne</v>
          </cell>
          <cell r="I84" t="str">
            <v>عطر باكو رابان انفكتوس فيكتوري إليكسير –  بارفيوم إنتنس – 100 مل</v>
          </cell>
          <cell r="J84" t="str">
            <v>الجمال والصحة</v>
          </cell>
          <cell r="K84" t="str">
            <v>العطور</v>
          </cell>
          <cell r="L84" t="str">
            <v>Parfum</v>
          </cell>
          <cell r="M84" t="str">
            <v>Yes</v>
          </cell>
          <cell r="N84">
            <v>296</v>
          </cell>
          <cell r="O84" t="str">
            <v>490.00</v>
          </cell>
          <cell r="P84" t="str">
            <v>-</v>
          </cell>
          <cell r="Q84">
            <v>2</v>
          </cell>
          <cell r="R84">
            <v>44.4</v>
          </cell>
          <cell r="S84">
            <v>29.6</v>
          </cell>
          <cell r="T84">
            <v>14.799999999999997</v>
          </cell>
          <cell r="U84">
            <v>1030110379</v>
          </cell>
        </row>
        <row r="85">
          <cell r="A85" t="str">
            <v>12 May, 2026</v>
          </cell>
          <cell r="B85" t="str">
            <v>12:49:59 PM</v>
          </cell>
          <cell r="C85">
            <v>214817</v>
          </cell>
          <cell r="D85" t="str">
            <v>SG2073175OKQP585E</v>
          </cell>
          <cell r="E85">
            <v>1030110617</v>
          </cell>
          <cell r="F85" t="str">
            <v>SG2073175OKQP585E</v>
          </cell>
          <cell r="G85">
            <v>3614274219579</v>
          </cell>
          <cell r="H85" t="str">
            <v>Giorgio Armani</v>
          </cell>
          <cell r="I85" t="str">
            <v>عطر أرماني سترونجر ويذ يو- بارفيوم  - 100 مل</v>
          </cell>
          <cell r="J85" t="str">
            <v>الجمال والصحة</v>
          </cell>
          <cell r="K85" t="str">
            <v>العطور</v>
          </cell>
          <cell r="L85" t="str">
            <v>Parfum</v>
          </cell>
          <cell r="M85" t="str">
            <v>Yes</v>
          </cell>
          <cell r="N85">
            <v>369</v>
          </cell>
          <cell r="O85" t="str">
            <v>731.00</v>
          </cell>
          <cell r="P85" t="str">
            <v>-</v>
          </cell>
          <cell r="Q85">
            <v>2</v>
          </cell>
          <cell r="R85">
            <v>55.35</v>
          </cell>
          <cell r="S85">
            <v>36.9</v>
          </cell>
          <cell r="T85">
            <v>18.450000000000003</v>
          </cell>
          <cell r="U85">
            <v>1030110617</v>
          </cell>
        </row>
        <row r="86">
          <cell r="A86" t="str">
            <v>16 May, 2026</v>
          </cell>
          <cell r="B86" t="str">
            <v>11:42:22 AM</v>
          </cell>
          <cell r="C86">
            <v>215662</v>
          </cell>
          <cell r="D86" t="str">
            <v>SG207316911EY806F</v>
          </cell>
          <cell r="E86">
            <v>1030103038</v>
          </cell>
          <cell r="F86" t="str">
            <v>SG207316911EY806F</v>
          </cell>
          <cell r="G86">
            <v>5050456007806</v>
          </cell>
          <cell r="H86" t="str">
            <v>Jean Louis Scherrer</v>
          </cell>
          <cell r="I86" t="str">
            <v>عطر شيرر تو للنساء - 100 مل - او دي تواليت</v>
          </cell>
          <cell r="J86" t="str">
            <v>الجمال والصحة</v>
          </cell>
          <cell r="K86" t="str">
            <v>العطور</v>
          </cell>
          <cell r="L86" t="str">
            <v>Eau De Toilette</v>
          </cell>
          <cell r="M86" t="str">
            <v>Yes</v>
          </cell>
          <cell r="N86">
            <v>160</v>
          </cell>
          <cell r="O86" t="str">
            <v>298.00</v>
          </cell>
          <cell r="P86" t="str">
            <v>-</v>
          </cell>
          <cell r="Q86">
            <v>2</v>
          </cell>
          <cell r="R86">
            <v>24</v>
          </cell>
          <cell r="S86">
            <v>16</v>
          </cell>
          <cell r="T86">
            <v>8</v>
          </cell>
          <cell r="U86">
            <v>1030103038</v>
          </cell>
        </row>
        <row r="87">
          <cell r="A87" t="str">
            <v>12 May, 2026</v>
          </cell>
          <cell r="B87" t="str">
            <v>12:49:59 PM</v>
          </cell>
          <cell r="C87">
            <v>215041</v>
          </cell>
          <cell r="D87" t="str">
            <v>SG2073175OL1LF649</v>
          </cell>
          <cell r="E87">
            <v>1030110425</v>
          </cell>
          <cell r="F87" t="str">
            <v>SG2073175OL1LF649</v>
          </cell>
          <cell r="G87">
            <v>3349668600304</v>
          </cell>
          <cell r="H87" t="str">
            <v>Paco Rabanne</v>
          </cell>
          <cell r="I87" t="str">
            <v>عطر باكو رابان ون مليون الرجال اليكسير -بارفيوم انتنس- 100مل</v>
          </cell>
          <cell r="J87" t="str">
            <v>الجمال والصحة</v>
          </cell>
          <cell r="K87" t="str">
            <v>العطور</v>
          </cell>
          <cell r="L87" t="str">
            <v>Parfum</v>
          </cell>
          <cell r="M87" t="str">
            <v>Yes</v>
          </cell>
          <cell r="N87">
            <v>299</v>
          </cell>
          <cell r="O87" t="str">
            <v>575.00</v>
          </cell>
          <cell r="P87" t="str">
            <v>-</v>
          </cell>
          <cell r="Q87">
            <v>2</v>
          </cell>
          <cell r="R87">
            <v>44.85</v>
          </cell>
          <cell r="S87">
            <v>29.900000000000002</v>
          </cell>
          <cell r="T87">
            <v>14.95</v>
          </cell>
          <cell r="U87">
            <v>1030110425</v>
          </cell>
        </row>
        <row r="88">
          <cell r="A88" t="str">
            <v>16 May, 2026</v>
          </cell>
          <cell r="B88" t="str">
            <v>11:42:23 AM</v>
          </cell>
          <cell r="C88">
            <v>216011</v>
          </cell>
          <cell r="D88" t="str">
            <v>SG2073168120V317E</v>
          </cell>
          <cell r="E88">
            <v>1030109978</v>
          </cell>
          <cell r="F88" t="str">
            <v>SG2073168120V317E</v>
          </cell>
          <cell r="G88">
            <v>3386460109567</v>
          </cell>
          <cell r="H88" t="str">
            <v>Coach</v>
          </cell>
          <cell r="I88" t="str">
            <v>عطر كوتش دريم للنساء - 90 مل - أو دي بارفيوم</v>
          </cell>
          <cell r="J88" t="str">
            <v>الجمال والصحة</v>
          </cell>
          <cell r="K88" t="str">
            <v>العطور</v>
          </cell>
          <cell r="L88" t="str">
            <v>Eau De Parfum</v>
          </cell>
          <cell r="M88" t="str">
            <v>Yes</v>
          </cell>
          <cell r="N88">
            <v>215</v>
          </cell>
          <cell r="O88" t="str">
            <v>301.00</v>
          </cell>
          <cell r="P88" t="str">
            <v>-</v>
          </cell>
          <cell r="Q88">
            <v>2</v>
          </cell>
          <cell r="R88">
            <v>32.25</v>
          </cell>
          <cell r="S88">
            <v>21.5</v>
          </cell>
          <cell r="T88">
            <v>10.75</v>
          </cell>
          <cell r="U88">
            <v>1030109978</v>
          </cell>
        </row>
        <row r="89">
          <cell r="A89" t="str">
            <v>16 May, 2026</v>
          </cell>
          <cell r="B89" t="str">
            <v>11:42:23 AM</v>
          </cell>
          <cell r="C89">
            <v>216007</v>
          </cell>
          <cell r="D89" t="str">
            <v>SG2073168120K07D0</v>
          </cell>
          <cell r="E89">
            <v>1030110335</v>
          </cell>
          <cell r="F89" t="str">
            <v>SG2073168120K07D0</v>
          </cell>
          <cell r="G89">
            <v>3423222055639</v>
          </cell>
          <cell r="H89" t="str">
            <v>Narciso Rodriguez</v>
          </cell>
          <cell r="I89" t="str">
            <v>عطر نرسيسو رودريغز كريستال- او دي بارفيوم- 90مل</v>
          </cell>
          <cell r="J89" t="str">
            <v>الجمال والصحة</v>
          </cell>
          <cell r="K89" t="str">
            <v>العطور</v>
          </cell>
          <cell r="L89" t="str">
            <v>Eau De Parfum</v>
          </cell>
          <cell r="M89" t="str">
            <v>Yes</v>
          </cell>
          <cell r="N89">
            <v>235</v>
          </cell>
          <cell r="O89" t="str">
            <v>493.00</v>
          </cell>
          <cell r="P89" t="str">
            <v>-</v>
          </cell>
          <cell r="Q89">
            <v>2</v>
          </cell>
          <cell r="R89">
            <v>35.25</v>
          </cell>
          <cell r="S89">
            <v>23.5</v>
          </cell>
          <cell r="T89">
            <v>11.75</v>
          </cell>
          <cell r="U89">
            <v>1030110335</v>
          </cell>
        </row>
        <row r="90">
          <cell r="A90" t="str">
            <v>12 May, 2026</v>
          </cell>
          <cell r="B90" t="str">
            <v>12:49:59 PM</v>
          </cell>
          <cell r="C90">
            <v>215007</v>
          </cell>
          <cell r="D90" t="str">
            <v>SG2073168OL0697BE</v>
          </cell>
          <cell r="E90">
            <v>1030109528</v>
          </cell>
          <cell r="F90" t="str">
            <v>SG2073168OL0697BE</v>
          </cell>
          <cell r="G90">
            <v>8411061869376</v>
          </cell>
          <cell r="H90" t="str">
            <v>Carolina Herrera</v>
          </cell>
          <cell r="I90" t="str">
            <v>عطر كارولينا هيريرا في آي بي 212 بلاك للرجال - 100 مل - أو دي بارفيوم</v>
          </cell>
          <cell r="J90" t="str">
            <v>الجمال والصحة</v>
          </cell>
          <cell r="K90" t="str">
            <v>العطور</v>
          </cell>
          <cell r="L90" t="str">
            <v>Eau De Parfum</v>
          </cell>
          <cell r="M90" t="str">
            <v>Yes</v>
          </cell>
          <cell r="N90">
            <v>264</v>
          </cell>
          <cell r="O90" t="str">
            <v>425.00</v>
          </cell>
          <cell r="P90" t="str">
            <v>-</v>
          </cell>
          <cell r="Q90">
            <v>2</v>
          </cell>
          <cell r="R90">
            <v>39.6</v>
          </cell>
          <cell r="S90">
            <v>26.400000000000002</v>
          </cell>
          <cell r="T90">
            <v>13.2</v>
          </cell>
          <cell r="U90">
            <v>1030109528</v>
          </cell>
        </row>
        <row r="91">
          <cell r="A91" t="str">
            <v>12 May, 2026</v>
          </cell>
          <cell r="B91" t="str">
            <v>12:49:58 PM</v>
          </cell>
          <cell r="C91">
            <v>214769</v>
          </cell>
          <cell r="D91" t="str">
            <v>SG2073168OKO92EBE</v>
          </cell>
          <cell r="E91">
            <v>1030103030</v>
          </cell>
          <cell r="F91" t="str">
            <v>SG2073168OKO92EBE</v>
          </cell>
          <cell r="G91">
            <v>7640177360083</v>
          </cell>
          <cell r="H91" t="str">
            <v>Chopard</v>
          </cell>
          <cell r="I91" t="str">
            <v>عطر شوبارد عود ملكي للرجال - 80 مل - أو دي بارفيوم</v>
          </cell>
          <cell r="J91" t="str">
            <v>الجمال والصحة</v>
          </cell>
          <cell r="K91" t="str">
            <v>العطور</v>
          </cell>
          <cell r="L91" t="str">
            <v>Eau De Parfum</v>
          </cell>
          <cell r="M91" t="str">
            <v>Yes</v>
          </cell>
          <cell r="N91">
            <v>185</v>
          </cell>
          <cell r="O91" t="str">
            <v>320.00</v>
          </cell>
          <cell r="P91" t="str">
            <v>-</v>
          </cell>
          <cell r="Q91">
            <v>2</v>
          </cell>
          <cell r="R91">
            <v>27.75</v>
          </cell>
          <cell r="S91">
            <v>18.5</v>
          </cell>
          <cell r="T91">
            <v>9.25</v>
          </cell>
          <cell r="U91">
            <v>1030103030</v>
          </cell>
        </row>
        <row r="92">
          <cell r="A92" t="str">
            <v>16 May, 2026</v>
          </cell>
          <cell r="B92" t="str">
            <v>11:42:23 AM</v>
          </cell>
          <cell r="C92">
            <v>215960</v>
          </cell>
          <cell r="D92" t="str">
            <v>SG207316811XP06C0</v>
          </cell>
          <cell r="E92">
            <v>1030104945</v>
          </cell>
          <cell r="F92" t="str">
            <v>SG207316811XP06C0</v>
          </cell>
          <cell r="G92">
            <v>8011530820022</v>
          </cell>
          <cell r="H92" t="str">
            <v>Trussardi</v>
          </cell>
          <cell r="I92" t="str">
            <v>عطر تروزاردي دونا للنساء - 100 مل - أو دي بيرفيوم</v>
          </cell>
          <cell r="J92" t="str">
            <v>الجمال والصحة</v>
          </cell>
          <cell r="K92" t="str">
            <v>العطور</v>
          </cell>
          <cell r="L92" t="str">
            <v>Eau De Parfum</v>
          </cell>
          <cell r="M92" t="str">
            <v>Yes</v>
          </cell>
          <cell r="N92">
            <v>165</v>
          </cell>
          <cell r="O92" t="str">
            <v>270.00</v>
          </cell>
          <cell r="P92" t="str">
            <v>-</v>
          </cell>
          <cell r="Q92">
            <v>2</v>
          </cell>
          <cell r="R92">
            <v>24.75</v>
          </cell>
          <cell r="S92">
            <v>16.5</v>
          </cell>
          <cell r="T92">
            <v>8.25</v>
          </cell>
          <cell r="U92">
            <v>1030104945</v>
          </cell>
        </row>
        <row r="93">
          <cell r="A93" t="str">
            <v>12 May, 2026</v>
          </cell>
          <cell r="B93" t="str">
            <v>12:49:59 PM</v>
          </cell>
          <cell r="C93">
            <v>215060</v>
          </cell>
          <cell r="D93" t="str">
            <v>SG2073169OL2E5CAB</v>
          </cell>
          <cell r="E93">
            <v>1030103764</v>
          </cell>
          <cell r="F93" t="str">
            <v>SG2073169OL2E5CAB</v>
          </cell>
          <cell r="G93">
            <v>3386460149082</v>
          </cell>
          <cell r="H93" t="str">
            <v>Lacoste</v>
          </cell>
          <cell r="I93" t="str">
            <v>عطر لاكوست بلانك ال .12.12 للرجال - 100 مل - او دي تواليت</v>
          </cell>
          <cell r="J93" t="str">
            <v>الجمال والصحة</v>
          </cell>
          <cell r="K93" t="str">
            <v>العطور</v>
          </cell>
          <cell r="L93" t="str">
            <v>Eau De Toilette</v>
          </cell>
          <cell r="M93" t="str">
            <v>Yes</v>
          </cell>
          <cell r="N93">
            <v>165</v>
          </cell>
          <cell r="O93" t="str">
            <v>409.00</v>
          </cell>
          <cell r="P93" t="str">
            <v>-</v>
          </cell>
          <cell r="Q93">
            <v>2</v>
          </cell>
          <cell r="R93">
            <v>24.75</v>
          </cell>
          <cell r="S93">
            <v>16.5</v>
          </cell>
          <cell r="T93">
            <v>8.25</v>
          </cell>
          <cell r="U93">
            <v>1030103764</v>
          </cell>
        </row>
        <row r="94">
          <cell r="A94" t="str">
            <v>16 May, 2026</v>
          </cell>
          <cell r="B94" t="str">
            <v>11:42:23 AM</v>
          </cell>
          <cell r="C94">
            <v>215991</v>
          </cell>
          <cell r="D94" t="str">
            <v>SG207316811ZG3FC6</v>
          </cell>
          <cell r="E94">
            <v>1030101265</v>
          </cell>
          <cell r="F94" t="str">
            <v>SG207316811ZG3FC6</v>
          </cell>
          <cell r="G94">
            <v>27131043317</v>
          </cell>
          <cell r="H94" t="str">
            <v>Estee Lauder</v>
          </cell>
          <cell r="I94" t="str">
            <v>عطر إستي لودر بليجرز للنساء- 100مل -  أو دي بارفيوم</v>
          </cell>
          <cell r="J94" t="str">
            <v>الجمال والصحة</v>
          </cell>
          <cell r="K94" t="str">
            <v>العطور</v>
          </cell>
          <cell r="L94" t="str">
            <v>Eau De Parfum</v>
          </cell>
          <cell r="M94" t="str">
            <v>Yes</v>
          </cell>
          <cell r="N94">
            <v>140</v>
          </cell>
          <cell r="O94" t="str">
            <v>302.00</v>
          </cell>
          <cell r="P94" t="str">
            <v>-</v>
          </cell>
          <cell r="Q94">
            <v>2</v>
          </cell>
          <cell r="R94">
            <v>21</v>
          </cell>
          <cell r="S94">
            <v>14</v>
          </cell>
          <cell r="T94">
            <v>7</v>
          </cell>
          <cell r="U94">
            <v>1030101265</v>
          </cell>
        </row>
        <row r="95">
          <cell r="A95" t="str">
            <v>16 May, 2026</v>
          </cell>
          <cell r="B95" t="str">
            <v>11:42:23 AM</v>
          </cell>
          <cell r="C95">
            <v>216013</v>
          </cell>
          <cell r="D95" t="str">
            <v>SG2073168121189CC</v>
          </cell>
          <cell r="E95">
            <v>1030103563</v>
          </cell>
          <cell r="F95" t="str">
            <v>SG2073168121189CC</v>
          </cell>
          <cell r="G95">
            <v>20714156893</v>
          </cell>
          <cell r="H95" t="str">
            <v>Clinique</v>
          </cell>
          <cell r="I95" t="str">
            <v>عطر كلينك هابي فيم للنساء - 100 مل - أو دي بارفيوم</v>
          </cell>
          <cell r="J95" t="str">
            <v>الجمال والصحة</v>
          </cell>
          <cell r="K95" t="str">
            <v>العطور</v>
          </cell>
          <cell r="L95" t="str">
            <v>Eau De Parfum</v>
          </cell>
          <cell r="M95" t="str">
            <v>Yes</v>
          </cell>
          <cell r="N95">
            <v>110</v>
          </cell>
          <cell r="O95" t="str">
            <v>239.00</v>
          </cell>
          <cell r="P95" t="str">
            <v>-</v>
          </cell>
          <cell r="Q95">
            <v>2</v>
          </cell>
          <cell r="R95">
            <v>16.5</v>
          </cell>
          <cell r="S95">
            <v>11</v>
          </cell>
          <cell r="T95">
            <v>5.5</v>
          </cell>
          <cell r="U95">
            <v>1030103563</v>
          </cell>
        </row>
        <row r="96">
          <cell r="A96" t="str">
            <v>12 May, 2026</v>
          </cell>
          <cell r="B96" t="str">
            <v>12:49:59 PM</v>
          </cell>
          <cell r="C96">
            <v>215081</v>
          </cell>
          <cell r="D96" t="str">
            <v>SG2073168OL39AF21</v>
          </cell>
          <cell r="E96">
            <v>1030108935</v>
          </cell>
          <cell r="F96" t="str">
            <v>SG2073168OL39AF21</v>
          </cell>
          <cell r="G96">
            <v>8005610344157</v>
          </cell>
          <cell r="H96" t="str">
            <v>Gucci</v>
          </cell>
          <cell r="I96" t="str">
            <v>عطر قوتشي جولتي ابسولوت للرجال - 90 مل - أو دي بارفيوم</v>
          </cell>
          <cell r="J96" t="str">
            <v>الجمال والصحة</v>
          </cell>
          <cell r="K96" t="str">
            <v>العطور</v>
          </cell>
          <cell r="L96" t="str">
            <v>Eau De Parfum</v>
          </cell>
          <cell r="M96" t="str">
            <v>Yes</v>
          </cell>
          <cell r="N96">
            <v>259</v>
          </cell>
          <cell r="O96" t="str">
            <v>490.00</v>
          </cell>
          <cell r="P96" t="str">
            <v>-</v>
          </cell>
          <cell r="Q96">
            <v>2</v>
          </cell>
          <cell r="R96">
            <v>38.85</v>
          </cell>
          <cell r="S96">
            <v>25.900000000000002</v>
          </cell>
          <cell r="T96">
            <v>12.95</v>
          </cell>
          <cell r="U96">
            <v>1030108935</v>
          </cell>
        </row>
        <row r="97">
          <cell r="A97" t="str">
            <v>12 May, 2026</v>
          </cell>
          <cell r="B97" t="str">
            <v>12:49:59 PM</v>
          </cell>
          <cell r="C97">
            <v>215064</v>
          </cell>
          <cell r="D97" t="str">
            <v>SG2073168OL2K9CB7</v>
          </cell>
          <cell r="E97">
            <v>1030106330</v>
          </cell>
          <cell r="F97" t="str">
            <v>SG2073168OL2K9CB7</v>
          </cell>
          <cell r="G97">
            <v>8057971180547</v>
          </cell>
          <cell r="H97" t="str">
            <v>Dolce &amp; Gabbana</v>
          </cell>
          <cell r="I97" t="str">
            <v>عطر دولتشي آند غابانا ذا ون للرجال - 100 مل - أو دي بارفيوم</v>
          </cell>
          <cell r="J97" t="str">
            <v>الجمال والصحة</v>
          </cell>
          <cell r="K97" t="str">
            <v>العطور</v>
          </cell>
          <cell r="L97" t="str">
            <v>Eau De Parfum</v>
          </cell>
          <cell r="M97" t="str">
            <v>Yes</v>
          </cell>
          <cell r="N97">
            <v>222</v>
          </cell>
          <cell r="O97" t="str">
            <v>510.00</v>
          </cell>
          <cell r="P97" t="str">
            <v>-</v>
          </cell>
          <cell r="Q97">
            <v>2</v>
          </cell>
          <cell r="R97">
            <v>33.299999999999997</v>
          </cell>
          <cell r="S97">
            <v>22.200000000000003</v>
          </cell>
          <cell r="T97">
            <v>11.099999999999994</v>
          </cell>
          <cell r="U97">
            <v>1030106330</v>
          </cell>
        </row>
        <row r="98">
          <cell r="A98" t="str">
            <v>12 May, 2026</v>
          </cell>
          <cell r="B98" t="str">
            <v>12:49:59 PM</v>
          </cell>
          <cell r="C98">
            <v>215073</v>
          </cell>
          <cell r="D98" t="str">
            <v>SG2073168OL2XD33E</v>
          </cell>
          <cell r="E98">
            <v>1030109795</v>
          </cell>
          <cell r="F98" t="str">
            <v>SG2073168OL2XD33E</v>
          </cell>
          <cell r="G98">
            <v>3614272225718</v>
          </cell>
          <cell r="H98" t="str">
            <v>Giorgio Armani</v>
          </cell>
          <cell r="I98" t="str">
            <v>عطر جورجيو أرماني إمبريو سترونجر ويذ يو إنتنسلي للرجال - 100 مل - أو دي بارفيوم</v>
          </cell>
          <cell r="J98" t="str">
            <v>الجمال والصحة</v>
          </cell>
          <cell r="K98" t="str">
            <v>العطور</v>
          </cell>
          <cell r="L98" t="str">
            <v>Eau De Parfum</v>
          </cell>
          <cell r="M98" t="str">
            <v>Yes</v>
          </cell>
          <cell r="N98">
            <v>300</v>
          </cell>
          <cell r="O98" t="str">
            <v>529.00</v>
          </cell>
          <cell r="P98" t="str">
            <v>-</v>
          </cell>
          <cell r="Q98">
            <v>2</v>
          </cell>
          <cell r="R98">
            <v>45</v>
          </cell>
          <cell r="S98">
            <v>30</v>
          </cell>
          <cell r="T98">
            <v>15</v>
          </cell>
          <cell r="U98">
            <v>1030109795</v>
          </cell>
        </row>
        <row r="99">
          <cell r="A99" t="str">
            <v>12 May, 2026</v>
          </cell>
          <cell r="B99" t="str">
            <v>12:49:59 PM</v>
          </cell>
          <cell r="C99">
            <v>215000</v>
          </cell>
          <cell r="D99" t="str">
            <v>SG2073169OKZVEBA3</v>
          </cell>
          <cell r="E99">
            <v>1030101940</v>
          </cell>
          <cell r="F99" t="str">
            <v>SG2073169OKZVEBA3</v>
          </cell>
          <cell r="G99">
            <v>3274872395503</v>
          </cell>
          <cell r="H99" t="str">
            <v>Givenchy</v>
          </cell>
          <cell r="I99" t="str">
            <v>عطر جيفنشي باي للرجال -100 مل - أو دي تواليت</v>
          </cell>
          <cell r="J99" t="str">
            <v>الجمال والصحة</v>
          </cell>
          <cell r="K99" t="str">
            <v>العطور</v>
          </cell>
          <cell r="L99" t="str">
            <v>Eau De Toilette</v>
          </cell>
          <cell r="M99" t="str">
            <v>Yes</v>
          </cell>
          <cell r="N99">
            <v>160</v>
          </cell>
          <cell r="O99" t="str">
            <v>290.00</v>
          </cell>
          <cell r="P99" t="str">
            <v>-</v>
          </cell>
          <cell r="Q99">
            <v>2</v>
          </cell>
          <cell r="R99">
            <v>24</v>
          </cell>
          <cell r="S99">
            <v>16</v>
          </cell>
          <cell r="T99">
            <v>8</v>
          </cell>
          <cell r="U99">
            <v>1030101940</v>
          </cell>
        </row>
        <row r="100">
          <cell r="A100" t="str">
            <v>16 May, 2026</v>
          </cell>
          <cell r="B100" t="str">
            <v>11:42:22 AM</v>
          </cell>
          <cell r="C100">
            <v>215747</v>
          </cell>
          <cell r="D100" t="str">
            <v>SG207316811KD4925</v>
          </cell>
          <cell r="E100">
            <v>1030105267</v>
          </cell>
          <cell r="F100" t="str">
            <v>SG207316811KD4925</v>
          </cell>
          <cell r="G100">
            <v>8056860212369</v>
          </cell>
          <cell r="H100" t="str">
            <v>Roberto Cavalli</v>
          </cell>
          <cell r="I100" t="str">
            <v>عطر روبورتو كفالي نيرو أسولوتو للنساء - 75 مل - أو دي بارفيوم</v>
          </cell>
          <cell r="J100" t="str">
            <v>الجمال والصحة</v>
          </cell>
          <cell r="K100" t="str">
            <v>العطور</v>
          </cell>
          <cell r="L100" t="str">
            <v>Eau De Parfum</v>
          </cell>
          <cell r="M100" t="str">
            <v>Yes</v>
          </cell>
          <cell r="N100">
            <v>113</v>
          </cell>
          <cell r="O100" t="str">
            <v>250.00</v>
          </cell>
          <cell r="P100" t="str">
            <v>-</v>
          </cell>
          <cell r="Q100">
            <v>2</v>
          </cell>
          <cell r="R100">
            <v>16.95</v>
          </cell>
          <cell r="S100">
            <v>11.3</v>
          </cell>
          <cell r="T100">
            <v>5.6499999999999986</v>
          </cell>
          <cell r="U100">
            <v>1030105267</v>
          </cell>
        </row>
        <row r="101">
          <cell r="A101" t="str">
            <v>12 May, 2026</v>
          </cell>
          <cell r="B101" t="str">
            <v>12:49:59 PM</v>
          </cell>
          <cell r="C101">
            <v>215062</v>
          </cell>
          <cell r="D101" t="str">
            <v>SG2073169OL2H5124</v>
          </cell>
          <cell r="E101">
            <v>1030106266</v>
          </cell>
          <cell r="F101" t="str">
            <v>SG2073169OL2H5124</v>
          </cell>
          <cell r="G101">
            <v>737052972305</v>
          </cell>
          <cell r="H101" t="str">
            <v>Hugo Boss</v>
          </cell>
          <cell r="I101" t="str">
            <v>عطر هوجو بوس ذا سنت للرجال - 100 مل - أو دي تواليت</v>
          </cell>
          <cell r="J101" t="str">
            <v>الجمال والصحة</v>
          </cell>
          <cell r="K101" t="str">
            <v>العطور</v>
          </cell>
          <cell r="L101" t="str">
            <v>Eau De Toilette</v>
          </cell>
          <cell r="M101" t="str">
            <v>Yes</v>
          </cell>
          <cell r="N101">
            <v>168</v>
          </cell>
          <cell r="O101" t="str">
            <v>264.00</v>
          </cell>
          <cell r="P101" t="str">
            <v>-</v>
          </cell>
          <cell r="Q101">
            <v>2</v>
          </cell>
          <cell r="R101">
            <v>25.2</v>
          </cell>
          <cell r="S101">
            <v>16.8</v>
          </cell>
          <cell r="T101">
            <v>8.3999999999999986</v>
          </cell>
          <cell r="U101">
            <v>1030106266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2BC3-E914-4F2A-A348-80E54EE8AB11}">
  <dimension ref="A1:AY62"/>
  <sheetViews>
    <sheetView topLeftCell="AK1" zoomScale="115" zoomScaleNormal="115" workbookViewId="0">
      <selection activeCell="AO21" sqref="AO21"/>
    </sheetView>
  </sheetViews>
  <sheetFormatPr defaultRowHeight="15" x14ac:dyDescent="0.25"/>
  <cols>
    <col min="1" max="1" width="11.5703125" style="129" customWidth="1"/>
    <col min="2" max="2" width="8.7109375" style="129" customWidth="1"/>
    <col min="3" max="3" width="9.42578125" style="131" customWidth="1"/>
    <col min="4" max="4" width="9.140625" style="131" customWidth="1"/>
    <col min="5" max="5" width="12.140625" style="131" bestFit="1" customWidth="1"/>
    <col min="6" max="6" width="18.42578125" style="129" customWidth="1"/>
    <col min="7" max="7" width="11.85546875" style="131" customWidth="1"/>
    <col min="8" max="8" width="15.7109375" style="129" customWidth="1"/>
    <col min="9" max="9" width="116.42578125" style="129" bestFit="1" customWidth="1"/>
    <col min="10" max="10" width="21.5703125" style="129" customWidth="1"/>
    <col min="11" max="11" width="9.140625" style="129" customWidth="1"/>
    <col min="12" max="12" width="13.5703125" style="129" customWidth="1"/>
    <col min="13" max="15" width="9.42578125" style="129" customWidth="1"/>
    <col min="16" max="16" width="6.7109375" style="129" customWidth="1"/>
    <col min="17" max="17" width="8.140625" style="129" customWidth="1"/>
    <col min="18" max="18" width="8.5703125" style="129" customWidth="1"/>
    <col min="19" max="19" width="11.7109375" style="129" customWidth="1"/>
    <col min="20" max="20" width="12.140625" style="129" customWidth="1"/>
    <col min="21" max="21" width="10" style="131" customWidth="1"/>
    <col min="22" max="22" width="12.5703125" style="131" customWidth="1"/>
    <col min="23" max="23" width="9.42578125" style="131" customWidth="1"/>
    <col min="24" max="24" width="13.85546875" style="131" customWidth="1"/>
    <col min="25" max="25" width="10.140625" style="129" customWidth="1"/>
    <col min="26" max="26" width="12.85546875" style="129" customWidth="1"/>
    <col min="27" max="27" width="12.7109375" style="131" customWidth="1"/>
    <col min="28" max="28" width="11.5703125" style="131" customWidth="1"/>
    <col min="29" max="29" width="11.28515625" style="131" customWidth="1"/>
    <col min="30" max="30" width="12.85546875" style="131" customWidth="1"/>
    <col min="31" max="31" width="10.42578125" style="131" customWidth="1"/>
    <col min="32" max="32" width="20.140625" style="131" customWidth="1"/>
    <col min="33" max="33" width="11.28515625" style="129" bestFit="1" customWidth="1"/>
    <col min="34" max="34" width="8.85546875" style="131" bestFit="1" customWidth="1"/>
    <col min="35" max="35" width="19.42578125" style="129" bestFit="1" customWidth="1"/>
    <col min="36" max="36" width="14.85546875" style="129" bestFit="1" customWidth="1"/>
    <col min="37" max="37" width="9.140625" style="129"/>
    <col min="38" max="38" width="15.7109375" style="129" customWidth="1"/>
    <col min="39" max="44" width="9.140625" style="129"/>
    <col min="45" max="45" width="8.85546875" style="129" bestFit="1" customWidth="1"/>
    <col min="46" max="47" width="9.140625" style="129"/>
    <col min="48" max="48" width="14.140625" style="129" customWidth="1"/>
    <col min="49" max="49" width="16.85546875" style="129" bestFit="1" customWidth="1"/>
    <col min="50" max="50" width="20.42578125" style="129" bestFit="1" customWidth="1"/>
    <col min="51" max="51" width="9.7109375" style="129" customWidth="1"/>
    <col min="52" max="16384" width="9.140625" style="129"/>
  </cols>
  <sheetData>
    <row r="1" spans="1:51" s="111" customFormat="1" ht="42" customHeight="1" x14ac:dyDescent="0.25">
      <c r="A1" s="108" t="s">
        <v>1239</v>
      </c>
      <c r="B1" s="108" t="s">
        <v>944</v>
      </c>
      <c r="C1" s="108" t="s">
        <v>945</v>
      </c>
      <c r="D1" s="108" t="s">
        <v>946</v>
      </c>
      <c r="E1" s="108" t="s">
        <v>947</v>
      </c>
      <c r="F1" s="108" t="s">
        <v>949</v>
      </c>
      <c r="G1" s="108" t="s">
        <v>950</v>
      </c>
      <c r="H1" s="109" t="s">
        <v>952</v>
      </c>
      <c r="I1" s="109" t="s">
        <v>953</v>
      </c>
      <c r="J1" s="109" t="s">
        <v>954</v>
      </c>
      <c r="K1" s="109" t="s">
        <v>955</v>
      </c>
      <c r="L1" s="109" t="s">
        <v>956</v>
      </c>
      <c r="M1" s="109" t="s">
        <v>957</v>
      </c>
      <c r="N1" s="109" t="s">
        <v>958</v>
      </c>
      <c r="O1" s="109" t="s">
        <v>959</v>
      </c>
      <c r="P1" s="109" t="s">
        <v>960</v>
      </c>
      <c r="Q1" s="109" t="s">
        <v>961</v>
      </c>
      <c r="R1" s="109" t="s">
        <v>962</v>
      </c>
      <c r="S1" s="109" t="s">
        <v>963</v>
      </c>
      <c r="T1" s="109" t="s">
        <v>964</v>
      </c>
      <c r="U1" s="109" t="s">
        <v>965</v>
      </c>
      <c r="V1" s="109" t="s">
        <v>966</v>
      </c>
      <c r="W1" s="109" t="s">
        <v>967</v>
      </c>
      <c r="X1" s="109" t="s">
        <v>968</v>
      </c>
      <c r="Y1" s="109" t="s">
        <v>30</v>
      </c>
      <c r="Z1" s="109" t="s">
        <v>969</v>
      </c>
      <c r="AA1" s="109" t="s">
        <v>11</v>
      </c>
      <c r="AB1" s="109" t="s">
        <v>963</v>
      </c>
      <c r="AC1" s="109" t="s">
        <v>1240</v>
      </c>
      <c r="AD1" s="109" t="s">
        <v>1241</v>
      </c>
      <c r="AE1" s="109" t="s">
        <v>1242</v>
      </c>
      <c r="AF1" s="109" t="s">
        <v>1243</v>
      </c>
      <c r="AG1" s="109" t="s">
        <v>944</v>
      </c>
      <c r="AH1" s="109" t="s">
        <v>1244</v>
      </c>
      <c r="AI1" s="109" t="s">
        <v>1245</v>
      </c>
      <c r="AJ1" s="109" t="s">
        <v>1246</v>
      </c>
      <c r="AK1" s="109" t="s">
        <v>1247</v>
      </c>
      <c r="AL1" s="109" t="s">
        <v>1248</v>
      </c>
      <c r="AM1" s="109" t="s">
        <v>1249</v>
      </c>
      <c r="AN1" s="109" t="s">
        <v>1250</v>
      </c>
      <c r="AO1" s="109" t="s">
        <v>1251</v>
      </c>
      <c r="AP1" s="109" t="s">
        <v>1252</v>
      </c>
      <c r="AQ1" s="109" t="s">
        <v>1253</v>
      </c>
      <c r="AR1" s="109" t="s">
        <v>1254</v>
      </c>
      <c r="AS1" s="109" t="s">
        <v>1255</v>
      </c>
      <c r="AT1" s="109" t="s">
        <v>1256</v>
      </c>
      <c r="AU1" s="109" t="s">
        <v>1257</v>
      </c>
      <c r="AV1" s="109" t="s">
        <v>1258</v>
      </c>
      <c r="AW1" s="110" t="s">
        <v>1259</v>
      </c>
      <c r="AX1" s="110" t="s">
        <v>1260</v>
      </c>
      <c r="AY1" s="110" t="s">
        <v>1261</v>
      </c>
    </row>
    <row r="2" spans="1:51" s="111" customFormat="1" ht="33" customHeight="1" x14ac:dyDescent="0.25">
      <c r="A2" s="112">
        <v>46225</v>
      </c>
      <c r="B2" s="113" t="s">
        <v>1262</v>
      </c>
      <c r="C2" s="114">
        <v>34</v>
      </c>
      <c r="D2" s="115" t="s">
        <v>982</v>
      </c>
      <c r="E2" s="115" t="s">
        <v>1002</v>
      </c>
      <c r="F2" s="113" t="s">
        <v>1003</v>
      </c>
      <c r="G2" s="114">
        <v>1030109795</v>
      </c>
      <c r="H2" s="116" t="s">
        <v>1004</v>
      </c>
      <c r="I2" s="116" t="s">
        <v>1263</v>
      </c>
      <c r="J2" s="116" t="s">
        <v>988</v>
      </c>
      <c r="K2" s="116" t="s">
        <v>989</v>
      </c>
      <c r="L2" s="116" t="s">
        <v>990</v>
      </c>
      <c r="M2" s="117">
        <v>300</v>
      </c>
      <c r="N2" s="117">
        <v>300</v>
      </c>
      <c r="O2" s="117">
        <v>300</v>
      </c>
      <c r="P2" s="116">
        <v>1</v>
      </c>
      <c r="Q2" s="116" t="s">
        <v>1000</v>
      </c>
      <c r="R2" s="117">
        <v>0</v>
      </c>
      <c r="S2" s="117">
        <v>45</v>
      </c>
      <c r="T2" s="117">
        <v>255</v>
      </c>
      <c r="U2" s="118" t="s">
        <v>992</v>
      </c>
      <c r="V2" s="118" t="s">
        <v>993</v>
      </c>
      <c r="W2" s="119">
        <v>15</v>
      </c>
      <c r="X2" s="118" t="s">
        <v>175</v>
      </c>
      <c r="Y2" s="117">
        <v>93.85</v>
      </c>
      <c r="Z2" s="117">
        <v>206.15</v>
      </c>
      <c r="AA2" s="119" t="s">
        <v>69</v>
      </c>
      <c r="AB2" s="119">
        <f t="shared" ref="AB2:AB17" si="0">IF(F2=AI2,M2*10%,M2*15%)</f>
        <v>30</v>
      </c>
      <c r="AC2" s="120">
        <f t="shared" ref="AC2:AC17" si="1">+AB2/M2</f>
        <v>0.1</v>
      </c>
      <c r="AD2" s="121">
        <f t="shared" ref="AD2:AD17" si="2">+M2-AB2</f>
        <v>270</v>
      </c>
      <c r="AE2" s="121" t="b">
        <f t="shared" ref="AE2:AE17" si="3">F2=AI2</f>
        <v>1</v>
      </c>
      <c r="AF2" s="122" t="str" cm="1">
        <f t="array" ref="AF2:AY2">_xlfn.XLOOKUP(G2,'[2]Discount RM '!U:U,'[2]Discount RM '!A:T, "NOTMATCHED",0)</f>
        <v>12 May, 2026</v>
      </c>
      <c r="AG2" s="123" t="str">
        <v>12:49:59 PM</v>
      </c>
      <c r="AH2" s="122">
        <v>215073</v>
      </c>
      <c r="AI2" s="123" t="str">
        <v>SG2073168OL2XD33E</v>
      </c>
      <c r="AJ2" s="123">
        <v>1030109795</v>
      </c>
      <c r="AK2" s="123" t="str">
        <v>SG2073168OL2XD33E</v>
      </c>
      <c r="AL2" s="124">
        <v>3614272225718</v>
      </c>
      <c r="AM2" s="123" t="str">
        <v>Giorgio Armani</v>
      </c>
      <c r="AN2" s="123" t="str">
        <v>عطر جورجيو أرماني إمبريو سترونجر ويذ يو إنتنسلي للرجال - 100 مل - أو دي بارفيوم</v>
      </c>
      <c r="AO2" s="123" t="str">
        <v>الجمال والصحة</v>
      </c>
      <c r="AP2" s="123" t="str">
        <v>العطور</v>
      </c>
      <c r="AQ2" s="123" t="str">
        <v>Eau De Parfum</v>
      </c>
      <c r="AR2" s="123" t="str">
        <v>Yes</v>
      </c>
      <c r="AS2" s="123">
        <v>300</v>
      </c>
      <c r="AT2" s="123" t="str">
        <v>529.00</v>
      </c>
      <c r="AU2" s="123" t="str">
        <v>-</v>
      </c>
      <c r="AV2" s="122">
        <v>2</v>
      </c>
      <c r="AW2" s="123">
        <v>45</v>
      </c>
      <c r="AX2" s="123">
        <v>30</v>
      </c>
      <c r="AY2" s="123">
        <v>15</v>
      </c>
    </row>
    <row r="3" spans="1:51" s="111" customFormat="1" ht="33.75" customHeight="1" x14ac:dyDescent="0.25">
      <c r="A3" s="112">
        <v>46226</v>
      </c>
      <c r="B3" s="113" t="s">
        <v>1264</v>
      </c>
      <c r="C3" s="114">
        <v>34</v>
      </c>
      <c r="D3" s="115" t="s">
        <v>982</v>
      </c>
      <c r="E3" s="115" t="s">
        <v>1007</v>
      </c>
      <c r="F3" s="113" t="s">
        <v>1008</v>
      </c>
      <c r="G3" s="114">
        <v>1030110335</v>
      </c>
      <c r="H3" s="116" t="s">
        <v>1009</v>
      </c>
      <c r="I3" s="116" t="s">
        <v>1265</v>
      </c>
      <c r="J3" s="116" t="s">
        <v>988</v>
      </c>
      <c r="K3" s="116" t="s">
        <v>989</v>
      </c>
      <c r="L3" s="116" t="s">
        <v>990</v>
      </c>
      <c r="M3" s="117">
        <v>235</v>
      </c>
      <c r="N3" s="117">
        <v>235</v>
      </c>
      <c r="O3" s="117">
        <v>235</v>
      </c>
      <c r="P3" s="116">
        <v>1</v>
      </c>
      <c r="Q3" s="116" t="s">
        <v>1000</v>
      </c>
      <c r="R3" s="117">
        <v>0</v>
      </c>
      <c r="S3" s="117">
        <v>35.25</v>
      </c>
      <c r="T3" s="117">
        <v>199.75</v>
      </c>
      <c r="U3" s="118" t="s">
        <v>992</v>
      </c>
      <c r="V3" s="118" t="s">
        <v>993</v>
      </c>
      <c r="W3" s="119">
        <v>15</v>
      </c>
      <c r="X3" s="118" t="s">
        <v>169</v>
      </c>
      <c r="Y3" s="117">
        <v>5.51</v>
      </c>
      <c r="Z3" s="117">
        <v>229.49</v>
      </c>
      <c r="AA3" s="119" t="s">
        <v>69</v>
      </c>
      <c r="AB3" s="119">
        <f t="shared" si="0"/>
        <v>23.5</v>
      </c>
      <c r="AC3" s="120">
        <f t="shared" si="1"/>
        <v>0.1</v>
      </c>
      <c r="AD3" s="121">
        <f t="shared" si="2"/>
        <v>211.5</v>
      </c>
      <c r="AE3" s="121" t="b">
        <f t="shared" si="3"/>
        <v>1</v>
      </c>
      <c r="AF3" s="122" t="str" cm="1">
        <f t="array" ref="AF3:AY3">_xlfn.XLOOKUP(G3,'[2]Discount RM '!U:U,'[2]Discount RM '!A:T, "NOTMATCHED",0)</f>
        <v>16 May, 2026</v>
      </c>
      <c r="AG3" s="123" t="str">
        <v>11:42:23 AM</v>
      </c>
      <c r="AH3" s="122">
        <v>216007</v>
      </c>
      <c r="AI3" s="123" t="str">
        <v>SG2073168120K07D0</v>
      </c>
      <c r="AJ3" s="123">
        <v>1030110335</v>
      </c>
      <c r="AK3" s="123" t="str">
        <v>SG2073168120K07D0</v>
      </c>
      <c r="AL3" s="124">
        <v>3423222055639</v>
      </c>
      <c r="AM3" s="123" t="str">
        <v>Narciso Rodriguez</v>
      </c>
      <c r="AN3" s="123" t="str">
        <v>عطر نرسيسو رودريغز كريستال- او دي بارفيوم- 90مل</v>
      </c>
      <c r="AO3" s="123" t="str">
        <v>الجمال والصحة</v>
      </c>
      <c r="AP3" s="123" t="str">
        <v>العطور</v>
      </c>
      <c r="AQ3" s="123" t="str">
        <v>Eau De Parfum</v>
      </c>
      <c r="AR3" s="123" t="str">
        <v>Yes</v>
      </c>
      <c r="AS3" s="123">
        <v>235</v>
      </c>
      <c r="AT3" s="123" t="str">
        <v>493.00</v>
      </c>
      <c r="AU3" s="123" t="str">
        <v>-</v>
      </c>
      <c r="AV3" s="122">
        <v>2</v>
      </c>
      <c r="AW3" s="123">
        <v>35.25</v>
      </c>
      <c r="AX3" s="123">
        <v>23.5</v>
      </c>
      <c r="AY3" s="123">
        <v>11.75</v>
      </c>
    </row>
    <row r="4" spans="1:51" s="111" customFormat="1" ht="42" customHeight="1" x14ac:dyDescent="0.25">
      <c r="A4" s="112">
        <v>46226</v>
      </c>
      <c r="B4" s="113" t="s">
        <v>359</v>
      </c>
      <c r="C4" s="114">
        <v>34</v>
      </c>
      <c r="D4" s="115" t="s">
        <v>982</v>
      </c>
      <c r="E4" s="115" t="s">
        <v>1021</v>
      </c>
      <c r="F4" s="113" t="s">
        <v>1028</v>
      </c>
      <c r="G4" s="114">
        <v>1030110480</v>
      </c>
      <c r="H4" s="113" t="s">
        <v>1029</v>
      </c>
      <c r="I4" s="116" t="s">
        <v>1030</v>
      </c>
      <c r="J4" s="116" t="s">
        <v>988</v>
      </c>
      <c r="K4" s="116" t="s">
        <v>989</v>
      </c>
      <c r="L4" s="116" t="s">
        <v>1031</v>
      </c>
      <c r="M4" s="117">
        <v>385</v>
      </c>
      <c r="N4" s="117">
        <v>385</v>
      </c>
      <c r="O4" s="117">
        <v>385</v>
      </c>
      <c r="P4" s="116">
        <v>1</v>
      </c>
      <c r="Q4" s="116" t="s">
        <v>1000</v>
      </c>
      <c r="R4" s="117">
        <v>0</v>
      </c>
      <c r="S4" s="117">
        <v>57.75</v>
      </c>
      <c r="T4" s="117">
        <v>327.25</v>
      </c>
      <c r="U4" s="118" t="s">
        <v>73</v>
      </c>
      <c r="V4" s="118" t="s">
        <v>73</v>
      </c>
      <c r="W4" s="118" t="s">
        <v>73</v>
      </c>
      <c r="X4" s="118" t="s">
        <v>79</v>
      </c>
      <c r="Y4" s="117">
        <v>0</v>
      </c>
      <c r="Z4" s="117">
        <v>3949</v>
      </c>
      <c r="AA4" s="119" t="s">
        <v>69</v>
      </c>
      <c r="AB4" s="119">
        <f t="shared" si="0"/>
        <v>38.5</v>
      </c>
      <c r="AC4" s="120">
        <f t="shared" si="1"/>
        <v>0.1</v>
      </c>
      <c r="AD4" s="121">
        <f t="shared" si="2"/>
        <v>346.5</v>
      </c>
      <c r="AE4" s="121" t="b">
        <f t="shared" si="3"/>
        <v>1</v>
      </c>
      <c r="AF4" s="122" t="str" cm="1">
        <f t="array" ref="AF4:AY4">_xlfn.XLOOKUP(G4,'[2]Discount RM '!U:U,'[2]Discount RM '!A:T, "NOTMATCHED",0)</f>
        <v>12 May, 2026</v>
      </c>
      <c r="AG4" s="123" t="str">
        <v>12:49:59 PM</v>
      </c>
      <c r="AH4" s="122">
        <v>214823</v>
      </c>
      <c r="AI4" s="123" t="str">
        <v>SG2073175OKQZ3993</v>
      </c>
      <c r="AJ4" s="123">
        <v>1030110480</v>
      </c>
      <c r="AK4" s="123" t="str">
        <v>SG2073175OKQZ3993</v>
      </c>
      <c r="AL4" s="124">
        <v>3614274114645</v>
      </c>
      <c r="AM4" s="123" t="str">
        <v>Yves Saint Laurent</v>
      </c>
      <c r="AN4" s="123" t="str">
        <v>عطر ايف سان لوران ماي سلف- لي بارفيوم -100 مل</v>
      </c>
      <c r="AO4" s="123" t="str">
        <v>الجمال والصحة</v>
      </c>
      <c r="AP4" s="123" t="str">
        <v>العطور</v>
      </c>
      <c r="AQ4" s="123" t="str">
        <v>Parfum</v>
      </c>
      <c r="AR4" s="123" t="str">
        <v>Yes</v>
      </c>
      <c r="AS4" s="123">
        <v>385</v>
      </c>
      <c r="AT4" s="123" t="str">
        <v>788.00</v>
      </c>
      <c r="AU4" s="123" t="str">
        <v>-</v>
      </c>
      <c r="AV4" s="122">
        <v>2</v>
      </c>
      <c r="AW4" s="123">
        <v>57.75</v>
      </c>
      <c r="AX4" s="123">
        <v>38.5</v>
      </c>
      <c r="AY4" s="123">
        <v>19.25</v>
      </c>
    </row>
    <row r="5" spans="1:51" s="111" customFormat="1" x14ac:dyDescent="0.25">
      <c r="A5" s="112">
        <v>46226</v>
      </c>
      <c r="B5" s="113" t="s">
        <v>359</v>
      </c>
      <c r="C5" s="114">
        <v>34</v>
      </c>
      <c r="D5" s="115" t="s">
        <v>982</v>
      </c>
      <c r="E5" s="115" t="s">
        <v>1021</v>
      </c>
      <c r="F5" s="113" t="s">
        <v>1032</v>
      </c>
      <c r="G5" s="114">
        <v>1030110426</v>
      </c>
      <c r="H5" s="116" t="s">
        <v>1029</v>
      </c>
      <c r="I5" s="116" t="s">
        <v>1033</v>
      </c>
      <c r="J5" s="116" t="s">
        <v>988</v>
      </c>
      <c r="K5" s="116" t="s">
        <v>989</v>
      </c>
      <c r="L5" s="116" t="s">
        <v>990</v>
      </c>
      <c r="M5" s="117">
        <v>399</v>
      </c>
      <c r="N5" s="117">
        <v>399</v>
      </c>
      <c r="O5" s="117">
        <v>399</v>
      </c>
      <c r="P5" s="116">
        <v>1</v>
      </c>
      <c r="Q5" s="116" t="s">
        <v>1000</v>
      </c>
      <c r="R5" s="117">
        <v>0</v>
      </c>
      <c r="S5" s="117">
        <v>59.85</v>
      </c>
      <c r="T5" s="117">
        <v>339.15</v>
      </c>
      <c r="U5" s="118" t="s">
        <v>73</v>
      </c>
      <c r="V5" s="118" t="s">
        <v>73</v>
      </c>
      <c r="W5" s="118" t="s">
        <v>73</v>
      </c>
      <c r="X5" s="118" t="s">
        <v>79</v>
      </c>
      <c r="Y5" s="117">
        <v>0</v>
      </c>
      <c r="Z5" s="117">
        <v>3949</v>
      </c>
      <c r="AA5" s="119" t="s">
        <v>69</v>
      </c>
      <c r="AB5" s="119">
        <f t="shared" si="0"/>
        <v>39.900000000000006</v>
      </c>
      <c r="AC5" s="120">
        <f t="shared" si="1"/>
        <v>0.10000000000000002</v>
      </c>
      <c r="AD5" s="121">
        <f t="shared" si="2"/>
        <v>359.1</v>
      </c>
      <c r="AE5" s="121" t="b">
        <f t="shared" si="3"/>
        <v>1</v>
      </c>
      <c r="AF5" s="122" t="str" cm="1">
        <f t="array" ref="AF5:AY5">_xlfn.XLOOKUP(G5,'[2]Discount RM '!U:U,'[2]Discount RM '!A:T, "NOTMATCHED",0)</f>
        <v>12 May, 2026</v>
      </c>
      <c r="AG5" s="123" t="str">
        <v>12:49:59 PM</v>
      </c>
      <c r="AH5" s="122">
        <v>215020</v>
      </c>
      <c r="AI5" s="123" t="str">
        <v>SG2073168OL0QD4CD</v>
      </c>
      <c r="AJ5" s="123">
        <v>1030110426</v>
      </c>
      <c r="AK5" s="123" t="str">
        <v>SG2073168OL0QD4CD</v>
      </c>
      <c r="AL5" s="124">
        <v>3614273852814</v>
      </c>
      <c r="AM5" s="123" t="str">
        <v>Yves Saint Laurent</v>
      </c>
      <c r="AN5" s="123" t="str">
        <v>عطر ايف سان لوران ماي سيلف او دو بارفيوم 100مل</v>
      </c>
      <c r="AO5" s="123" t="str">
        <v>الجمال والصحة</v>
      </c>
      <c r="AP5" s="123" t="str">
        <v>العطور</v>
      </c>
      <c r="AQ5" s="123" t="str">
        <v>Eau De Parfum</v>
      </c>
      <c r="AR5" s="123" t="str">
        <v>Yes</v>
      </c>
      <c r="AS5" s="123">
        <v>399</v>
      </c>
      <c r="AT5" s="123" t="str">
        <v>598.00</v>
      </c>
      <c r="AU5" s="123" t="str">
        <v>-</v>
      </c>
      <c r="AV5" s="122">
        <v>2</v>
      </c>
      <c r="AW5" s="123">
        <v>59.849999999999994</v>
      </c>
      <c r="AX5" s="123">
        <v>39.900000000000006</v>
      </c>
      <c r="AY5" s="123">
        <v>19.949999999999989</v>
      </c>
    </row>
    <row r="6" spans="1:51" s="111" customFormat="1" ht="42" customHeight="1" x14ac:dyDescent="0.25">
      <c r="A6" s="112">
        <v>46227</v>
      </c>
      <c r="B6" s="113" t="s">
        <v>1266</v>
      </c>
      <c r="C6" s="114">
        <v>34</v>
      </c>
      <c r="D6" s="115" t="s">
        <v>982</v>
      </c>
      <c r="E6" s="115" t="s">
        <v>1054</v>
      </c>
      <c r="F6" s="113" t="s">
        <v>1055</v>
      </c>
      <c r="G6" s="114">
        <v>1030110412</v>
      </c>
      <c r="H6" s="116" t="s">
        <v>1056</v>
      </c>
      <c r="I6" s="116" t="s">
        <v>1057</v>
      </c>
      <c r="J6" s="116" t="s">
        <v>988</v>
      </c>
      <c r="K6" s="116" t="s">
        <v>989</v>
      </c>
      <c r="L6" s="116" t="s">
        <v>990</v>
      </c>
      <c r="M6" s="117">
        <v>199</v>
      </c>
      <c r="N6" s="117">
        <v>199</v>
      </c>
      <c r="O6" s="117">
        <v>199</v>
      </c>
      <c r="P6" s="116">
        <v>1</v>
      </c>
      <c r="Q6" s="116" t="s">
        <v>1000</v>
      </c>
      <c r="R6" s="117">
        <v>0</v>
      </c>
      <c r="S6" s="117">
        <v>29.85</v>
      </c>
      <c r="T6" s="117">
        <v>169.15</v>
      </c>
      <c r="U6" s="118" t="s">
        <v>992</v>
      </c>
      <c r="V6" s="118" t="s">
        <v>993</v>
      </c>
      <c r="W6" s="119">
        <v>15</v>
      </c>
      <c r="X6" s="118" t="s">
        <v>79</v>
      </c>
      <c r="Y6" s="117">
        <v>0</v>
      </c>
      <c r="Z6" s="117">
        <v>199</v>
      </c>
      <c r="AA6" s="119" t="s">
        <v>69</v>
      </c>
      <c r="AB6" s="119">
        <f t="shared" si="0"/>
        <v>19.900000000000002</v>
      </c>
      <c r="AC6" s="120">
        <f t="shared" si="1"/>
        <v>0.1</v>
      </c>
      <c r="AD6" s="121">
        <f t="shared" si="2"/>
        <v>179.1</v>
      </c>
      <c r="AE6" s="121" t="b">
        <f t="shared" si="3"/>
        <v>1</v>
      </c>
      <c r="AF6" s="122" t="str" cm="1">
        <f t="array" ref="AF6:AY6">_xlfn.XLOOKUP(G6,'[2]Discount RM '!U:U,'[2]Discount RM '!A:T, "NOTMATCHED",0)</f>
        <v>10 Jun, 2026</v>
      </c>
      <c r="AG6" s="123" t="str">
        <v>01:15:33 PM</v>
      </c>
      <c r="AH6" s="122">
        <v>219335</v>
      </c>
      <c r="AI6" s="123" t="str">
        <v>SG2073168D6DD4102</v>
      </c>
      <c r="AJ6" s="123">
        <v>1030110412</v>
      </c>
      <c r="AK6" s="123" t="str">
        <v>SG2073168D6DD4102</v>
      </c>
      <c r="AL6" s="124">
        <v>7640177360656</v>
      </c>
      <c r="AM6" s="123" t="str">
        <v>Chopard</v>
      </c>
      <c r="AN6" s="123" t="str">
        <v>عطر شوبارد سيدار ملكي – أو دو بارفيوم – 80 مل</v>
      </c>
      <c r="AO6" s="123" t="str">
        <v>الجمال والصحة</v>
      </c>
      <c r="AP6" s="123" t="str">
        <v>العطور</v>
      </c>
      <c r="AQ6" s="123" t="str">
        <v>Eau De Parfum</v>
      </c>
      <c r="AR6" s="123" t="str">
        <v>Yes</v>
      </c>
      <c r="AS6" s="123">
        <v>199</v>
      </c>
      <c r="AT6" s="123" t="str">
        <v>316.00</v>
      </c>
      <c r="AU6" s="123" t="str">
        <v>-</v>
      </c>
      <c r="AV6" s="122">
        <v>2</v>
      </c>
      <c r="AW6" s="123">
        <v>29.849999999999998</v>
      </c>
      <c r="AX6" s="123">
        <v>19.900000000000002</v>
      </c>
      <c r="AY6" s="123">
        <v>9.9499999999999957</v>
      </c>
    </row>
    <row r="7" spans="1:51" x14ac:dyDescent="0.25">
      <c r="A7" s="125">
        <v>46230</v>
      </c>
      <c r="B7" s="126" t="s">
        <v>1267</v>
      </c>
      <c r="C7" s="127">
        <v>34</v>
      </c>
      <c r="D7" s="128" t="s">
        <v>982</v>
      </c>
      <c r="E7" s="128" t="s">
        <v>1080</v>
      </c>
      <c r="F7" s="126" t="s">
        <v>1081</v>
      </c>
      <c r="G7" s="127">
        <v>1030109521</v>
      </c>
      <c r="H7" s="129" t="s">
        <v>998</v>
      </c>
      <c r="I7" s="129" t="s">
        <v>1268</v>
      </c>
      <c r="J7" s="129" t="s">
        <v>988</v>
      </c>
      <c r="K7" s="129" t="s">
        <v>989</v>
      </c>
      <c r="L7" s="129" t="s">
        <v>990</v>
      </c>
      <c r="M7" s="130">
        <v>425</v>
      </c>
      <c r="N7" s="130">
        <v>425</v>
      </c>
      <c r="O7" s="130">
        <v>425</v>
      </c>
      <c r="P7" s="129">
        <v>1</v>
      </c>
      <c r="Q7" s="129" t="s">
        <v>1000</v>
      </c>
      <c r="R7" s="130">
        <v>0</v>
      </c>
      <c r="S7" s="130">
        <v>63.75</v>
      </c>
      <c r="T7" s="130">
        <v>361.25</v>
      </c>
      <c r="U7" s="131" t="s">
        <v>992</v>
      </c>
      <c r="V7" s="131" t="s">
        <v>993</v>
      </c>
      <c r="W7" s="121">
        <v>15</v>
      </c>
      <c r="X7" s="131" t="s">
        <v>79</v>
      </c>
      <c r="Y7" s="130">
        <v>0</v>
      </c>
      <c r="Z7" s="130">
        <v>425</v>
      </c>
      <c r="AA7" s="121" t="s">
        <v>69</v>
      </c>
      <c r="AB7" s="121">
        <f t="shared" si="0"/>
        <v>42.5</v>
      </c>
      <c r="AC7" s="132">
        <f t="shared" si="1"/>
        <v>0.1</v>
      </c>
      <c r="AD7" s="121">
        <f t="shared" si="2"/>
        <v>382.5</v>
      </c>
      <c r="AE7" s="121" t="b">
        <f t="shared" si="3"/>
        <v>1</v>
      </c>
      <c r="AF7" s="122" t="str" cm="1">
        <f t="array" ref="AF7:AY7">_xlfn.XLOOKUP(G7,'[2]Discount RM '!U:U,'[2]Discount RM '!A:T, "NOTMATCHED",0)</f>
        <v>16 May, 2026</v>
      </c>
      <c r="AG7" s="123" t="str">
        <v>11:42:23 AM</v>
      </c>
      <c r="AH7" s="122">
        <v>215965</v>
      </c>
      <c r="AI7" s="123" t="str">
        <v>SG207316811XYBCD1</v>
      </c>
      <c r="AJ7" s="123">
        <v>1030109521</v>
      </c>
      <c r="AK7" s="123" t="str">
        <v>SG207316811XYBCD1</v>
      </c>
      <c r="AL7" s="124">
        <v>3346470133150</v>
      </c>
      <c r="AM7" s="123" t="str">
        <v>Guerlain</v>
      </c>
      <c r="AN7" s="123" t="str">
        <v>عطر جيرلان لينستانت ماجيك للنساء - 75 مل - أو دي بارفيوم</v>
      </c>
      <c r="AO7" s="123" t="str">
        <v>الجمال والصحة</v>
      </c>
      <c r="AP7" s="123" t="str">
        <v>العطور</v>
      </c>
      <c r="AQ7" s="123" t="str">
        <v>Eau De Parfum</v>
      </c>
      <c r="AR7" s="123" t="str">
        <v>Yes</v>
      </c>
      <c r="AS7" s="123">
        <v>425</v>
      </c>
      <c r="AT7" s="123" t="str">
        <v>570.00</v>
      </c>
      <c r="AU7" s="123" t="str">
        <v>-</v>
      </c>
      <c r="AV7" s="122">
        <v>2</v>
      </c>
      <c r="AW7" s="123">
        <v>63.75</v>
      </c>
      <c r="AX7" s="123">
        <v>42.5</v>
      </c>
      <c r="AY7" s="123">
        <v>21.25</v>
      </c>
    </row>
    <row r="8" spans="1:51" x14ac:dyDescent="0.25">
      <c r="A8" s="125">
        <v>46231</v>
      </c>
      <c r="B8" s="126" t="s">
        <v>1269</v>
      </c>
      <c r="C8" s="127">
        <v>34</v>
      </c>
      <c r="D8" s="128" t="s">
        <v>982</v>
      </c>
      <c r="E8" s="128" t="s">
        <v>1084</v>
      </c>
      <c r="F8" s="126" t="s">
        <v>1085</v>
      </c>
      <c r="G8" s="127">
        <v>1030103030</v>
      </c>
      <c r="H8" s="129" t="s">
        <v>1056</v>
      </c>
      <c r="I8" s="129" t="s">
        <v>1270</v>
      </c>
      <c r="J8" s="129" t="s">
        <v>988</v>
      </c>
      <c r="K8" s="129" t="s">
        <v>989</v>
      </c>
      <c r="L8" s="129" t="s">
        <v>990</v>
      </c>
      <c r="M8" s="130">
        <v>185</v>
      </c>
      <c r="N8" s="130">
        <v>185</v>
      </c>
      <c r="O8" s="130">
        <v>185</v>
      </c>
      <c r="P8" s="129">
        <v>1</v>
      </c>
      <c r="Q8" s="129" t="s">
        <v>1000</v>
      </c>
      <c r="R8" s="130">
        <v>0</v>
      </c>
      <c r="S8" s="130">
        <v>27.75</v>
      </c>
      <c r="T8" s="130">
        <v>157.25</v>
      </c>
      <c r="U8" s="131" t="s">
        <v>992</v>
      </c>
      <c r="V8" s="131" t="s">
        <v>993</v>
      </c>
      <c r="W8" s="121">
        <v>15</v>
      </c>
      <c r="X8" s="131" t="s">
        <v>71</v>
      </c>
      <c r="Y8" s="130">
        <v>2</v>
      </c>
      <c r="Z8" s="130">
        <v>183</v>
      </c>
      <c r="AA8" s="121" t="s">
        <v>69</v>
      </c>
      <c r="AB8" s="121">
        <f t="shared" si="0"/>
        <v>18.5</v>
      </c>
      <c r="AC8" s="132">
        <f t="shared" si="1"/>
        <v>0.1</v>
      </c>
      <c r="AD8" s="121">
        <f t="shared" si="2"/>
        <v>166.5</v>
      </c>
      <c r="AE8" s="121" t="b">
        <f t="shared" si="3"/>
        <v>1</v>
      </c>
      <c r="AF8" s="122" t="str" cm="1">
        <f t="array" ref="AF8:AY8">_xlfn.XLOOKUP(G8,'[2]Discount RM '!U:U,'[2]Discount RM '!A:T, "NOTMATCHED",0)</f>
        <v>12 May, 2026</v>
      </c>
      <c r="AG8" s="123" t="str">
        <v>12:49:58 PM</v>
      </c>
      <c r="AH8" s="122">
        <v>214769</v>
      </c>
      <c r="AI8" s="123" t="str">
        <v>SG2073168OKO92EBE</v>
      </c>
      <c r="AJ8" s="123">
        <v>1030103030</v>
      </c>
      <c r="AK8" s="123" t="str">
        <v>SG2073168OKO92EBE</v>
      </c>
      <c r="AL8" s="124">
        <v>7640177360083</v>
      </c>
      <c r="AM8" s="123" t="str">
        <v>Chopard</v>
      </c>
      <c r="AN8" s="123" t="str">
        <v>عطر شوبارد عود ملكي للرجال - 80 مل - أو دي بارفيوم</v>
      </c>
      <c r="AO8" s="123" t="str">
        <v>الجمال والصحة</v>
      </c>
      <c r="AP8" s="123" t="str">
        <v>العطور</v>
      </c>
      <c r="AQ8" s="123" t="str">
        <v>Eau De Parfum</v>
      </c>
      <c r="AR8" s="123" t="str">
        <v>Yes</v>
      </c>
      <c r="AS8" s="123">
        <v>185</v>
      </c>
      <c r="AT8" s="123" t="str">
        <v>320.00</v>
      </c>
      <c r="AU8" s="123" t="str">
        <v>-</v>
      </c>
      <c r="AV8" s="122">
        <v>2</v>
      </c>
      <c r="AW8" s="123">
        <v>27.75</v>
      </c>
      <c r="AX8" s="123">
        <v>18.5</v>
      </c>
      <c r="AY8" s="123">
        <v>9.25</v>
      </c>
    </row>
    <row r="9" spans="1:51" x14ac:dyDescent="0.25">
      <c r="A9" s="125">
        <v>46233</v>
      </c>
      <c r="B9" s="126" t="s">
        <v>1271</v>
      </c>
      <c r="C9" s="127">
        <v>34</v>
      </c>
      <c r="D9" s="128" t="s">
        <v>982</v>
      </c>
      <c r="E9" s="128" t="s">
        <v>1093</v>
      </c>
      <c r="F9" s="126" t="s">
        <v>1094</v>
      </c>
      <c r="G9" s="127">
        <v>1030106266</v>
      </c>
      <c r="H9" s="129" t="s">
        <v>1095</v>
      </c>
      <c r="I9" s="129" t="s">
        <v>1272</v>
      </c>
      <c r="J9" s="129" t="s">
        <v>988</v>
      </c>
      <c r="K9" s="129" t="s">
        <v>989</v>
      </c>
      <c r="L9" s="129" t="s">
        <v>1039</v>
      </c>
      <c r="M9" s="130">
        <v>168</v>
      </c>
      <c r="N9" s="130">
        <v>168</v>
      </c>
      <c r="O9" s="130">
        <v>168</v>
      </c>
      <c r="P9" s="129">
        <v>1</v>
      </c>
      <c r="Q9" s="129" t="s">
        <v>1000</v>
      </c>
      <c r="R9" s="130">
        <v>0</v>
      </c>
      <c r="S9" s="130">
        <v>25.2</v>
      </c>
      <c r="T9" s="130">
        <v>142.80000000000001</v>
      </c>
      <c r="U9" s="131" t="s">
        <v>992</v>
      </c>
      <c r="V9" s="131" t="s">
        <v>993</v>
      </c>
      <c r="W9" s="121">
        <v>15</v>
      </c>
      <c r="X9" s="131" t="s">
        <v>92</v>
      </c>
      <c r="Y9" s="130">
        <v>178</v>
      </c>
      <c r="Z9" s="130">
        <v>0</v>
      </c>
      <c r="AA9" s="121" t="s">
        <v>1273</v>
      </c>
      <c r="AB9" s="121">
        <f t="shared" si="0"/>
        <v>16.8</v>
      </c>
      <c r="AC9" s="132">
        <f t="shared" si="1"/>
        <v>0.1</v>
      </c>
      <c r="AD9" s="121">
        <f t="shared" si="2"/>
        <v>151.19999999999999</v>
      </c>
      <c r="AE9" s="121" t="b">
        <f t="shared" si="3"/>
        <v>1</v>
      </c>
      <c r="AF9" s="122" t="str" cm="1">
        <f t="array" ref="AF9:AY9">_xlfn.XLOOKUP(G9,'[2]Discount RM '!U:U,'[2]Discount RM '!A:T, "NOTMATCHED",0)</f>
        <v>12 May, 2026</v>
      </c>
      <c r="AG9" s="123" t="str">
        <v>12:49:59 PM</v>
      </c>
      <c r="AH9" s="122">
        <v>215062</v>
      </c>
      <c r="AI9" s="123" t="str">
        <v>SG2073169OL2H5124</v>
      </c>
      <c r="AJ9" s="123">
        <v>1030106266</v>
      </c>
      <c r="AK9" s="123" t="str">
        <v>SG2073169OL2H5124</v>
      </c>
      <c r="AL9" s="124">
        <v>737052972305</v>
      </c>
      <c r="AM9" s="123" t="str">
        <v>Hugo Boss</v>
      </c>
      <c r="AN9" s="123" t="str">
        <v>عطر هوجو بوس ذا سنت للرجال - 100 مل - أو دي تواليت</v>
      </c>
      <c r="AO9" s="123" t="str">
        <v>الجمال والصحة</v>
      </c>
      <c r="AP9" s="123" t="str">
        <v>العطور</v>
      </c>
      <c r="AQ9" s="123" t="str">
        <v>Eau De Toilette</v>
      </c>
      <c r="AR9" s="123" t="str">
        <v>Yes</v>
      </c>
      <c r="AS9" s="123">
        <v>168</v>
      </c>
      <c r="AT9" s="123" t="str">
        <v>264.00</v>
      </c>
      <c r="AU9" s="123" t="str">
        <v>-</v>
      </c>
      <c r="AV9" s="122">
        <v>2</v>
      </c>
      <c r="AW9" s="123">
        <v>25.2</v>
      </c>
      <c r="AX9" s="123">
        <v>16.8</v>
      </c>
      <c r="AY9" s="123">
        <v>8.3999999999999986</v>
      </c>
    </row>
    <row r="10" spans="1:51" x14ac:dyDescent="0.25">
      <c r="A10" s="125">
        <v>46238</v>
      </c>
      <c r="B10" s="126" t="s">
        <v>1274</v>
      </c>
      <c r="C10" s="127">
        <v>34</v>
      </c>
      <c r="D10" s="128" t="s">
        <v>982</v>
      </c>
      <c r="E10" s="128" t="s">
        <v>1105</v>
      </c>
      <c r="F10" s="126" t="s">
        <v>1081</v>
      </c>
      <c r="G10" s="127">
        <v>1030109521</v>
      </c>
      <c r="H10" s="129" t="s">
        <v>998</v>
      </c>
      <c r="I10" s="129" t="s">
        <v>1268</v>
      </c>
      <c r="J10" s="129" t="s">
        <v>988</v>
      </c>
      <c r="K10" s="129" t="s">
        <v>989</v>
      </c>
      <c r="L10" s="129" t="s">
        <v>990</v>
      </c>
      <c r="M10" s="130">
        <v>425</v>
      </c>
      <c r="N10" s="130">
        <v>425</v>
      </c>
      <c r="O10" s="130">
        <v>425</v>
      </c>
      <c r="P10" s="129">
        <v>1</v>
      </c>
      <c r="Q10" s="129" t="s">
        <v>1000</v>
      </c>
      <c r="R10" s="130">
        <v>0</v>
      </c>
      <c r="S10" s="130">
        <v>63.75</v>
      </c>
      <c r="T10" s="130">
        <v>361.25</v>
      </c>
      <c r="U10" s="131" t="s">
        <v>992</v>
      </c>
      <c r="V10" s="131" t="s">
        <v>993</v>
      </c>
      <c r="W10" s="121">
        <v>15</v>
      </c>
      <c r="X10" s="131" t="s">
        <v>79</v>
      </c>
      <c r="Y10" s="130">
        <v>0</v>
      </c>
      <c r="Z10" s="130">
        <v>425</v>
      </c>
      <c r="AA10" s="121" t="s">
        <v>69</v>
      </c>
      <c r="AB10" s="121">
        <f t="shared" si="0"/>
        <v>42.5</v>
      </c>
      <c r="AC10" s="132">
        <f t="shared" si="1"/>
        <v>0.1</v>
      </c>
      <c r="AD10" s="121">
        <f t="shared" si="2"/>
        <v>382.5</v>
      </c>
      <c r="AE10" s="121" t="b">
        <f t="shared" si="3"/>
        <v>1</v>
      </c>
      <c r="AF10" s="122" t="str" cm="1">
        <f t="array" ref="AF10:AY10">_xlfn.XLOOKUP(G10,'[2]Discount RM '!U:U,'[2]Discount RM '!A:T, "NOTMATCHED",0)</f>
        <v>16 May, 2026</v>
      </c>
      <c r="AG10" s="123" t="str">
        <v>11:42:23 AM</v>
      </c>
      <c r="AH10" s="122">
        <v>215965</v>
      </c>
      <c r="AI10" s="123" t="str">
        <v>SG207316811XYBCD1</v>
      </c>
      <c r="AJ10" s="123">
        <v>1030109521</v>
      </c>
      <c r="AK10" s="123" t="str">
        <v>SG207316811XYBCD1</v>
      </c>
      <c r="AL10" s="124">
        <v>3346470133150</v>
      </c>
      <c r="AM10" s="123" t="str">
        <v>Guerlain</v>
      </c>
      <c r="AN10" s="123" t="str">
        <v>عطر جيرلان لينستانت ماجيك للنساء - 75 مل - أو دي بارفيوم</v>
      </c>
      <c r="AO10" s="123" t="str">
        <v>الجمال والصحة</v>
      </c>
      <c r="AP10" s="123" t="str">
        <v>العطور</v>
      </c>
      <c r="AQ10" s="123" t="str">
        <v>Eau De Parfum</v>
      </c>
      <c r="AR10" s="123" t="str">
        <v>Yes</v>
      </c>
      <c r="AS10" s="123">
        <v>425</v>
      </c>
      <c r="AT10" s="123" t="str">
        <v>570.00</v>
      </c>
      <c r="AU10" s="123" t="str">
        <v>-</v>
      </c>
      <c r="AV10" s="122">
        <v>2</v>
      </c>
      <c r="AW10" s="123">
        <v>63.75</v>
      </c>
      <c r="AX10" s="123">
        <v>42.5</v>
      </c>
      <c r="AY10" s="123">
        <v>21.25</v>
      </c>
    </row>
    <row r="11" spans="1:51" x14ac:dyDescent="0.25">
      <c r="A11" s="125">
        <v>46239</v>
      </c>
      <c r="B11" s="126" t="s">
        <v>1275</v>
      </c>
      <c r="C11" s="127">
        <v>34</v>
      </c>
      <c r="D11" s="128" t="s">
        <v>982</v>
      </c>
      <c r="E11" s="128" t="s">
        <v>1120</v>
      </c>
      <c r="F11" s="126" t="s">
        <v>1055</v>
      </c>
      <c r="G11" s="127">
        <v>1030110412</v>
      </c>
      <c r="H11" s="129" t="s">
        <v>1056</v>
      </c>
      <c r="I11" s="129" t="s">
        <v>1057</v>
      </c>
      <c r="J11" s="129" t="s">
        <v>988</v>
      </c>
      <c r="K11" s="129" t="s">
        <v>989</v>
      </c>
      <c r="L11" s="129" t="s">
        <v>990</v>
      </c>
      <c r="M11" s="130">
        <v>397.8</v>
      </c>
      <c r="N11" s="130">
        <v>397.8</v>
      </c>
      <c r="O11" s="130">
        <v>198.9</v>
      </c>
      <c r="P11" s="129">
        <v>2</v>
      </c>
      <c r="Q11" s="129" t="s">
        <v>1000</v>
      </c>
      <c r="R11" s="130">
        <v>0</v>
      </c>
      <c r="S11" s="130">
        <v>59.67</v>
      </c>
      <c r="T11" s="130">
        <v>338.13</v>
      </c>
      <c r="U11" s="131" t="s">
        <v>73</v>
      </c>
      <c r="V11" s="131" t="s">
        <v>73</v>
      </c>
      <c r="W11" s="131" t="s">
        <v>73</v>
      </c>
      <c r="X11" s="131" t="s">
        <v>86</v>
      </c>
      <c r="Y11" s="130">
        <v>0</v>
      </c>
      <c r="Z11" s="130">
        <v>2226.9</v>
      </c>
      <c r="AA11" s="121" t="s">
        <v>69</v>
      </c>
      <c r="AB11" s="121">
        <f t="shared" si="0"/>
        <v>39.78</v>
      </c>
      <c r="AC11" s="133">
        <f t="shared" si="1"/>
        <v>0.1</v>
      </c>
      <c r="AD11" s="121">
        <f t="shared" si="2"/>
        <v>358.02</v>
      </c>
      <c r="AE11" s="121" t="b">
        <f t="shared" si="3"/>
        <v>1</v>
      </c>
      <c r="AF11" s="122" t="str" cm="1">
        <f t="array" ref="AF11:AY11">_xlfn.XLOOKUP(G11,'[2]Discount RM '!U:U,'[2]Discount RM '!A:T, "NOTMATCHED",0)</f>
        <v>10 Jun, 2026</v>
      </c>
      <c r="AG11" s="123" t="str">
        <v>01:15:33 PM</v>
      </c>
      <c r="AH11" s="122">
        <v>219335</v>
      </c>
      <c r="AI11" s="123" t="str">
        <v>SG2073168D6DD4102</v>
      </c>
      <c r="AJ11" s="123">
        <v>1030110412</v>
      </c>
      <c r="AK11" s="123" t="str">
        <v>SG2073168D6DD4102</v>
      </c>
      <c r="AL11" s="124">
        <v>7640177360656</v>
      </c>
      <c r="AM11" s="123" t="str">
        <v>Chopard</v>
      </c>
      <c r="AN11" s="123" t="str">
        <v>عطر شوبارد سيدار ملكي – أو دو بارفيوم – 80 مل</v>
      </c>
      <c r="AO11" s="123" t="str">
        <v>الجمال والصحة</v>
      </c>
      <c r="AP11" s="123" t="str">
        <v>العطور</v>
      </c>
      <c r="AQ11" s="123" t="str">
        <v>Eau De Parfum</v>
      </c>
      <c r="AR11" s="123" t="str">
        <v>Yes</v>
      </c>
      <c r="AS11" s="123">
        <v>199</v>
      </c>
      <c r="AT11" s="123" t="str">
        <v>316.00</v>
      </c>
      <c r="AU11" s="123" t="str">
        <v>-</v>
      </c>
      <c r="AV11" s="122">
        <v>2</v>
      </c>
      <c r="AW11" s="123">
        <v>29.849999999999998</v>
      </c>
      <c r="AX11" s="123">
        <v>19.900000000000002</v>
      </c>
      <c r="AY11" s="123">
        <v>9.9499999999999957</v>
      </c>
    </row>
    <row r="12" spans="1:51" x14ac:dyDescent="0.25">
      <c r="A12" s="125">
        <v>46239</v>
      </c>
      <c r="B12" s="126" t="s">
        <v>1275</v>
      </c>
      <c r="C12" s="127">
        <v>34</v>
      </c>
      <c r="D12" s="128" t="s">
        <v>982</v>
      </c>
      <c r="E12" s="128" t="s">
        <v>1120</v>
      </c>
      <c r="F12" s="126" t="s">
        <v>1121</v>
      </c>
      <c r="G12" s="127">
        <v>1030105520</v>
      </c>
      <c r="H12" s="129" t="s">
        <v>1122</v>
      </c>
      <c r="I12" s="129" t="s">
        <v>1276</v>
      </c>
      <c r="J12" s="129" t="s">
        <v>988</v>
      </c>
      <c r="K12" s="129" t="s">
        <v>989</v>
      </c>
      <c r="L12" s="129" t="s">
        <v>1039</v>
      </c>
      <c r="M12" s="130">
        <v>497.8</v>
      </c>
      <c r="N12" s="130">
        <v>497.8</v>
      </c>
      <c r="O12" s="130">
        <v>248.9</v>
      </c>
      <c r="P12" s="129">
        <v>2</v>
      </c>
      <c r="Q12" s="129" t="s">
        <v>1000</v>
      </c>
      <c r="R12" s="130">
        <v>0</v>
      </c>
      <c r="S12" s="130">
        <v>74.67</v>
      </c>
      <c r="T12" s="130">
        <v>423.13</v>
      </c>
      <c r="U12" s="131" t="s">
        <v>992</v>
      </c>
      <c r="V12" s="131" t="s">
        <v>993</v>
      </c>
      <c r="W12" s="121">
        <v>15</v>
      </c>
      <c r="X12" s="131" t="s">
        <v>86</v>
      </c>
      <c r="Y12" s="130">
        <v>0</v>
      </c>
      <c r="Z12" s="130">
        <v>2226.9</v>
      </c>
      <c r="AA12" s="121" t="s">
        <v>69</v>
      </c>
      <c r="AB12" s="121">
        <f t="shared" si="0"/>
        <v>49.78</v>
      </c>
      <c r="AC12" s="133">
        <f t="shared" si="1"/>
        <v>0.1</v>
      </c>
      <c r="AD12" s="121">
        <f t="shared" si="2"/>
        <v>448.02</v>
      </c>
      <c r="AE12" s="121" t="b">
        <f t="shared" si="3"/>
        <v>1</v>
      </c>
      <c r="AF12" s="122" t="str" cm="1">
        <f t="array" ref="AF12:AY12">_xlfn.XLOOKUP(G12,'[2]Discount RM '!U:U,'[2]Discount RM '!A:T, "NOTMATCHED",0)</f>
        <v>12 May, 2026</v>
      </c>
      <c r="AG12" s="123" t="str">
        <v>12:49:58 PM</v>
      </c>
      <c r="AH12" s="122">
        <v>214788</v>
      </c>
      <c r="AI12" s="123" t="str">
        <v>SG2073169OKP8B111</v>
      </c>
      <c r="AJ12" s="123">
        <v>1030105520</v>
      </c>
      <c r="AK12" s="123" t="str">
        <v>SG2073169OKP8B111</v>
      </c>
      <c r="AL12" s="124">
        <v>3614272732209</v>
      </c>
      <c r="AM12" s="123" t="str">
        <v>Valentino</v>
      </c>
      <c r="AN12" s="123" t="str">
        <v>عطر فالنتينو أومو تواليت للرجال 100 مل - أو دي تواليت</v>
      </c>
      <c r="AO12" s="123" t="str">
        <v>الجمال والصحة</v>
      </c>
      <c r="AP12" s="123" t="str">
        <v>العطور</v>
      </c>
      <c r="AQ12" s="123" t="str">
        <v>Eau De Toilette</v>
      </c>
      <c r="AR12" s="123" t="str">
        <v>Yes</v>
      </c>
      <c r="AS12" s="123">
        <v>249</v>
      </c>
      <c r="AT12" s="123" t="str">
        <v>450.00</v>
      </c>
      <c r="AU12" s="123" t="str">
        <v>-</v>
      </c>
      <c r="AV12" s="122">
        <v>2</v>
      </c>
      <c r="AW12" s="123">
        <v>37.35</v>
      </c>
      <c r="AX12" s="123">
        <v>24.900000000000002</v>
      </c>
      <c r="AY12" s="123">
        <v>12.45</v>
      </c>
    </row>
    <row r="13" spans="1:51" s="131" customFormat="1" ht="18" customHeight="1" x14ac:dyDescent="0.25">
      <c r="A13" s="125">
        <v>46239</v>
      </c>
      <c r="B13" s="126" t="s">
        <v>1275</v>
      </c>
      <c r="C13" s="127">
        <v>34</v>
      </c>
      <c r="D13" s="128" t="s">
        <v>982</v>
      </c>
      <c r="E13" s="128" t="s">
        <v>1120</v>
      </c>
      <c r="F13" s="126" t="s">
        <v>1127</v>
      </c>
      <c r="G13" s="127">
        <v>1030108935</v>
      </c>
      <c r="H13" s="129" t="s">
        <v>1128</v>
      </c>
      <c r="I13" s="129" t="s">
        <v>1277</v>
      </c>
      <c r="J13" s="129" t="s">
        <v>988</v>
      </c>
      <c r="K13" s="129" t="s">
        <v>989</v>
      </c>
      <c r="L13" s="129" t="s">
        <v>990</v>
      </c>
      <c r="M13" s="130">
        <v>279.89999999999998</v>
      </c>
      <c r="N13" s="130">
        <v>279.89999999999998</v>
      </c>
      <c r="O13" s="130">
        <v>279.89999999999998</v>
      </c>
      <c r="P13" s="129">
        <v>1</v>
      </c>
      <c r="Q13" s="129" t="s">
        <v>1000</v>
      </c>
      <c r="R13" s="130">
        <v>0</v>
      </c>
      <c r="S13" s="130">
        <v>41.98</v>
      </c>
      <c r="T13" s="130">
        <v>237.91</v>
      </c>
      <c r="U13" s="131" t="s">
        <v>73</v>
      </c>
      <c r="V13" s="131" t="s">
        <v>73</v>
      </c>
      <c r="W13" s="131" t="s">
        <v>73</v>
      </c>
      <c r="X13" s="131" t="s">
        <v>86</v>
      </c>
      <c r="Y13" s="130">
        <v>0</v>
      </c>
      <c r="Z13" s="130">
        <v>2226.9</v>
      </c>
      <c r="AA13" s="121" t="s">
        <v>69</v>
      </c>
      <c r="AB13" s="121">
        <f t="shared" si="0"/>
        <v>27.99</v>
      </c>
      <c r="AC13" s="133">
        <f t="shared" si="1"/>
        <v>0.1</v>
      </c>
      <c r="AD13" s="121">
        <f t="shared" si="2"/>
        <v>251.90999999999997</v>
      </c>
      <c r="AE13" s="121" t="b">
        <f t="shared" si="3"/>
        <v>1</v>
      </c>
      <c r="AF13" s="122" t="str" cm="1">
        <f t="array" ref="AF13:AY13">_xlfn.XLOOKUP(G13,'[2]Discount RM '!U:U,'[2]Discount RM '!A:T, "NOTMATCHED",0)</f>
        <v>12 May, 2026</v>
      </c>
      <c r="AG13" s="123" t="str">
        <v>12:49:59 PM</v>
      </c>
      <c r="AH13" s="122">
        <v>215081</v>
      </c>
      <c r="AI13" s="123" t="str">
        <v>SG2073168OL39AF21</v>
      </c>
      <c r="AJ13" s="123">
        <v>1030108935</v>
      </c>
      <c r="AK13" s="123" t="str">
        <v>SG2073168OL39AF21</v>
      </c>
      <c r="AL13" s="124">
        <v>8005610344157</v>
      </c>
      <c r="AM13" s="123" t="str">
        <v>Gucci</v>
      </c>
      <c r="AN13" s="123" t="str">
        <v>عطر قوتشي جولتي ابسولوت للرجال - 90 مل - أو دي بارفيوم</v>
      </c>
      <c r="AO13" s="123" t="str">
        <v>الجمال والصحة</v>
      </c>
      <c r="AP13" s="123" t="str">
        <v>العطور</v>
      </c>
      <c r="AQ13" s="123" t="str">
        <v>Eau De Parfum</v>
      </c>
      <c r="AR13" s="123" t="str">
        <v>Yes</v>
      </c>
      <c r="AS13" s="123">
        <v>259</v>
      </c>
      <c r="AT13" s="123" t="str">
        <v>490.00</v>
      </c>
      <c r="AU13" s="123" t="str">
        <v>-</v>
      </c>
      <c r="AV13" s="122">
        <v>2</v>
      </c>
      <c r="AW13" s="123">
        <v>38.85</v>
      </c>
      <c r="AX13" s="123">
        <v>25.900000000000002</v>
      </c>
      <c r="AY13" s="123">
        <v>12.95</v>
      </c>
    </row>
    <row r="14" spans="1:51" ht="16.5" customHeight="1" x14ac:dyDescent="0.25">
      <c r="A14" s="125">
        <v>46239</v>
      </c>
      <c r="B14" s="126" t="s">
        <v>1275</v>
      </c>
      <c r="C14" s="127">
        <v>34</v>
      </c>
      <c r="D14" s="128" t="s">
        <v>982</v>
      </c>
      <c r="E14" s="128" t="s">
        <v>1120</v>
      </c>
      <c r="F14" s="126" t="s">
        <v>1085</v>
      </c>
      <c r="G14" s="127">
        <v>1030103030</v>
      </c>
      <c r="H14" s="129" t="s">
        <v>1056</v>
      </c>
      <c r="I14" s="129" t="s">
        <v>1270</v>
      </c>
      <c r="J14" s="129" t="s">
        <v>988</v>
      </c>
      <c r="K14" s="129" t="s">
        <v>989</v>
      </c>
      <c r="L14" s="129" t="s">
        <v>990</v>
      </c>
      <c r="M14" s="130">
        <v>184.9</v>
      </c>
      <c r="N14" s="130">
        <v>184.9</v>
      </c>
      <c r="O14" s="130">
        <v>184.9</v>
      </c>
      <c r="P14" s="129">
        <v>1</v>
      </c>
      <c r="Q14" s="129" t="s">
        <v>1000</v>
      </c>
      <c r="R14" s="130">
        <v>0</v>
      </c>
      <c r="S14" s="130">
        <v>27.73</v>
      </c>
      <c r="T14" s="130">
        <v>157.16999999999999</v>
      </c>
      <c r="U14" s="131" t="s">
        <v>73</v>
      </c>
      <c r="V14" s="131" t="s">
        <v>73</v>
      </c>
      <c r="W14" s="131" t="s">
        <v>73</v>
      </c>
      <c r="X14" s="131" t="s">
        <v>86</v>
      </c>
      <c r="Y14" s="130">
        <v>0</v>
      </c>
      <c r="Z14" s="130">
        <v>2226.9</v>
      </c>
      <c r="AA14" s="121" t="s">
        <v>69</v>
      </c>
      <c r="AB14" s="121">
        <f t="shared" si="0"/>
        <v>18.490000000000002</v>
      </c>
      <c r="AC14" s="132">
        <f t="shared" si="1"/>
        <v>0.1</v>
      </c>
      <c r="AD14" s="121">
        <f t="shared" si="2"/>
        <v>166.41</v>
      </c>
      <c r="AE14" s="121" t="b">
        <f t="shared" si="3"/>
        <v>1</v>
      </c>
      <c r="AF14" s="122" t="str" cm="1">
        <f t="array" ref="AF14:AY14">_xlfn.XLOOKUP(G14,'[2]Discount RM '!U:U,'[2]Discount RM '!A:T, "NOTMATCHED",0)</f>
        <v>12 May, 2026</v>
      </c>
      <c r="AG14" s="123" t="str">
        <v>12:49:58 PM</v>
      </c>
      <c r="AH14" s="122">
        <v>214769</v>
      </c>
      <c r="AI14" s="123" t="str">
        <v>SG2073168OKO92EBE</v>
      </c>
      <c r="AJ14" s="123">
        <v>1030103030</v>
      </c>
      <c r="AK14" s="123" t="str">
        <v>SG2073168OKO92EBE</v>
      </c>
      <c r="AL14" s="124">
        <v>7640177360083</v>
      </c>
      <c r="AM14" s="123" t="str">
        <v>Chopard</v>
      </c>
      <c r="AN14" s="123" t="str">
        <v>عطر شوبارد عود ملكي للرجال - 80 مل - أو دي بارفيوم</v>
      </c>
      <c r="AO14" s="123" t="str">
        <v>الجمال والصحة</v>
      </c>
      <c r="AP14" s="123" t="str">
        <v>العطور</v>
      </c>
      <c r="AQ14" s="123" t="str">
        <v>Eau De Parfum</v>
      </c>
      <c r="AR14" s="123" t="str">
        <v>Yes</v>
      </c>
      <c r="AS14" s="123">
        <v>185</v>
      </c>
      <c r="AT14" s="123" t="str">
        <v>320.00</v>
      </c>
      <c r="AU14" s="123" t="str">
        <v>-</v>
      </c>
      <c r="AV14" s="122">
        <v>2</v>
      </c>
      <c r="AW14" s="123">
        <v>27.75</v>
      </c>
      <c r="AX14" s="123">
        <v>18.5</v>
      </c>
      <c r="AY14" s="123">
        <v>9.25</v>
      </c>
    </row>
    <row r="15" spans="1:51" x14ac:dyDescent="0.25">
      <c r="A15" s="125">
        <v>46241</v>
      </c>
      <c r="B15" s="126" t="s">
        <v>1278</v>
      </c>
      <c r="C15" s="127">
        <v>34</v>
      </c>
      <c r="D15" s="128" t="s">
        <v>982</v>
      </c>
      <c r="E15" s="128" t="s">
        <v>1142</v>
      </c>
      <c r="F15" s="126" t="s">
        <v>1143</v>
      </c>
      <c r="G15" s="127">
        <v>1030101940</v>
      </c>
      <c r="H15" s="129" t="s">
        <v>1144</v>
      </c>
      <c r="I15" s="129" t="s">
        <v>1145</v>
      </c>
      <c r="J15" s="129" t="s">
        <v>988</v>
      </c>
      <c r="K15" s="129" t="s">
        <v>989</v>
      </c>
      <c r="L15" s="129" t="s">
        <v>1039</v>
      </c>
      <c r="M15" s="130">
        <v>164.9</v>
      </c>
      <c r="N15" s="130">
        <v>164.9</v>
      </c>
      <c r="O15" s="130">
        <v>164.9</v>
      </c>
      <c r="P15" s="129">
        <v>1</v>
      </c>
      <c r="Q15" s="129" t="s">
        <v>1000</v>
      </c>
      <c r="R15" s="130">
        <v>0</v>
      </c>
      <c r="S15" s="130">
        <v>24.73</v>
      </c>
      <c r="T15" s="130">
        <v>140.16999999999999</v>
      </c>
      <c r="U15" s="131" t="s">
        <v>992</v>
      </c>
      <c r="V15" s="131" t="s">
        <v>993</v>
      </c>
      <c r="W15" s="121">
        <v>15</v>
      </c>
      <c r="X15" s="131" t="s">
        <v>79</v>
      </c>
      <c r="Y15" s="130">
        <v>0</v>
      </c>
      <c r="Z15" s="130">
        <v>164.9</v>
      </c>
      <c r="AA15" s="121" t="s">
        <v>69</v>
      </c>
      <c r="AB15" s="121">
        <f t="shared" si="0"/>
        <v>16.490000000000002</v>
      </c>
      <c r="AC15" s="133">
        <f t="shared" si="1"/>
        <v>0.1</v>
      </c>
      <c r="AD15" s="121">
        <f t="shared" si="2"/>
        <v>148.41</v>
      </c>
      <c r="AE15" s="121" t="b">
        <f t="shared" si="3"/>
        <v>1</v>
      </c>
      <c r="AF15" s="122" t="str" cm="1">
        <f t="array" ref="AF15:AY15">_xlfn.XLOOKUP(G15,'[2]Discount RM '!U:U,'[2]Discount RM '!A:T, "NOTMATCHED",0)</f>
        <v>12 May, 2026</v>
      </c>
      <c r="AG15" s="123" t="str">
        <v>12:49:59 PM</v>
      </c>
      <c r="AH15" s="122">
        <v>215000</v>
      </c>
      <c r="AI15" s="123" t="str">
        <v>SG2073169OKZVEBA3</v>
      </c>
      <c r="AJ15" s="123">
        <v>1030101940</v>
      </c>
      <c r="AK15" s="123" t="str">
        <v>SG2073169OKZVEBA3</v>
      </c>
      <c r="AL15" s="124">
        <v>3274872395503</v>
      </c>
      <c r="AM15" s="123" t="str">
        <v>Givenchy</v>
      </c>
      <c r="AN15" s="123" t="str">
        <v>عطر جيفنشي باي للرجال -100 مل - أو دي تواليت</v>
      </c>
      <c r="AO15" s="123" t="str">
        <v>الجمال والصحة</v>
      </c>
      <c r="AP15" s="123" t="str">
        <v>العطور</v>
      </c>
      <c r="AQ15" s="123" t="str">
        <v>Eau De Toilette</v>
      </c>
      <c r="AR15" s="123" t="str">
        <v>Yes</v>
      </c>
      <c r="AS15" s="123">
        <v>160</v>
      </c>
      <c r="AT15" s="123" t="str">
        <v>290.00</v>
      </c>
      <c r="AU15" s="123" t="str">
        <v>-</v>
      </c>
      <c r="AV15" s="122">
        <v>2</v>
      </c>
      <c r="AW15" s="123">
        <v>24</v>
      </c>
      <c r="AX15" s="123">
        <v>16</v>
      </c>
      <c r="AY15" s="123">
        <v>8</v>
      </c>
    </row>
    <row r="16" spans="1:51" x14ac:dyDescent="0.25">
      <c r="A16" s="134">
        <v>46243</v>
      </c>
      <c r="B16" s="128" t="s">
        <v>1146</v>
      </c>
      <c r="C16" s="127">
        <v>34</v>
      </c>
      <c r="D16" s="128" t="s">
        <v>982</v>
      </c>
      <c r="E16" s="128" t="s">
        <v>1147</v>
      </c>
      <c r="F16" s="128" t="s">
        <v>1148</v>
      </c>
      <c r="G16" s="127">
        <v>1030102362</v>
      </c>
      <c r="H16" s="128" t="s">
        <v>1149</v>
      </c>
      <c r="I16" s="128" t="s">
        <v>1150</v>
      </c>
      <c r="J16" s="128" t="s">
        <v>988</v>
      </c>
      <c r="K16" s="128" t="s">
        <v>989</v>
      </c>
      <c r="L16" s="128" t="s">
        <v>990</v>
      </c>
      <c r="M16" s="135">
        <v>279.89999999999998</v>
      </c>
      <c r="N16" s="135">
        <v>279.89999999999998</v>
      </c>
      <c r="O16" s="135">
        <v>279.89999999999998</v>
      </c>
      <c r="P16" s="128">
        <v>1</v>
      </c>
      <c r="Q16" s="128" t="s">
        <v>1000</v>
      </c>
      <c r="R16" s="135">
        <v>0</v>
      </c>
      <c r="S16" s="135">
        <v>41.98</v>
      </c>
      <c r="T16" s="135">
        <v>237.91</v>
      </c>
      <c r="U16" s="128" t="s">
        <v>992</v>
      </c>
      <c r="V16" s="128" t="s">
        <v>993</v>
      </c>
      <c r="W16" s="135">
        <v>15</v>
      </c>
      <c r="X16" s="128" t="s">
        <v>86</v>
      </c>
      <c r="Y16" s="135">
        <v>0</v>
      </c>
      <c r="Z16" s="135">
        <v>519.79999999999995</v>
      </c>
      <c r="AA16" s="128" t="s">
        <v>69</v>
      </c>
      <c r="AB16" s="121">
        <f t="shared" si="0"/>
        <v>27.99</v>
      </c>
      <c r="AC16" s="132">
        <f t="shared" si="1"/>
        <v>0.1</v>
      </c>
      <c r="AD16" s="121">
        <f t="shared" si="2"/>
        <v>251.90999999999997</v>
      </c>
      <c r="AE16" s="121" t="b">
        <f t="shared" si="3"/>
        <v>1</v>
      </c>
      <c r="AF16" s="122" t="str" cm="1">
        <f t="array" ref="AF16:AY16">_xlfn.XLOOKUP(G16,'[2]Discount RM '!U:U,'[2]Discount RM '!A:T, "NOTMATCHED",0)</f>
        <v>16 May, 2026</v>
      </c>
      <c r="AG16" s="123" t="str">
        <v>11:42:23 AM</v>
      </c>
      <c r="AH16" s="122">
        <v>215914</v>
      </c>
      <c r="AI16" s="123" t="str">
        <v>SG207316811V0636E</v>
      </c>
      <c r="AJ16" s="123">
        <v>1030102362</v>
      </c>
      <c r="AK16" s="123" t="str">
        <v>SG207316811V0636E</v>
      </c>
      <c r="AL16" s="124">
        <v>8057971180400</v>
      </c>
      <c r="AM16" s="123" t="str">
        <v>Dolce &amp; Gabbana</v>
      </c>
      <c r="AN16" s="123" t="str">
        <v>عطر دولسي جابانا باور فيمي للنساء - 100 مل - أو دي بارفيوم</v>
      </c>
      <c r="AO16" s="123" t="str">
        <v>الجمال والصحة</v>
      </c>
      <c r="AP16" s="123" t="str">
        <v>العطور</v>
      </c>
      <c r="AQ16" s="123" t="str">
        <v>Eau De Parfum</v>
      </c>
      <c r="AR16" s="123" t="str">
        <v>Yes</v>
      </c>
      <c r="AS16" s="123">
        <v>265</v>
      </c>
      <c r="AT16" s="123" t="str">
        <v>491.00</v>
      </c>
      <c r="AU16" s="123" t="str">
        <v>-</v>
      </c>
      <c r="AV16" s="122">
        <v>2</v>
      </c>
      <c r="AW16" s="123">
        <v>39.75</v>
      </c>
      <c r="AX16" s="123">
        <v>26.5</v>
      </c>
      <c r="AY16" s="123">
        <v>13.25</v>
      </c>
    </row>
    <row r="17" spans="1:51" x14ac:dyDescent="0.25">
      <c r="A17" s="125">
        <v>46243</v>
      </c>
      <c r="B17" s="126" t="s">
        <v>1158</v>
      </c>
      <c r="C17" s="127">
        <v>34</v>
      </c>
      <c r="D17" s="128" t="s">
        <v>982</v>
      </c>
      <c r="E17" s="126" t="s">
        <v>1159</v>
      </c>
      <c r="F17" s="126" t="s">
        <v>1162</v>
      </c>
      <c r="G17" s="136">
        <v>1030105267</v>
      </c>
      <c r="H17" s="126" t="s">
        <v>1134</v>
      </c>
      <c r="I17" s="126" t="s">
        <v>1163</v>
      </c>
      <c r="J17" s="126" t="s">
        <v>988</v>
      </c>
      <c r="K17" s="126" t="s">
        <v>989</v>
      </c>
      <c r="L17" s="126" t="s">
        <v>990</v>
      </c>
      <c r="M17" s="137">
        <v>114.9</v>
      </c>
      <c r="N17" s="137">
        <v>114.9</v>
      </c>
      <c r="O17" s="137">
        <v>114.9</v>
      </c>
      <c r="P17" s="126">
        <v>1</v>
      </c>
      <c r="Q17" s="126" t="s">
        <v>1000</v>
      </c>
      <c r="R17" s="137">
        <v>0</v>
      </c>
      <c r="S17" s="137">
        <v>17.23</v>
      </c>
      <c r="T17" s="137">
        <v>97.67</v>
      </c>
      <c r="U17" s="126" t="s">
        <v>73</v>
      </c>
      <c r="V17" s="126" t="s">
        <v>73</v>
      </c>
      <c r="W17" s="126" t="s">
        <v>73</v>
      </c>
      <c r="X17" s="126" t="s">
        <v>92</v>
      </c>
      <c r="Y17" s="137">
        <v>467.6</v>
      </c>
      <c r="Z17" s="137">
        <v>0</v>
      </c>
      <c r="AA17" s="128" t="s">
        <v>69</v>
      </c>
      <c r="AB17" s="121">
        <f t="shared" si="0"/>
        <v>11.490000000000002</v>
      </c>
      <c r="AC17" s="132">
        <f t="shared" si="1"/>
        <v>0.1</v>
      </c>
      <c r="AD17" s="121">
        <f t="shared" si="2"/>
        <v>103.41</v>
      </c>
      <c r="AE17" s="121" t="b">
        <f t="shared" si="3"/>
        <v>1</v>
      </c>
      <c r="AF17" s="122" t="str" cm="1">
        <f t="array" ref="AF17:AY17">_xlfn.XLOOKUP(G17,'[2]Discount RM '!U:U,'[2]Discount RM '!A:T, "NOTMATCHED",0)</f>
        <v>16 May, 2026</v>
      </c>
      <c r="AG17" s="123" t="str">
        <v>11:42:22 AM</v>
      </c>
      <c r="AH17" s="122">
        <v>215747</v>
      </c>
      <c r="AI17" s="123" t="str">
        <v>SG207316811KD4925</v>
      </c>
      <c r="AJ17" s="123">
        <v>1030105267</v>
      </c>
      <c r="AK17" s="123" t="str">
        <v>SG207316811KD4925</v>
      </c>
      <c r="AL17" s="124">
        <v>8056860212369</v>
      </c>
      <c r="AM17" s="123" t="str">
        <v>Roberto Cavalli</v>
      </c>
      <c r="AN17" s="123" t="str">
        <v>عطر روبورتو كفالي نيرو أسولوتو للنساء - 75 مل - أو دي بارفيوم</v>
      </c>
      <c r="AO17" s="123" t="str">
        <v>الجمال والصحة</v>
      </c>
      <c r="AP17" s="123" t="str">
        <v>العطور</v>
      </c>
      <c r="AQ17" s="123" t="str">
        <v>Eau De Parfum</v>
      </c>
      <c r="AR17" s="123" t="str">
        <v>Yes</v>
      </c>
      <c r="AS17" s="123">
        <v>113</v>
      </c>
      <c r="AT17" s="123" t="str">
        <v>250.00</v>
      </c>
      <c r="AU17" s="123" t="str">
        <v>-</v>
      </c>
      <c r="AV17" s="122">
        <v>2</v>
      </c>
      <c r="AW17" s="123">
        <v>16.95</v>
      </c>
      <c r="AX17" s="123">
        <v>11.3</v>
      </c>
      <c r="AY17" s="123">
        <v>5.6499999999999986</v>
      </c>
    </row>
    <row r="18" spans="1:51" ht="29.45" customHeight="1" x14ac:dyDescent="0.25">
      <c r="M18" s="130">
        <f>SUM(M2:M17)</f>
        <v>4641.0999999999995</v>
      </c>
      <c r="S18" s="130">
        <f>SUM(S2:S17)</f>
        <v>696.1400000000001</v>
      </c>
      <c r="AB18" s="121">
        <f>SUM(AB2:AB17)</f>
        <v>464.11</v>
      </c>
      <c r="AC18" s="132"/>
      <c r="AD18" s="138">
        <f>SUM(AD7:AD17)</f>
        <v>2810.7899999999995</v>
      </c>
      <c r="AE18" s="121"/>
      <c r="AW18" s="129">
        <f>SUM(AW2:AW17)</f>
        <v>622.65000000000009</v>
      </c>
      <c r="AX18" s="129">
        <f>SUM(AX2:AX17)</f>
        <v>415.09999999999997</v>
      </c>
      <c r="AY18" s="129">
        <f>SUM(AY2:AY17)</f>
        <v>207.54999999999995</v>
      </c>
    </row>
    <row r="19" spans="1:51" ht="29.45" customHeight="1" x14ac:dyDescent="0.25">
      <c r="M19" s="130"/>
      <c r="S19" s="130"/>
      <c r="AC19" s="132"/>
      <c r="AD19" s="138"/>
      <c r="AE19" s="121"/>
    </row>
    <row r="20" spans="1:51" x14ac:dyDescent="0.25">
      <c r="A20" s="125">
        <v>46226</v>
      </c>
      <c r="B20" s="126" t="s">
        <v>1279</v>
      </c>
      <c r="C20" s="127">
        <v>34</v>
      </c>
      <c r="D20" s="128" t="s">
        <v>982</v>
      </c>
      <c r="E20" s="128" t="s">
        <v>1012</v>
      </c>
      <c r="F20" s="126" t="s">
        <v>1013</v>
      </c>
      <c r="G20" s="127">
        <v>1030104308</v>
      </c>
      <c r="H20" s="129" t="s">
        <v>1009</v>
      </c>
      <c r="I20" s="129" t="s">
        <v>1280</v>
      </c>
      <c r="J20" s="129" t="s">
        <v>988</v>
      </c>
      <c r="K20" s="129" t="s">
        <v>989</v>
      </c>
      <c r="L20" s="129" t="s">
        <v>990</v>
      </c>
      <c r="M20" s="130">
        <v>222</v>
      </c>
      <c r="N20" s="130">
        <v>0</v>
      </c>
      <c r="O20" s="130">
        <v>222</v>
      </c>
      <c r="P20" s="129">
        <v>1</v>
      </c>
      <c r="Q20" s="129" t="s">
        <v>1000</v>
      </c>
      <c r="R20" s="130">
        <v>0</v>
      </c>
      <c r="S20" s="130">
        <v>33.299999999999997</v>
      </c>
      <c r="T20" s="130">
        <v>188.7</v>
      </c>
      <c r="U20" s="131" t="s">
        <v>992</v>
      </c>
      <c r="V20" s="131" t="s">
        <v>993</v>
      </c>
      <c r="W20" s="121">
        <v>15</v>
      </c>
      <c r="X20" s="131" t="s">
        <v>79</v>
      </c>
      <c r="Y20" s="130">
        <v>0</v>
      </c>
      <c r="Z20" s="130">
        <v>222</v>
      </c>
      <c r="AA20" s="139" t="s">
        <v>994</v>
      </c>
      <c r="AB20" s="139">
        <v>0</v>
      </c>
      <c r="AC20" s="140">
        <f>+AB20/M20</f>
        <v>0</v>
      </c>
      <c r="AD20" s="139">
        <v>0</v>
      </c>
      <c r="AE20" s="121" t="b">
        <f>F20=AI20</f>
        <v>1</v>
      </c>
      <c r="AF20" s="122" t="str" cm="1">
        <f t="array" ref="AF20:AY20">_xlfn.XLOOKUP(G20,'[2]Discount RM '!U:U,'[2]Discount RM '!A:T, "NOTMATCHED",0)</f>
        <v>16 May, 2026</v>
      </c>
      <c r="AG20" s="123" t="str">
        <v>11:42:23 AM</v>
      </c>
      <c r="AH20" s="122">
        <v>215984</v>
      </c>
      <c r="AI20" s="123" t="str">
        <v>SG207316811Z0ABA7</v>
      </c>
      <c r="AJ20" s="123">
        <v>1030104308</v>
      </c>
      <c r="AK20" s="123" t="str">
        <v>SG207316811Z0ABA7</v>
      </c>
      <c r="AL20" s="124">
        <v>3423478840652</v>
      </c>
      <c r="AM20" s="123" t="str">
        <v>Narciso Rodriguez</v>
      </c>
      <c r="AN20" s="123" t="str">
        <v>عطر نرسيسو بودر للنساء - 90 مل - أو دي بارفيوم</v>
      </c>
      <c r="AO20" s="123" t="str">
        <v>الجمال والصحة</v>
      </c>
      <c r="AP20" s="123" t="str">
        <v>العطور</v>
      </c>
      <c r="AQ20" s="123" t="str">
        <v>Eau De Parfum</v>
      </c>
      <c r="AR20" s="123" t="str">
        <v>Yes</v>
      </c>
      <c r="AS20" s="123">
        <v>222</v>
      </c>
      <c r="AT20" s="129" t="str">
        <v>480.00</v>
      </c>
      <c r="AU20" s="123" t="str">
        <v>-</v>
      </c>
      <c r="AV20" s="123">
        <v>2</v>
      </c>
      <c r="AW20" s="123">
        <v>33.299999999999997</v>
      </c>
      <c r="AX20" s="123">
        <v>22.200000000000003</v>
      </c>
      <c r="AY20" s="123">
        <v>11.099999999999994</v>
      </c>
    </row>
    <row r="50" spans="6:7" x14ac:dyDescent="0.25">
      <c r="F50" s="141" t="s">
        <v>1029</v>
      </c>
      <c r="G50" s="142">
        <v>1</v>
      </c>
    </row>
    <row r="51" spans="6:7" x14ac:dyDescent="0.25">
      <c r="F51" s="143" t="s">
        <v>1122</v>
      </c>
      <c r="G51" s="144">
        <v>1</v>
      </c>
    </row>
    <row r="52" spans="6:7" x14ac:dyDescent="0.25">
      <c r="F52" s="145" t="s">
        <v>1056</v>
      </c>
      <c r="G52" s="146">
        <v>2</v>
      </c>
    </row>
    <row r="53" spans="6:7" x14ac:dyDescent="0.25">
      <c r="F53" s="145" t="s">
        <v>1009</v>
      </c>
      <c r="G53" s="146">
        <v>1</v>
      </c>
    </row>
    <row r="54" spans="6:7" x14ac:dyDescent="0.25">
      <c r="F54" s="143" t="s">
        <v>998</v>
      </c>
      <c r="G54" s="144">
        <v>2</v>
      </c>
    </row>
    <row r="55" spans="6:7" x14ac:dyDescent="0.25">
      <c r="F55" s="143" t="s">
        <v>1029</v>
      </c>
      <c r="G55" s="144">
        <v>1</v>
      </c>
    </row>
    <row r="56" spans="6:7" x14ac:dyDescent="0.25">
      <c r="F56" s="143" t="s">
        <v>1009</v>
      </c>
      <c r="G56" s="144">
        <v>1</v>
      </c>
    </row>
    <row r="57" spans="6:7" x14ac:dyDescent="0.25">
      <c r="F57" s="143" t="s">
        <v>1056</v>
      </c>
      <c r="G57" s="144">
        <v>2</v>
      </c>
    </row>
    <row r="58" spans="6:7" x14ac:dyDescent="0.25">
      <c r="F58" s="143" t="s">
        <v>1128</v>
      </c>
      <c r="G58" s="144">
        <v>1</v>
      </c>
    </row>
    <row r="59" spans="6:7" x14ac:dyDescent="0.25">
      <c r="F59" s="143" t="s">
        <v>1004</v>
      </c>
      <c r="G59" s="144">
        <v>1</v>
      </c>
    </row>
    <row r="60" spans="6:7" x14ac:dyDescent="0.25">
      <c r="F60" s="143" t="s">
        <v>1144</v>
      </c>
      <c r="G60" s="144">
        <v>1</v>
      </c>
    </row>
    <row r="61" spans="6:7" x14ac:dyDescent="0.25">
      <c r="F61" s="143" t="s">
        <v>1095</v>
      </c>
      <c r="G61" s="144">
        <v>1</v>
      </c>
    </row>
    <row r="62" spans="6:7" x14ac:dyDescent="0.25">
      <c r="G62" s="131">
        <f>SUM(G50:G61)</f>
        <v>15</v>
      </c>
    </row>
  </sheetData>
  <autoFilter ref="A1:AY1" xr:uid="{00000000-0001-0000-0000-000000000000}">
    <sortState xmlns:xlrd2="http://schemas.microsoft.com/office/spreadsheetml/2017/richdata2" ref="A2:AY18">
      <sortCondition ref="E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6CCB-1384-413B-981E-9A626D1AFB60}">
  <dimension ref="A1:X101"/>
  <sheetViews>
    <sheetView zoomScale="85" zoomScaleNormal="85" workbookViewId="0">
      <selection activeCell="AW2" sqref="AW2:AW17"/>
    </sheetView>
  </sheetViews>
  <sheetFormatPr defaultRowHeight="15" x14ac:dyDescent="0.25"/>
  <cols>
    <col min="1" max="1" width="11.85546875" style="129" bestFit="1" customWidth="1"/>
    <col min="2" max="2" width="11.28515625" style="129" bestFit="1" customWidth="1"/>
    <col min="3" max="3" width="19" style="129" customWidth="1"/>
    <col min="4" max="4" width="20" style="129" bestFit="1" customWidth="1"/>
    <col min="5" max="5" width="19.85546875" style="129" customWidth="1"/>
    <col min="6" max="6" width="20" style="129" bestFit="1" customWidth="1"/>
    <col min="7" max="7" width="25.85546875" style="129" customWidth="1"/>
    <col min="8" max="8" width="16.85546875" style="129" bestFit="1" customWidth="1"/>
    <col min="9" max="9" width="55.5703125" style="129" bestFit="1" customWidth="1"/>
    <col min="10" max="10" width="11.140625" style="129" bestFit="1" customWidth="1"/>
    <col min="11" max="11" width="5.42578125" style="129" bestFit="1" customWidth="1"/>
    <col min="12" max="12" width="13.42578125" style="129" bestFit="1" customWidth="1"/>
    <col min="13" max="13" width="4.85546875" style="129" bestFit="1" customWidth="1"/>
    <col min="14" max="14" width="9.140625" style="129"/>
    <col min="15" max="15" width="10.42578125" style="129" customWidth="1"/>
    <col min="16" max="16" width="17.140625" style="129" bestFit="1" customWidth="1"/>
    <col min="17" max="17" width="8.28515625" style="129" bestFit="1" customWidth="1"/>
    <col min="18" max="18" width="31.5703125" style="129" bestFit="1" customWidth="1"/>
    <col min="19" max="19" width="38.42578125" style="129" bestFit="1" customWidth="1"/>
    <col min="20" max="20" width="9.42578125" style="129" bestFit="1" customWidth="1"/>
    <col min="21" max="21" width="13.42578125" style="152" bestFit="1" customWidth="1"/>
    <col min="22" max="23" width="9.140625" style="129"/>
    <col min="24" max="24" width="16.42578125" style="129" customWidth="1"/>
    <col min="25" max="16384" width="9.140625" style="129"/>
  </cols>
  <sheetData>
    <row r="1" spans="1:24" x14ac:dyDescent="0.25">
      <c r="A1" s="147" t="s">
        <v>1243</v>
      </c>
      <c r="B1" s="147" t="s">
        <v>944</v>
      </c>
      <c r="C1" s="147" t="s">
        <v>1244</v>
      </c>
      <c r="D1" s="147" t="s">
        <v>1245</v>
      </c>
      <c r="E1" s="147" t="s">
        <v>1246</v>
      </c>
      <c r="F1" s="147" t="s">
        <v>1247</v>
      </c>
      <c r="G1" s="147" t="s">
        <v>1248</v>
      </c>
      <c r="H1" s="147" t="s">
        <v>1249</v>
      </c>
      <c r="I1" s="147" t="s">
        <v>1250</v>
      </c>
      <c r="J1" s="147" t="s">
        <v>1251</v>
      </c>
      <c r="K1" s="147" t="s">
        <v>1252</v>
      </c>
      <c r="L1" s="147" t="s">
        <v>1253</v>
      </c>
      <c r="M1" s="147" t="s">
        <v>1254</v>
      </c>
      <c r="N1" s="147" t="s">
        <v>1255</v>
      </c>
      <c r="O1" s="147" t="s">
        <v>1256</v>
      </c>
      <c r="P1" s="147" t="s">
        <v>1257</v>
      </c>
      <c r="Q1" s="147" t="s">
        <v>1258</v>
      </c>
      <c r="R1" s="148" t="s">
        <v>1259</v>
      </c>
      <c r="S1" s="148" t="s">
        <v>1260</v>
      </c>
      <c r="T1" s="148" t="s">
        <v>1261</v>
      </c>
      <c r="U1" s="149" t="s">
        <v>1246</v>
      </c>
      <c r="X1" s="127"/>
    </row>
    <row r="2" spans="1:24" x14ac:dyDescent="0.25">
      <c r="A2" s="129" t="s">
        <v>1281</v>
      </c>
      <c r="B2" s="129" t="s">
        <v>1282</v>
      </c>
      <c r="C2" s="129">
        <v>214865</v>
      </c>
      <c r="D2" s="129" t="s">
        <v>1283</v>
      </c>
      <c r="E2" s="150">
        <v>1030104572</v>
      </c>
      <c r="F2" s="129" t="s">
        <v>1283</v>
      </c>
      <c r="G2" s="129">
        <v>4011700917020</v>
      </c>
      <c r="H2" s="129" t="s">
        <v>1284</v>
      </c>
      <c r="I2" s="129" t="s">
        <v>1285</v>
      </c>
      <c r="J2" s="129" t="s">
        <v>1286</v>
      </c>
      <c r="K2" s="129" t="s">
        <v>1287</v>
      </c>
      <c r="L2" s="129" t="s">
        <v>1039</v>
      </c>
      <c r="M2" s="129" t="s">
        <v>1288</v>
      </c>
      <c r="N2" s="129">
        <v>110</v>
      </c>
      <c r="O2" s="129" t="s">
        <v>1289</v>
      </c>
      <c r="P2" s="129" t="s">
        <v>73</v>
      </c>
      <c r="Q2" s="129">
        <v>3</v>
      </c>
      <c r="R2" s="129">
        <f>N2*15%</f>
        <v>16.5</v>
      </c>
      <c r="S2" s="129">
        <f>N2*10%</f>
        <v>11</v>
      </c>
      <c r="T2" s="129">
        <f>R2-S2</f>
        <v>5.5</v>
      </c>
      <c r="U2" s="151">
        <v>1030104572</v>
      </c>
      <c r="X2" s="127"/>
    </row>
    <row r="3" spans="1:24" x14ac:dyDescent="0.25">
      <c r="A3" s="129" t="s">
        <v>1290</v>
      </c>
      <c r="B3" s="129" t="s">
        <v>1291</v>
      </c>
      <c r="C3" s="129">
        <v>215729</v>
      </c>
      <c r="D3" s="129" t="s">
        <v>1292</v>
      </c>
      <c r="E3" s="150">
        <v>1030110619</v>
      </c>
      <c r="F3" s="129" t="s">
        <v>1292</v>
      </c>
      <c r="G3" s="129">
        <v>3760260454346</v>
      </c>
      <c r="H3" s="129" t="s">
        <v>1293</v>
      </c>
      <c r="I3" s="129" t="s">
        <v>1294</v>
      </c>
      <c r="J3" s="129" t="s">
        <v>1286</v>
      </c>
      <c r="K3" s="129" t="s">
        <v>1287</v>
      </c>
      <c r="L3" s="129" t="s">
        <v>990</v>
      </c>
      <c r="M3" s="129" t="s">
        <v>1288</v>
      </c>
      <c r="N3" s="129">
        <v>199</v>
      </c>
      <c r="O3" s="129" t="s">
        <v>1295</v>
      </c>
      <c r="P3" s="129" t="s">
        <v>73</v>
      </c>
      <c r="Q3" s="129">
        <v>2</v>
      </c>
      <c r="R3" s="129">
        <f t="shared" ref="R3:R66" si="0">N3*15%</f>
        <v>29.849999999999998</v>
      </c>
      <c r="S3" s="129">
        <f t="shared" ref="S3:S66" si="1">N3*10%</f>
        <v>19.900000000000002</v>
      </c>
      <c r="T3" s="129">
        <f t="shared" ref="T3:T66" si="2">R3-S3</f>
        <v>9.9499999999999957</v>
      </c>
      <c r="U3" s="151">
        <v>1030110619</v>
      </c>
      <c r="X3" s="127"/>
    </row>
    <row r="4" spans="1:24" x14ac:dyDescent="0.25">
      <c r="A4" s="129" t="s">
        <v>1290</v>
      </c>
      <c r="B4" s="129" t="s">
        <v>1291</v>
      </c>
      <c r="C4" s="129">
        <v>215824</v>
      </c>
      <c r="D4" s="129" t="s">
        <v>1296</v>
      </c>
      <c r="E4" s="150">
        <v>1030110665</v>
      </c>
      <c r="F4" s="129" t="s">
        <v>1296</v>
      </c>
      <c r="G4" s="129">
        <v>3349668630264</v>
      </c>
      <c r="H4" s="129" t="s">
        <v>1297</v>
      </c>
      <c r="I4" s="129" t="s">
        <v>1298</v>
      </c>
      <c r="J4" s="129" t="s">
        <v>1286</v>
      </c>
      <c r="K4" s="129" t="s">
        <v>1287</v>
      </c>
      <c r="L4" s="129" t="s">
        <v>990</v>
      </c>
      <c r="M4" s="129" t="s">
        <v>1288</v>
      </c>
      <c r="N4" s="129">
        <v>375</v>
      </c>
      <c r="O4" s="129" t="s">
        <v>1299</v>
      </c>
      <c r="P4" s="129" t="s">
        <v>73</v>
      </c>
      <c r="Q4" s="129">
        <v>2</v>
      </c>
      <c r="R4" s="129">
        <f t="shared" si="0"/>
        <v>56.25</v>
      </c>
      <c r="S4" s="129">
        <f t="shared" si="1"/>
        <v>37.5</v>
      </c>
      <c r="T4" s="129">
        <f t="shared" si="2"/>
        <v>18.75</v>
      </c>
      <c r="U4" s="151">
        <v>1030110665</v>
      </c>
      <c r="X4" s="127"/>
    </row>
    <row r="5" spans="1:24" x14ac:dyDescent="0.25">
      <c r="A5" s="129" t="s">
        <v>1290</v>
      </c>
      <c r="B5" s="129" t="s">
        <v>1291</v>
      </c>
      <c r="C5" s="129">
        <v>215822</v>
      </c>
      <c r="D5" s="129" t="s">
        <v>1300</v>
      </c>
      <c r="E5" s="150">
        <v>1030110077</v>
      </c>
      <c r="F5" s="129" t="s">
        <v>1300</v>
      </c>
      <c r="G5" s="129">
        <v>3614274150926</v>
      </c>
      <c r="H5" s="129" t="s">
        <v>1004</v>
      </c>
      <c r="I5" s="129" t="s">
        <v>1301</v>
      </c>
      <c r="J5" s="129" t="s">
        <v>1286</v>
      </c>
      <c r="K5" s="129" t="s">
        <v>1287</v>
      </c>
      <c r="L5" s="129" t="s">
        <v>990</v>
      </c>
      <c r="M5" s="129" t="s">
        <v>1288</v>
      </c>
      <c r="N5" s="129">
        <v>399</v>
      </c>
      <c r="O5" s="129" t="s">
        <v>1302</v>
      </c>
      <c r="P5" s="129" t="s">
        <v>73</v>
      </c>
      <c r="Q5" s="129">
        <v>2</v>
      </c>
      <c r="R5" s="129">
        <f t="shared" si="0"/>
        <v>59.849999999999994</v>
      </c>
      <c r="S5" s="129">
        <f t="shared" si="1"/>
        <v>39.900000000000006</v>
      </c>
      <c r="T5" s="129">
        <f t="shared" si="2"/>
        <v>19.949999999999989</v>
      </c>
      <c r="U5" s="151">
        <v>1030110077</v>
      </c>
      <c r="X5" s="127"/>
    </row>
    <row r="6" spans="1:24" x14ac:dyDescent="0.25">
      <c r="A6" s="129" t="s">
        <v>1281</v>
      </c>
      <c r="B6" s="129" t="s">
        <v>1282</v>
      </c>
      <c r="C6" s="129">
        <v>215004</v>
      </c>
      <c r="D6" s="129" t="s">
        <v>1303</v>
      </c>
      <c r="E6" s="150">
        <v>1030105362</v>
      </c>
      <c r="F6" s="129" t="s">
        <v>1303</v>
      </c>
      <c r="G6" s="129">
        <v>3614228220897</v>
      </c>
      <c r="H6" s="129" t="s">
        <v>1095</v>
      </c>
      <c r="I6" s="129" t="s">
        <v>1304</v>
      </c>
      <c r="J6" s="129" t="s">
        <v>1286</v>
      </c>
      <c r="K6" s="129" t="s">
        <v>1287</v>
      </c>
      <c r="L6" s="129" t="s">
        <v>990</v>
      </c>
      <c r="M6" s="129" t="s">
        <v>1288</v>
      </c>
      <c r="N6" s="129">
        <v>189</v>
      </c>
      <c r="O6" s="129" t="s">
        <v>1305</v>
      </c>
      <c r="P6" s="129" t="s">
        <v>73</v>
      </c>
      <c r="Q6" s="129">
        <v>2</v>
      </c>
      <c r="R6" s="129">
        <f t="shared" si="0"/>
        <v>28.349999999999998</v>
      </c>
      <c r="S6" s="129">
        <f t="shared" si="1"/>
        <v>18.900000000000002</v>
      </c>
      <c r="T6" s="129">
        <f t="shared" si="2"/>
        <v>9.4499999999999957</v>
      </c>
      <c r="U6" s="151">
        <v>1030105362</v>
      </c>
      <c r="X6" s="127"/>
    </row>
    <row r="7" spans="1:24" x14ac:dyDescent="0.25">
      <c r="A7" s="129" t="s">
        <v>1281</v>
      </c>
      <c r="B7" s="129" t="s">
        <v>1282</v>
      </c>
      <c r="C7" s="129">
        <v>214879</v>
      </c>
      <c r="D7" s="129" t="s">
        <v>1306</v>
      </c>
      <c r="E7" s="150">
        <v>1030109827</v>
      </c>
      <c r="F7" s="129" t="s">
        <v>1306</v>
      </c>
      <c r="G7" s="129">
        <v>8411061923245</v>
      </c>
      <c r="H7" s="129" t="s">
        <v>1066</v>
      </c>
      <c r="I7" s="129" t="s">
        <v>1307</v>
      </c>
      <c r="J7" s="129" t="s">
        <v>1286</v>
      </c>
      <c r="K7" s="129" t="s">
        <v>1287</v>
      </c>
      <c r="L7" s="129" t="s">
        <v>1039</v>
      </c>
      <c r="M7" s="129" t="s">
        <v>1288</v>
      </c>
      <c r="N7" s="129">
        <v>299</v>
      </c>
      <c r="O7" s="129" t="s">
        <v>1308</v>
      </c>
      <c r="P7" s="129" t="s">
        <v>73</v>
      </c>
      <c r="Q7" s="129">
        <v>2</v>
      </c>
      <c r="R7" s="129">
        <f t="shared" si="0"/>
        <v>44.85</v>
      </c>
      <c r="S7" s="129">
        <f t="shared" si="1"/>
        <v>29.900000000000002</v>
      </c>
      <c r="T7" s="129">
        <f t="shared" si="2"/>
        <v>14.95</v>
      </c>
      <c r="U7" s="151">
        <v>1030109827</v>
      </c>
      <c r="X7" s="127"/>
    </row>
    <row r="8" spans="1:24" x14ac:dyDescent="0.25">
      <c r="A8" s="129" t="s">
        <v>1281</v>
      </c>
      <c r="B8" s="129" t="s">
        <v>1282</v>
      </c>
      <c r="C8" s="129">
        <v>214922</v>
      </c>
      <c r="D8" s="129" t="s">
        <v>1309</v>
      </c>
      <c r="E8" s="150">
        <v>1030110728</v>
      </c>
      <c r="F8" s="129" t="s">
        <v>1309</v>
      </c>
      <c r="G8" s="129">
        <v>3349668630349</v>
      </c>
      <c r="H8" s="129" t="s">
        <v>1297</v>
      </c>
      <c r="I8" s="129" t="s">
        <v>1310</v>
      </c>
      <c r="J8" s="129" t="s">
        <v>1286</v>
      </c>
      <c r="K8" s="129" t="s">
        <v>1287</v>
      </c>
      <c r="L8" s="129" t="s">
        <v>990</v>
      </c>
      <c r="M8" s="129" t="s">
        <v>1288</v>
      </c>
      <c r="N8" s="129">
        <v>339</v>
      </c>
      <c r="O8" s="129" t="s">
        <v>1311</v>
      </c>
      <c r="P8" s="129" t="s">
        <v>73</v>
      </c>
      <c r="Q8" s="129">
        <v>2</v>
      </c>
      <c r="R8" s="129">
        <f t="shared" si="0"/>
        <v>50.85</v>
      </c>
      <c r="S8" s="129">
        <f t="shared" si="1"/>
        <v>33.9</v>
      </c>
      <c r="T8" s="129">
        <f t="shared" si="2"/>
        <v>16.950000000000003</v>
      </c>
      <c r="U8" s="151">
        <v>1030110728</v>
      </c>
      <c r="X8" s="127"/>
    </row>
    <row r="9" spans="1:24" x14ac:dyDescent="0.25">
      <c r="A9" s="129" t="s">
        <v>1281</v>
      </c>
      <c r="B9" s="129" t="s">
        <v>1282</v>
      </c>
      <c r="C9" s="129">
        <v>215020</v>
      </c>
      <c r="D9" s="129" t="s">
        <v>1032</v>
      </c>
      <c r="E9" s="150">
        <v>1030110426</v>
      </c>
      <c r="F9" s="129" t="s">
        <v>1032</v>
      </c>
      <c r="G9" s="129">
        <v>3614273852814</v>
      </c>
      <c r="H9" s="129" t="s">
        <v>1029</v>
      </c>
      <c r="I9" s="129" t="s">
        <v>1312</v>
      </c>
      <c r="J9" s="129" t="s">
        <v>1286</v>
      </c>
      <c r="K9" s="129" t="s">
        <v>1287</v>
      </c>
      <c r="L9" s="129" t="s">
        <v>990</v>
      </c>
      <c r="M9" s="129" t="s">
        <v>1288</v>
      </c>
      <c r="N9" s="129">
        <v>399</v>
      </c>
      <c r="O9" s="129" t="s">
        <v>1313</v>
      </c>
      <c r="P9" s="129" t="s">
        <v>73</v>
      </c>
      <c r="Q9" s="129">
        <v>2</v>
      </c>
      <c r="R9" s="129">
        <f t="shared" si="0"/>
        <v>59.849999999999994</v>
      </c>
      <c r="S9" s="129">
        <f t="shared" si="1"/>
        <v>39.900000000000006</v>
      </c>
      <c r="T9" s="129">
        <f t="shared" si="2"/>
        <v>19.949999999999989</v>
      </c>
      <c r="U9" s="151">
        <v>1030110426</v>
      </c>
      <c r="X9" s="127"/>
    </row>
    <row r="10" spans="1:24" x14ac:dyDescent="0.25">
      <c r="A10" s="129" t="s">
        <v>1290</v>
      </c>
      <c r="B10" s="129" t="s">
        <v>1291</v>
      </c>
      <c r="C10" s="129">
        <v>215645</v>
      </c>
      <c r="D10" s="129" t="s">
        <v>1314</v>
      </c>
      <c r="E10" s="150">
        <v>1030106469</v>
      </c>
      <c r="F10" s="129" t="s">
        <v>1314</v>
      </c>
      <c r="G10" s="129">
        <v>737052785172</v>
      </c>
      <c r="H10" s="129" t="s">
        <v>1149</v>
      </c>
      <c r="I10" s="129" t="s">
        <v>1315</v>
      </c>
      <c r="J10" s="129" t="s">
        <v>1286</v>
      </c>
      <c r="K10" s="129" t="s">
        <v>1287</v>
      </c>
      <c r="L10" s="129" t="s">
        <v>990</v>
      </c>
      <c r="M10" s="129" t="s">
        <v>1288</v>
      </c>
      <c r="N10" s="129">
        <v>799</v>
      </c>
      <c r="O10" s="129" t="s">
        <v>1316</v>
      </c>
      <c r="P10" s="129" t="s">
        <v>73</v>
      </c>
      <c r="Q10" s="129">
        <v>2</v>
      </c>
      <c r="R10" s="129">
        <f t="shared" si="0"/>
        <v>119.85</v>
      </c>
      <c r="S10" s="129">
        <f t="shared" si="1"/>
        <v>79.900000000000006</v>
      </c>
      <c r="T10" s="129">
        <f t="shared" si="2"/>
        <v>39.949999999999989</v>
      </c>
      <c r="U10" s="151">
        <v>1030106469</v>
      </c>
      <c r="X10" s="127"/>
    </row>
    <row r="11" spans="1:24" x14ac:dyDescent="0.25">
      <c r="A11" s="129" t="s">
        <v>1281</v>
      </c>
      <c r="B11" s="129" t="s">
        <v>1282</v>
      </c>
      <c r="C11" s="129">
        <v>214940</v>
      </c>
      <c r="D11" s="129" t="s">
        <v>1317</v>
      </c>
      <c r="E11" s="150">
        <v>1030110513</v>
      </c>
      <c r="F11" s="129" t="s">
        <v>1317</v>
      </c>
      <c r="G11" s="129">
        <v>3616304175893</v>
      </c>
      <c r="H11" s="129" t="s">
        <v>1128</v>
      </c>
      <c r="I11" s="129" t="s">
        <v>1318</v>
      </c>
      <c r="J11" s="129" t="s">
        <v>1286</v>
      </c>
      <c r="K11" s="129" t="s">
        <v>1287</v>
      </c>
      <c r="L11" s="129" t="s">
        <v>1031</v>
      </c>
      <c r="M11" s="129" t="s">
        <v>1288</v>
      </c>
      <c r="N11" s="129">
        <v>419</v>
      </c>
      <c r="O11" s="129" t="s">
        <v>1319</v>
      </c>
      <c r="P11" s="129" t="s">
        <v>73</v>
      </c>
      <c r="Q11" s="129">
        <v>2</v>
      </c>
      <c r="R11" s="129">
        <f t="shared" si="0"/>
        <v>62.849999999999994</v>
      </c>
      <c r="S11" s="129">
        <f t="shared" si="1"/>
        <v>41.900000000000006</v>
      </c>
      <c r="T11" s="129">
        <f t="shared" si="2"/>
        <v>20.949999999999989</v>
      </c>
      <c r="U11" s="151">
        <v>1030110513</v>
      </c>
      <c r="X11" s="127"/>
    </row>
    <row r="12" spans="1:24" x14ac:dyDescent="0.25">
      <c r="A12" s="129" t="s">
        <v>1290</v>
      </c>
      <c r="B12" s="129" t="s">
        <v>1291</v>
      </c>
      <c r="C12" s="129">
        <v>215827</v>
      </c>
      <c r="D12" s="129" t="s">
        <v>1320</v>
      </c>
      <c r="E12" s="150">
        <v>1030110442</v>
      </c>
      <c r="F12" s="129" t="s">
        <v>1320</v>
      </c>
      <c r="G12" s="129">
        <v>8411061056752</v>
      </c>
      <c r="H12" s="129" t="s">
        <v>1066</v>
      </c>
      <c r="I12" s="129" t="s">
        <v>1321</v>
      </c>
      <c r="J12" s="129" t="s">
        <v>1286</v>
      </c>
      <c r="K12" s="129" t="s">
        <v>1287</v>
      </c>
      <c r="L12" s="129" t="s">
        <v>990</v>
      </c>
      <c r="M12" s="129" t="s">
        <v>1288</v>
      </c>
      <c r="N12" s="129">
        <v>429</v>
      </c>
      <c r="O12" s="129" t="s">
        <v>1322</v>
      </c>
      <c r="P12" s="129" t="s">
        <v>73</v>
      </c>
      <c r="Q12" s="129">
        <v>2</v>
      </c>
      <c r="R12" s="129">
        <f t="shared" si="0"/>
        <v>64.349999999999994</v>
      </c>
      <c r="S12" s="129">
        <f t="shared" si="1"/>
        <v>42.900000000000006</v>
      </c>
      <c r="T12" s="129">
        <f t="shared" si="2"/>
        <v>21.449999999999989</v>
      </c>
      <c r="U12" s="151">
        <v>1030110442</v>
      </c>
      <c r="X12" s="127"/>
    </row>
    <row r="13" spans="1:24" x14ac:dyDescent="0.25">
      <c r="A13" s="129" t="s">
        <v>1281</v>
      </c>
      <c r="B13" s="129" t="s">
        <v>1282</v>
      </c>
      <c r="C13" s="129">
        <v>214980</v>
      </c>
      <c r="D13" s="129" t="s">
        <v>1323</v>
      </c>
      <c r="E13" s="150">
        <v>1030100437</v>
      </c>
      <c r="F13" s="129" t="s">
        <v>1323</v>
      </c>
      <c r="G13" s="129">
        <v>3423470311365</v>
      </c>
      <c r="H13" s="129" t="s">
        <v>1324</v>
      </c>
      <c r="I13" s="129" t="s">
        <v>1325</v>
      </c>
      <c r="J13" s="129" t="s">
        <v>1286</v>
      </c>
      <c r="K13" s="129" t="s">
        <v>1287</v>
      </c>
      <c r="L13" s="129" t="s">
        <v>1039</v>
      </c>
      <c r="M13" s="129" t="s">
        <v>1288</v>
      </c>
      <c r="N13" s="129">
        <v>140</v>
      </c>
      <c r="O13" s="129" t="s">
        <v>1326</v>
      </c>
      <c r="P13" s="129" t="s">
        <v>73</v>
      </c>
      <c r="Q13" s="129">
        <v>2</v>
      </c>
      <c r="R13" s="129">
        <f t="shared" si="0"/>
        <v>21</v>
      </c>
      <c r="S13" s="129">
        <f t="shared" si="1"/>
        <v>14</v>
      </c>
      <c r="T13" s="129">
        <f t="shared" si="2"/>
        <v>7</v>
      </c>
      <c r="U13" s="151">
        <v>1030100437</v>
      </c>
      <c r="X13" s="127"/>
    </row>
    <row r="14" spans="1:24" x14ac:dyDescent="0.25">
      <c r="A14" s="129" t="s">
        <v>1281</v>
      </c>
      <c r="B14" s="129" t="s">
        <v>1327</v>
      </c>
      <c r="C14" s="129">
        <v>214788</v>
      </c>
      <c r="D14" s="129" t="s">
        <v>1121</v>
      </c>
      <c r="E14" s="150">
        <v>1030105520</v>
      </c>
      <c r="F14" s="129" t="s">
        <v>1121</v>
      </c>
      <c r="G14" s="129">
        <v>3614272732209</v>
      </c>
      <c r="H14" s="129" t="s">
        <v>1122</v>
      </c>
      <c r="I14" s="129" t="s">
        <v>1328</v>
      </c>
      <c r="J14" s="129" t="s">
        <v>1286</v>
      </c>
      <c r="K14" s="129" t="s">
        <v>1287</v>
      </c>
      <c r="L14" s="129" t="s">
        <v>1039</v>
      </c>
      <c r="M14" s="129" t="s">
        <v>1288</v>
      </c>
      <c r="N14" s="129">
        <v>249</v>
      </c>
      <c r="O14" s="129" t="s">
        <v>1308</v>
      </c>
      <c r="P14" s="129" t="s">
        <v>73</v>
      </c>
      <c r="Q14" s="129">
        <v>2</v>
      </c>
      <c r="R14" s="129">
        <f t="shared" si="0"/>
        <v>37.35</v>
      </c>
      <c r="S14" s="129">
        <f t="shared" si="1"/>
        <v>24.900000000000002</v>
      </c>
      <c r="T14" s="129">
        <f t="shared" si="2"/>
        <v>12.45</v>
      </c>
      <c r="U14" s="151">
        <v>1030105520</v>
      </c>
      <c r="X14" s="127"/>
    </row>
    <row r="15" spans="1:24" x14ac:dyDescent="0.25">
      <c r="A15" s="129" t="s">
        <v>1290</v>
      </c>
      <c r="B15" s="129" t="s">
        <v>1329</v>
      </c>
      <c r="C15" s="129">
        <v>215918</v>
      </c>
      <c r="D15" s="129" t="s">
        <v>1330</v>
      </c>
      <c r="E15" s="150">
        <v>1030103286</v>
      </c>
      <c r="F15" s="129" t="s">
        <v>1330</v>
      </c>
      <c r="G15" s="129">
        <v>3360374000059</v>
      </c>
      <c r="H15" s="129" t="s">
        <v>1331</v>
      </c>
      <c r="I15" s="129" t="s">
        <v>1332</v>
      </c>
      <c r="J15" s="129" t="s">
        <v>1286</v>
      </c>
      <c r="K15" s="129" t="s">
        <v>1287</v>
      </c>
      <c r="L15" s="129" t="s">
        <v>990</v>
      </c>
      <c r="M15" s="129" t="s">
        <v>1288</v>
      </c>
      <c r="N15" s="129">
        <v>319</v>
      </c>
      <c r="O15" s="129" t="s">
        <v>1333</v>
      </c>
      <c r="P15" s="129" t="s">
        <v>73</v>
      </c>
      <c r="Q15" s="129">
        <v>2</v>
      </c>
      <c r="R15" s="129">
        <f t="shared" si="0"/>
        <v>47.85</v>
      </c>
      <c r="S15" s="129">
        <f t="shared" si="1"/>
        <v>31.900000000000002</v>
      </c>
      <c r="T15" s="129">
        <f t="shared" si="2"/>
        <v>15.95</v>
      </c>
      <c r="U15" s="151">
        <v>1030103286</v>
      </c>
      <c r="X15" s="127"/>
    </row>
    <row r="16" spans="1:24" x14ac:dyDescent="0.25">
      <c r="A16" s="129" t="s">
        <v>1290</v>
      </c>
      <c r="B16" s="129" t="s">
        <v>1291</v>
      </c>
      <c r="C16" s="129">
        <v>215840</v>
      </c>
      <c r="D16" s="129" t="s">
        <v>1334</v>
      </c>
      <c r="E16" s="150">
        <v>1030101975</v>
      </c>
      <c r="F16" s="129" t="s">
        <v>1334</v>
      </c>
      <c r="G16" s="129">
        <v>3274872428768</v>
      </c>
      <c r="H16" s="129" t="s">
        <v>1144</v>
      </c>
      <c r="I16" s="129" t="s">
        <v>1335</v>
      </c>
      <c r="J16" s="129" t="s">
        <v>1286</v>
      </c>
      <c r="K16" s="129" t="s">
        <v>1287</v>
      </c>
      <c r="L16" s="129" t="s">
        <v>990</v>
      </c>
      <c r="M16" s="129" t="s">
        <v>1288</v>
      </c>
      <c r="N16" s="129">
        <v>269</v>
      </c>
      <c r="O16" s="129" t="s">
        <v>1336</v>
      </c>
      <c r="P16" s="129" t="s">
        <v>73</v>
      </c>
      <c r="Q16" s="129">
        <v>2</v>
      </c>
      <c r="R16" s="129">
        <f t="shared" si="0"/>
        <v>40.35</v>
      </c>
      <c r="S16" s="129">
        <f t="shared" si="1"/>
        <v>26.900000000000002</v>
      </c>
      <c r="T16" s="129">
        <f t="shared" si="2"/>
        <v>13.45</v>
      </c>
      <c r="U16" s="151">
        <v>1030101975</v>
      </c>
      <c r="X16" s="127"/>
    </row>
    <row r="17" spans="1:24" x14ac:dyDescent="0.25">
      <c r="A17" s="129" t="s">
        <v>1281</v>
      </c>
      <c r="B17" s="129" t="s">
        <v>1327</v>
      </c>
      <c r="C17" s="129">
        <v>214784</v>
      </c>
      <c r="D17" s="129" t="s">
        <v>1337</v>
      </c>
      <c r="E17" s="150">
        <v>1030110111</v>
      </c>
      <c r="F17" s="129" t="s">
        <v>1337</v>
      </c>
      <c r="G17" s="129">
        <v>8435415032315</v>
      </c>
      <c r="H17" s="129" t="s">
        <v>1338</v>
      </c>
      <c r="I17" s="129" t="s">
        <v>1339</v>
      </c>
      <c r="J17" s="129" t="s">
        <v>1286</v>
      </c>
      <c r="K17" s="129" t="s">
        <v>1287</v>
      </c>
      <c r="L17" s="129" t="s">
        <v>990</v>
      </c>
      <c r="M17" s="129" t="s">
        <v>1288</v>
      </c>
      <c r="N17" s="129">
        <v>379</v>
      </c>
      <c r="O17" s="129" t="s">
        <v>1340</v>
      </c>
      <c r="P17" s="129" t="s">
        <v>73</v>
      </c>
      <c r="Q17" s="129">
        <v>2</v>
      </c>
      <c r="R17" s="129">
        <f t="shared" si="0"/>
        <v>56.85</v>
      </c>
      <c r="S17" s="129">
        <f t="shared" si="1"/>
        <v>37.9</v>
      </c>
      <c r="T17" s="129">
        <f t="shared" si="2"/>
        <v>18.950000000000003</v>
      </c>
      <c r="U17" s="151">
        <v>1030110111</v>
      </c>
      <c r="X17" s="127"/>
    </row>
    <row r="18" spans="1:24" x14ac:dyDescent="0.25">
      <c r="A18" s="129" t="s">
        <v>1341</v>
      </c>
      <c r="B18" s="129" t="s">
        <v>1342</v>
      </c>
      <c r="C18" s="129">
        <v>219335</v>
      </c>
      <c r="D18" s="129" t="s">
        <v>1055</v>
      </c>
      <c r="E18" s="150">
        <v>1030110412</v>
      </c>
      <c r="F18" s="129" t="s">
        <v>1055</v>
      </c>
      <c r="G18" s="129">
        <v>7640177360656</v>
      </c>
      <c r="H18" s="129" t="s">
        <v>1056</v>
      </c>
      <c r="I18" s="129" t="s">
        <v>1343</v>
      </c>
      <c r="J18" s="129" t="s">
        <v>1286</v>
      </c>
      <c r="K18" s="129" t="s">
        <v>1287</v>
      </c>
      <c r="L18" s="129" t="s">
        <v>990</v>
      </c>
      <c r="M18" s="129" t="s">
        <v>1288</v>
      </c>
      <c r="N18" s="129">
        <v>199</v>
      </c>
      <c r="O18" s="129" t="s">
        <v>1344</v>
      </c>
      <c r="P18" s="129" t="s">
        <v>73</v>
      </c>
      <c r="Q18" s="129">
        <v>2</v>
      </c>
      <c r="R18" s="129">
        <f t="shared" si="0"/>
        <v>29.849999999999998</v>
      </c>
      <c r="S18" s="129">
        <f t="shared" si="1"/>
        <v>19.900000000000002</v>
      </c>
      <c r="T18" s="129">
        <f t="shared" si="2"/>
        <v>9.9499999999999957</v>
      </c>
      <c r="U18" s="151">
        <v>1030110412</v>
      </c>
      <c r="X18" s="127"/>
    </row>
    <row r="19" spans="1:24" x14ac:dyDescent="0.25">
      <c r="A19" s="129" t="s">
        <v>1290</v>
      </c>
      <c r="B19" s="129" t="s">
        <v>1329</v>
      </c>
      <c r="C19" s="129">
        <v>215931</v>
      </c>
      <c r="D19" s="129" t="s">
        <v>1210</v>
      </c>
      <c r="E19" s="150">
        <v>1030110203</v>
      </c>
      <c r="F19" s="129" t="s">
        <v>1210</v>
      </c>
      <c r="G19" s="129">
        <v>3274872428058</v>
      </c>
      <c r="H19" s="129" t="s">
        <v>1144</v>
      </c>
      <c r="I19" s="129" t="s">
        <v>1345</v>
      </c>
      <c r="J19" s="129" t="s">
        <v>1286</v>
      </c>
      <c r="K19" s="129" t="s">
        <v>1287</v>
      </c>
      <c r="L19" s="129" t="s">
        <v>990</v>
      </c>
      <c r="M19" s="129" t="s">
        <v>1288</v>
      </c>
      <c r="N19" s="129">
        <v>399</v>
      </c>
      <c r="O19" s="129" t="s">
        <v>1346</v>
      </c>
      <c r="P19" s="129" t="s">
        <v>73</v>
      </c>
      <c r="Q19" s="129">
        <v>2</v>
      </c>
      <c r="R19" s="129">
        <f t="shared" si="0"/>
        <v>59.849999999999994</v>
      </c>
      <c r="S19" s="129">
        <f t="shared" si="1"/>
        <v>39.900000000000006</v>
      </c>
      <c r="T19" s="129">
        <f t="shared" si="2"/>
        <v>19.949999999999989</v>
      </c>
      <c r="U19" s="151">
        <v>1030110203</v>
      </c>
      <c r="X19" s="127"/>
    </row>
    <row r="20" spans="1:24" x14ac:dyDescent="0.25">
      <c r="A20" s="129" t="s">
        <v>1290</v>
      </c>
      <c r="B20" s="129" t="s">
        <v>1291</v>
      </c>
      <c r="C20" s="129">
        <v>215811</v>
      </c>
      <c r="D20" s="129" t="s">
        <v>1347</v>
      </c>
      <c r="E20" s="150">
        <v>1030108758</v>
      </c>
      <c r="F20" s="129" t="s">
        <v>1347</v>
      </c>
      <c r="G20" s="129">
        <v>3346470131408</v>
      </c>
      <c r="H20" s="129" t="s">
        <v>998</v>
      </c>
      <c r="I20" s="129" t="s">
        <v>1348</v>
      </c>
      <c r="J20" s="129" t="s">
        <v>1286</v>
      </c>
      <c r="K20" s="129" t="s">
        <v>1287</v>
      </c>
      <c r="L20" s="129" t="s">
        <v>990</v>
      </c>
      <c r="M20" s="129" t="s">
        <v>1288</v>
      </c>
      <c r="N20" s="129">
        <v>355</v>
      </c>
      <c r="O20" s="129" t="s">
        <v>1322</v>
      </c>
      <c r="P20" s="129" t="s">
        <v>73</v>
      </c>
      <c r="Q20" s="129">
        <v>2</v>
      </c>
      <c r="R20" s="129">
        <f t="shared" si="0"/>
        <v>53.25</v>
      </c>
      <c r="S20" s="129">
        <f t="shared" si="1"/>
        <v>35.5</v>
      </c>
      <c r="T20" s="129">
        <f t="shared" si="2"/>
        <v>17.75</v>
      </c>
      <c r="U20" s="151">
        <v>1030108758</v>
      </c>
      <c r="X20" s="127"/>
    </row>
    <row r="21" spans="1:24" x14ac:dyDescent="0.25">
      <c r="A21" s="129" t="s">
        <v>1281</v>
      </c>
      <c r="B21" s="129" t="s">
        <v>1327</v>
      </c>
      <c r="C21" s="129">
        <v>214787</v>
      </c>
      <c r="D21" s="129" t="s">
        <v>1349</v>
      </c>
      <c r="E21" s="150">
        <v>1030110763</v>
      </c>
      <c r="F21" s="129" t="s">
        <v>1349</v>
      </c>
      <c r="G21" s="129">
        <v>3605972910240</v>
      </c>
      <c r="H21" s="129" t="s">
        <v>1115</v>
      </c>
      <c r="I21" s="129" t="s">
        <v>1350</v>
      </c>
      <c r="J21" s="129" t="s">
        <v>1286</v>
      </c>
      <c r="K21" s="129" t="s">
        <v>1287</v>
      </c>
      <c r="L21" s="129" t="s">
        <v>1039</v>
      </c>
      <c r="M21" s="129" t="s">
        <v>1288</v>
      </c>
      <c r="N21" s="129">
        <v>213</v>
      </c>
      <c r="O21" s="129" t="s">
        <v>1351</v>
      </c>
      <c r="P21" s="129" t="s">
        <v>73</v>
      </c>
      <c r="Q21" s="129">
        <v>2</v>
      </c>
      <c r="R21" s="129">
        <f t="shared" si="0"/>
        <v>31.95</v>
      </c>
      <c r="S21" s="129">
        <f t="shared" si="1"/>
        <v>21.3</v>
      </c>
      <c r="T21" s="129">
        <f t="shared" si="2"/>
        <v>10.649999999999999</v>
      </c>
      <c r="U21" s="151">
        <v>1030110763</v>
      </c>
      <c r="X21" s="127"/>
    </row>
    <row r="22" spans="1:24" x14ac:dyDescent="0.25">
      <c r="A22" s="129" t="s">
        <v>1281</v>
      </c>
      <c r="B22" s="129" t="s">
        <v>1282</v>
      </c>
      <c r="C22" s="129">
        <v>214925</v>
      </c>
      <c r="D22" s="129" t="s">
        <v>1352</v>
      </c>
      <c r="E22" s="150">
        <v>1030109004</v>
      </c>
      <c r="F22" s="129" t="s">
        <v>1352</v>
      </c>
      <c r="G22" s="129">
        <v>3423473969358</v>
      </c>
      <c r="H22" s="129" t="s">
        <v>1353</v>
      </c>
      <c r="I22" s="129" t="s">
        <v>1354</v>
      </c>
      <c r="J22" s="129" t="s">
        <v>1286</v>
      </c>
      <c r="K22" s="129" t="s">
        <v>1287</v>
      </c>
      <c r="L22" s="129" t="s">
        <v>990</v>
      </c>
      <c r="M22" s="129" t="s">
        <v>1288</v>
      </c>
      <c r="N22" s="129">
        <v>749</v>
      </c>
      <c r="O22" s="129" t="s">
        <v>1355</v>
      </c>
      <c r="P22" s="129" t="s">
        <v>73</v>
      </c>
      <c r="Q22" s="129">
        <v>2</v>
      </c>
      <c r="R22" s="129">
        <f t="shared" si="0"/>
        <v>112.35</v>
      </c>
      <c r="S22" s="129">
        <f t="shared" si="1"/>
        <v>74.900000000000006</v>
      </c>
      <c r="T22" s="129">
        <f t="shared" si="2"/>
        <v>37.449999999999989</v>
      </c>
      <c r="U22" s="151">
        <v>1030109004</v>
      </c>
      <c r="X22" s="127"/>
    </row>
    <row r="23" spans="1:24" x14ac:dyDescent="0.25">
      <c r="A23" s="129" t="s">
        <v>1290</v>
      </c>
      <c r="B23" s="129" t="s">
        <v>1291</v>
      </c>
      <c r="C23" s="129">
        <v>215793</v>
      </c>
      <c r="D23" s="129" t="s">
        <v>1356</v>
      </c>
      <c r="E23" s="150">
        <v>1030108788</v>
      </c>
      <c r="F23" s="129" t="s">
        <v>1356</v>
      </c>
      <c r="G23" s="129">
        <v>8011003827343</v>
      </c>
      <c r="H23" s="129" t="s">
        <v>1018</v>
      </c>
      <c r="I23" s="129" t="s">
        <v>1357</v>
      </c>
      <c r="J23" s="129" t="s">
        <v>1286</v>
      </c>
      <c r="K23" s="129" t="s">
        <v>1287</v>
      </c>
      <c r="L23" s="129" t="s">
        <v>1039</v>
      </c>
      <c r="M23" s="129" t="s">
        <v>1288</v>
      </c>
      <c r="N23" s="129">
        <v>219</v>
      </c>
      <c r="O23" s="129" t="s">
        <v>1358</v>
      </c>
      <c r="P23" s="129" t="s">
        <v>73</v>
      </c>
      <c r="Q23" s="129">
        <v>2</v>
      </c>
      <c r="R23" s="129">
        <f t="shared" si="0"/>
        <v>32.85</v>
      </c>
      <c r="S23" s="129">
        <f t="shared" si="1"/>
        <v>21.900000000000002</v>
      </c>
      <c r="T23" s="129">
        <f t="shared" si="2"/>
        <v>10.95</v>
      </c>
      <c r="U23" s="151">
        <v>1030108788</v>
      </c>
      <c r="X23" s="127"/>
    </row>
    <row r="24" spans="1:24" x14ac:dyDescent="0.25">
      <c r="A24" s="129" t="s">
        <v>1281</v>
      </c>
      <c r="B24" s="129" t="s">
        <v>1327</v>
      </c>
      <c r="C24" s="129">
        <v>214795</v>
      </c>
      <c r="D24" s="129" t="s">
        <v>1359</v>
      </c>
      <c r="E24" s="150">
        <v>1030110388</v>
      </c>
      <c r="F24" s="129" t="s">
        <v>1359</v>
      </c>
      <c r="G24" s="129">
        <v>3274872439078</v>
      </c>
      <c r="H24" s="129" t="s">
        <v>1144</v>
      </c>
      <c r="I24" s="129" t="s">
        <v>1360</v>
      </c>
      <c r="J24" s="129" t="s">
        <v>1286</v>
      </c>
      <c r="K24" s="129" t="s">
        <v>1287</v>
      </c>
      <c r="L24" s="129" t="s">
        <v>990</v>
      </c>
      <c r="M24" s="129" t="s">
        <v>1288</v>
      </c>
      <c r="N24" s="129">
        <v>329</v>
      </c>
      <c r="O24" s="129" t="s">
        <v>1361</v>
      </c>
      <c r="P24" s="129" t="s">
        <v>73</v>
      </c>
      <c r="Q24" s="129">
        <v>2</v>
      </c>
      <c r="R24" s="129">
        <f t="shared" si="0"/>
        <v>49.35</v>
      </c>
      <c r="S24" s="129">
        <f t="shared" si="1"/>
        <v>32.9</v>
      </c>
      <c r="T24" s="129">
        <f t="shared" si="2"/>
        <v>16.450000000000003</v>
      </c>
      <c r="U24" s="151">
        <v>1030110388</v>
      </c>
      <c r="X24" s="127"/>
    </row>
    <row r="25" spans="1:24" x14ac:dyDescent="0.25">
      <c r="A25" s="129" t="s">
        <v>1290</v>
      </c>
      <c r="B25" s="129" t="s">
        <v>1329</v>
      </c>
      <c r="C25" s="129">
        <v>215972</v>
      </c>
      <c r="D25" s="129" t="s">
        <v>1362</v>
      </c>
      <c r="E25" s="150">
        <v>1030103169</v>
      </c>
      <c r="F25" s="129" t="s">
        <v>1362</v>
      </c>
      <c r="G25" s="129">
        <v>8018365071469</v>
      </c>
      <c r="H25" s="129" t="s">
        <v>1018</v>
      </c>
      <c r="I25" s="129" t="s">
        <v>1363</v>
      </c>
      <c r="J25" s="129" t="s">
        <v>1286</v>
      </c>
      <c r="K25" s="129" t="s">
        <v>1287</v>
      </c>
      <c r="L25" s="129" t="s">
        <v>1039</v>
      </c>
      <c r="M25" s="129" t="s">
        <v>1288</v>
      </c>
      <c r="N25" s="129">
        <v>229</v>
      </c>
      <c r="O25" s="129" t="s">
        <v>1364</v>
      </c>
      <c r="P25" s="129" t="s">
        <v>73</v>
      </c>
      <c r="Q25" s="129">
        <v>2</v>
      </c>
      <c r="R25" s="129">
        <f t="shared" si="0"/>
        <v>34.35</v>
      </c>
      <c r="S25" s="129">
        <f t="shared" si="1"/>
        <v>22.900000000000002</v>
      </c>
      <c r="T25" s="129">
        <f t="shared" si="2"/>
        <v>11.45</v>
      </c>
      <c r="U25" s="151">
        <v>1030103169</v>
      </c>
      <c r="X25" s="127"/>
    </row>
    <row r="26" spans="1:24" x14ac:dyDescent="0.25">
      <c r="A26" s="129" t="s">
        <v>1281</v>
      </c>
      <c r="B26" s="129" t="s">
        <v>1282</v>
      </c>
      <c r="C26" s="129">
        <v>214931</v>
      </c>
      <c r="D26" s="129" t="s">
        <v>1365</v>
      </c>
      <c r="E26" s="150">
        <v>1030111025</v>
      </c>
      <c r="F26" s="129" t="s">
        <v>1365</v>
      </c>
      <c r="G26" s="129">
        <v>3386460165969</v>
      </c>
      <c r="H26" s="129" t="s">
        <v>1366</v>
      </c>
      <c r="I26" s="129" t="s">
        <v>1367</v>
      </c>
      <c r="J26" s="129" t="s">
        <v>1286</v>
      </c>
      <c r="K26" s="129" t="s">
        <v>1287</v>
      </c>
      <c r="L26" s="129" t="s">
        <v>1031</v>
      </c>
      <c r="M26" s="129" t="s">
        <v>1288</v>
      </c>
      <c r="N26" s="129">
        <v>199</v>
      </c>
      <c r="O26" s="129" t="s">
        <v>1368</v>
      </c>
      <c r="P26" s="129" t="s">
        <v>73</v>
      </c>
      <c r="Q26" s="129">
        <v>2</v>
      </c>
      <c r="R26" s="129">
        <f t="shared" si="0"/>
        <v>29.849999999999998</v>
      </c>
      <c r="S26" s="129">
        <f t="shared" si="1"/>
        <v>19.900000000000002</v>
      </c>
      <c r="T26" s="129">
        <f t="shared" si="2"/>
        <v>9.9499999999999957</v>
      </c>
      <c r="U26" s="151">
        <v>1030111025</v>
      </c>
      <c r="X26" s="127"/>
    </row>
    <row r="27" spans="1:24" x14ac:dyDescent="0.25">
      <c r="A27" s="129" t="s">
        <v>1290</v>
      </c>
      <c r="B27" s="129" t="s">
        <v>1329</v>
      </c>
      <c r="C27" s="129">
        <v>215968</v>
      </c>
      <c r="D27" s="129" t="s">
        <v>1369</v>
      </c>
      <c r="E27" s="150">
        <v>1030110431</v>
      </c>
      <c r="F27" s="129" t="s">
        <v>1369</v>
      </c>
      <c r="G27" s="129">
        <v>3616303470791</v>
      </c>
      <c r="H27" s="129" t="s">
        <v>1128</v>
      </c>
      <c r="I27" s="129" t="s">
        <v>1370</v>
      </c>
      <c r="J27" s="129" t="s">
        <v>1286</v>
      </c>
      <c r="K27" s="129" t="s">
        <v>1287</v>
      </c>
      <c r="L27" s="129" t="s">
        <v>990</v>
      </c>
      <c r="M27" s="129" t="s">
        <v>1288</v>
      </c>
      <c r="N27" s="129">
        <v>339</v>
      </c>
      <c r="O27" s="129" t="s">
        <v>1371</v>
      </c>
      <c r="P27" s="129" t="s">
        <v>73</v>
      </c>
      <c r="Q27" s="129">
        <v>2</v>
      </c>
      <c r="R27" s="129">
        <f t="shared" si="0"/>
        <v>50.85</v>
      </c>
      <c r="S27" s="129">
        <f t="shared" si="1"/>
        <v>33.9</v>
      </c>
      <c r="T27" s="129">
        <f t="shared" si="2"/>
        <v>16.950000000000003</v>
      </c>
      <c r="U27" s="151">
        <v>1030110431</v>
      </c>
    </row>
    <row r="28" spans="1:24" x14ac:dyDescent="0.25">
      <c r="A28" s="129" t="s">
        <v>1290</v>
      </c>
      <c r="B28" s="129" t="s">
        <v>1329</v>
      </c>
      <c r="C28" s="129">
        <v>216008</v>
      </c>
      <c r="D28" s="129" t="s">
        <v>1372</v>
      </c>
      <c r="E28" s="150">
        <v>1030110729</v>
      </c>
      <c r="F28" s="129" t="s">
        <v>1372</v>
      </c>
      <c r="G28" s="129">
        <v>3423222121297</v>
      </c>
      <c r="H28" s="129" t="s">
        <v>1009</v>
      </c>
      <c r="I28" s="129" t="s">
        <v>1373</v>
      </c>
      <c r="J28" s="129" t="s">
        <v>1286</v>
      </c>
      <c r="K28" s="129" t="s">
        <v>1287</v>
      </c>
      <c r="L28" s="129" t="s">
        <v>990</v>
      </c>
      <c r="M28" s="129" t="s">
        <v>1288</v>
      </c>
      <c r="N28" s="129">
        <v>279</v>
      </c>
      <c r="O28" s="129" t="s">
        <v>1374</v>
      </c>
      <c r="P28" s="129" t="s">
        <v>73</v>
      </c>
      <c r="Q28" s="129">
        <v>3</v>
      </c>
      <c r="R28" s="129">
        <f t="shared" si="0"/>
        <v>41.85</v>
      </c>
      <c r="S28" s="129">
        <f t="shared" si="1"/>
        <v>27.900000000000002</v>
      </c>
      <c r="T28" s="129">
        <f t="shared" si="2"/>
        <v>13.95</v>
      </c>
      <c r="U28" s="151">
        <v>1030110729</v>
      </c>
    </row>
    <row r="29" spans="1:24" x14ac:dyDescent="0.25">
      <c r="A29" s="129" t="s">
        <v>1290</v>
      </c>
      <c r="B29" s="129" t="s">
        <v>1291</v>
      </c>
      <c r="C29" s="129">
        <v>215680</v>
      </c>
      <c r="D29" s="129" t="s">
        <v>1375</v>
      </c>
      <c r="E29" s="150">
        <v>1030103540</v>
      </c>
      <c r="F29" s="129" t="s">
        <v>1375</v>
      </c>
      <c r="G29" s="129">
        <v>3607346232385</v>
      </c>
      <c r="H29" s="129" t="s">
        <v>1376</v>
      </c>
      <c r="I29" s="129" t="s">
        <v>1377</v>
      </c>
      <c r="J29" s="129" t="s">
        <v>1286</v>
      </c>
      <c r="K29" s="129" t="s">
        <v>1287</v>
      </c>
      <c r="L29" s="129" t="s">
        <v>990</v>
      </c>
      <c r="M29" s="129" t="s">
        <v>1288</v>
      </c>
      <c r="N29" s="129">
        <v>272</v>
      </c>
      <c r="O29" s="129" t="s">
        <v>1378</v>
      </c>
      <c r="P29" s="129" t="s">
        <v>73</v>
      </c>
      <c r="Q29" s="129">
        <v>2</v>
      </c>
      <c r="R29" s="129">
        <f t="shared" si="0"/>
        <v>40.799999999999997</v>
      </c>
      <c r="S29" s="129">
        <f t="shared" si="1"/>
        <v>27.200000000000003</v>
      </c>
      <c r="T29" s="129">
        <f t="shared" si="2"/>
        <v>13.599999999999994</v>
      </c>
      <c r="U29" s="151">
        <v>1030103540</v>
      </c>
    </row>
    <row r="30" spans="1:24" x14ac:dyDescent="0.25">
      <c r="A30" s="129" t="s">
        <v>1281</v>
      </c>
      <c r="B30" s="129" t="s">
        <v>1282</v>
      </c>
      <c r="C30" s="129">
        <v>214933</v>
      </c>
      <c r="D30" s="129" t="s">
        <v>1379</v>
      </c>
      <c r="E30" s="150">
        <v>1030110306</v>
      </c>
      <c r="F30" s="129" t="s">
        <v>1379</v>
      </c>
      <c r="G30" s="129">
        <v>3349668588732</v>
      </c>
      <c r="H30" s="129" t="s">
        <v>1297</v>
      </c>
      <c r="I30" s="129" t="s">
        <v>1380</v>
      </c>
      <c r="J30" s="129" t="s">
        <v>1286</v>
      </c>
      <c r="K30" s="129" t="s">
        <v>1287</v>
      </c>
      <c r="L30" s="129" t="s">
        <v>990</v>
      </c>
      <c r="M30" s="129" t="s">
        <v>1288</v>
      </c>
      <c r="N30" s="129">
        <v>299</v>
      </c>
      <c r="O30" s="129" t="s">
        <v>1336</v>
      </c>
      <c r="P30" s="129" t="s">
        <v>73</v>
      </c>
      <c r="Q30" s="129">
        <v>2</v>
      </c>
      <c r="R30" s="129">
        <f t="shared" si="0"/>
        <v>44.85</v>
      </c>
      <c r="S30" s="129">
        <f t="shared" si="1"/>
        <v>29.900000000000002</v>
      </c>
      <c r="T30" s="129">
        <f t="shared" si="2"/>
        <v>14.95</v>
      </c>
      <c r="U30" s="151">
        <v>1030110306</v>
      </c>
    </row>
    <row r="31" spans="1:24" x14ac:dyDescent="0.25">
      <c r="A31" s="129" t="s">
        <v>1290</v>
      </c>
      <c r="B31" s="129" t="s">
        <v>1329</v>
      </c>
      <c r="C31" s="129">
        <v>215950</v>
      </c>
      <c r="D31" s="129" t="s">
        <v>1381</v>
      </c>
      <c r="E31" s="150">
        <v>1030110879</v>
      </c>
      <c r="F31" s="129" t="s">
        <v>1381</v>
      </c>
      <c r="G31" s="129">
        <v>3616305169228</v>
      </c>
      <c r="H31" s="129" t="s">
        <v>1095</v>
      </c>
      <c r="I31" s="129" t="s">
        <v>1382</v>
      </c>
      <c r="J31" s="129" t="s">
        <v>1286</v>
      </c>
      <c r="K31" s="129" t="s">
        <v>1287</v>
      </c>
      <c r="L31" s="129" t="s">
        <v>1031</v>
      </c>
      <c r="M31" s="129" t="s">
        <v>1288</v>
      </c>
      <c r="N31" s="129">
        <v>439</v>
      </c>
      <c r="O31" s="129" t="s">
        <v>1383</v>
      </c>
      <c r="P31" s="129" t="s">
        <v>73</v>
      </c>
      <c r="Q31" s="129">
        <v>2</v>
      </c>
      <c r="R31" s="129">
        <f t="shared" si="0"/>
        <v>65.849999999999994</v>
      </c>
      <c r="S31" s="129">
        <f t="shared" si="1"/>
        <v>43.900000000000006</v>
      </c>
      <c r="T31" s="129">
        <f t="shared" si="2"/>
        <v>21.949999999999989</v>
      </c>
      <c r="U31" s="151">
        <v>1030110879</v>
      </c>
    </row>
    <row r="32" spans="1:24" x14ac:dyDescent="0.25">
      <c r="A32" s="129" t="s">
        <v>1341</v>
      </c>
      <c r="B32" s="129" t="s">
        <v>1342</v>
      </c>
      <c r="C32" s="129">
        <v>219304</v>
      </c>
      <c r="D32" s="129" t="s">
        <v>1384</v>
      </c>
      <c r="E32" s="150">
        <v>1030104693</v>
      </c>
      <c r="F32" s="129" t="s">
        <v>1384</v>
      </c>
      <c r="G32" s="129" t="s">
        <v>1385</v>
      </c>
      <c r="H32" s="129" t="s">
        <v>986</v>
      </c>
      <c r="I32" s="129" t="s">
        <v>1386</v>
      </c>
      <c r="J32" s="129" t="s">
        <v>1286</v>
      </c>
      <c r="K32" s="129" t="s">
        <v>1287</v>
      </c>
      <c r="L32" s="129" t="s">
        <v>990</v>
      </c>
      <c r="M32" s="129" t="s">
        <v>1288</v>
      </c>
      <c r="N32" s="129">
        <v>242</v>
      </c>
      <c r="O32" s="129" t="s">
        <v>1387</v>
      </c>
      <c r="P32" s="129" t="s">
        <v>73</v>
      </c>
      <c r="Q32" s="129">
        <v>2</v>
      </c>
      <c r="R32" s="129">
        <f t="shared" si="0"/>
        <v>36.299999999999997</v>
      </c>
      <c r="S32" s="129">
        <f t="shared" si="1"/>
        <v>24.200000000000003</v>
      </c>
      <c r="T32" s="129">
        <f t="shared" si="2"/>
        <v>12.099999999999994</v>
      </c>
      <c r="U32" s="151">
        <v>1030104693</v>
      </c>
    </row>
    <row r="33" spans="1:21" x14ac:dyDescent="0.25">
      <c r="A33" s="129" t="s">
        <v>1290</v>
      </c>
      <c r="B33" s="129" t="s">
        <v>1329</v>
      </c>
      <c r="C33" s="129">
        <v>215900</v>
      </c>
      <c r="D33" s="129" t="s">
        <v>1388</v>
      </c>
      <c r="E33" s="150">
        <v>1030110504</v>
      </c>
      <c r="F33" s="129" t="s">
        <v>1388</v>
      </c>
      <c r="G33" s="129">
        <v>3386460151962</v>
      </c>
      <c r="H33" s="129" t="s">
        <v>1389</v>
      </c>
      <c r="I33" s="129" t="s">
        <v>1390</v>
      </c>
      <c r="J33" s="129" t="s">
        <v>1286</v>
      </c>
      <c r="K33" s="129" t="s">
        <v>1287</v>
      </c>
      <c r="L33" s="129" t="s">
        <v>990</v>
      </c>
      <c r="M33" s="129" t="s">
        <v>1288</v>
      </c>
      <c r="N33" s="129">
        <v>219</v>
      </c>
      <c r="O33" s="129" t="s">
        <v>1391</v>
      </c>
      <c r="P33" s="129" t="s">
        <v>73</v>
      </c>
      <c r="Q33" s="129">
        <v>2</v>
      </c>
      <c r="R33" s="129">
        <f t="shared" si="0"/>
        <v>32.85</v>
      </c>
      <c r="S33" s="129">
        <f t="shared" si="1"/>
        <v>21.900000000000002</v>
      </c>
      <c r="T33" s="129">
        <f t="shared" si="2"/>
        <v>10.95</v>
      </c>
      <c r="U33" s="151">
        <v>1030110504</v>
      </c>
    </row>
    <row r="34" spans="1:21" x14ac:dyDescent="0.25">
      <c r="A34" s="129" t="s">
        <v>1290</v>
      </c>
      <c r="B34" s="129" t="s">
        <v>1329</v>
      </c>
      <c r="C34" s="129">
        <v>215928</v>
      </c>
      <c r="D34" s="129" t="s">
        <v>1392</v>
      </c>
      <c r="E34" s="150">
        <v>1030109215</v>
      </c>
      <c r="F34" s="129" t="s">
        <v>1392</v>
      </c>
      <c r="G34" s="129">
        <v>8052464896905</v>
      </c>
      <c r="H34" s="129" t="s">
        <v>1134</v>
      </c>
      <c r="I34" s="129" t="s">
        <v>1393</v>
      </c>
      <c r="J34" s="129" t="s">
        <v>1286</v>
      </c>
      <c r="K34" s="129" t="s">
        <v>1287</v>
      </c>
      <c r="L34" s="129" t="s">
        <v>990</v>
      </c>
      <c r="M34" s="129" t="s">
        <v>1288</v>
      </c>
      <c r="N34" s="129">
        <v>121</v>
      </c>
      <c r="O34" s="129" t="s">
        <v>1394</v>
      </c>
      <c r="P34" s="129" t="s">
        <v>73</v>
      </c>
      <c r="Q34" s="129">
        <v>2</v>
      </c>
      <c r="R34" s="129">
        <f t="shared" si="0"/>
        <v>18.149999999999999</v>
      </c>
      <c r="S34" s="129">
        <f t="shared" si="1"/>
        <v>12.100000000000001</v>
      </c>
      <c r="T34" s="129">
        <f t="shared" si="2"/>
        <v>6.0499999999999972</v>
      </c>
      <c r="U34" s="151">
        <v>1030109215</v>
      </c>
    </row>
    <row r="35" spans="1:21" x14ac:dyDescent="0.25">
      <c r="A35" s="129" t="s">
        <v>1290</v>
      </c>
      <c r="B35" s="129" t="s">
        <v>1329</v>
      </c>
      <c r="C35" s="129">
        <v>215939</v>
      </c>
      <c r="D35" s="129" t="s">
        <v>1395</v>
      </c>
      <c r="E35" s="150">
        <v>1030110378</v>
      </c>
      <c r="F35" s="129" t="s">
        <v>1395</v>
      </c>
      <c r="G35" s="129">
        <v>8435415050760</v>
      </c>
      <c r="H35" s="129" t="s">
        <v>1338</v>
      </c>
      <c r="I35" s="129" t="s">
        <v>1396</v>
      </c>
      <c r="J35" s="129" t="s">
        <v>1286</v>
      </c>
      <c r="K35" s="129" t="s">
        <v>1287</v>
      </c>
      <c r="L35" s="129" t="s">
        <v>990</v>
      </c>
      <c r="M35" s="129" t="s">
        <v>1288</v>
      </c>
      <c r="N35" s="129">
        <v>399</v>
      </c>
      <c r="O35" s="129" t="s">
        <v>1397</v>
      </c>
      <c r="P35" s="129" t="s">
        <v>73</v>
      </c>
      <c r="Q35" s="129">
        <v>2</v>
      </c>
      <c r="R35" s="129">
        <f t="shared" si="0"/>
        <v>59.849999999999994</v>
      </c>
      <c r="S35" s="129">
        <f t="shared" si="1"/>
        <v>39.900000000000006</v>
      </c>
      <c r="T35" s="129">
        <f t="shared" si="2"/>
        <v>19.949999999999989</v>
      </c>
      <c r="U35" s="151">
        <v>1030110378</v>
      </c>
    </row>
    <row r="36" spans="1:21" x14ac:dyDescent="0.25">
      <c r="A36" s="129" t="s">
        <v>1290</v>
      </c>
      <c r="B36" s="129" t="s">
        <v>1329</v>
      </c>
      <c r="C36" s="129">
        <v>216009</v>
      </c>
      <c r="D36" s="129" t="s">
        <v>1398</v>
      </c>
      <c r="E36" s="150">
        <v>1030110790</v>
      </c>
      <c r="F36" s="129" t="s">
        <v>1398</v>
      </c>
      <c r="G36" s="129">
        <v>3616305275745</v>
      </c>
      <c r="H36" s="129" t="s">
        <v>1128</v>
      </c>
      <c r="I36" s="129" t="s">
        <v>1399</v>
      </c>
      <c r="J36" s="129" t="s">
        <v>1286</v>
      </c>
      <c r="K36" s="129" t="s">
        <v>1287</v>
      </c>
      <c r="L36" s="129" t="s">
        <v>990</v>
      </c>
      <c r="M36" s="129" t="s">
        <v>1288</v>
      </c>
      <c r="N36" s="129">
        <v>389</v>
      </c>
      <c r="O36" s="129" t="s">
        <v>1400</v>
      </c>
      <c r="P36" s="129" t="s">
        <v>73</v>
      </c>
      <c r="Q36" s="129">
        <v>2</v>
      </c>
      <c r="R36" s="129">
        <f t="shared" si="0"/>
        <v>58.349999999999994</v>
      </c>
      <c r="S36" s="129">
        <f t="shared" si="1"/>
        <v>38.900000000000006</v>
      </c>
      <c r="T36" s="129">
        <f t="shared" si="2"/>
        <v>19.449999999999989</v>
      </c>
      <c r="U36" s="151">
        <v>1030110790</v>
      </c>
    </row>
    <row r="37" spans="1:21" x14ac:dyDescent="0.25">
      <c r="A37" s="129" t="s">
        <v>1281</v>
      </c>
      <c r="B37" s="129" t="s">
        <v>1282</v>
      </c>
      <c r="C37" s="129">
        <v>215015</v>
      </c>
      <c r="D37" s="129" t="s">
        <v>1401</v>
      </c>
      <c r="E37" s="150">
        <v>1030110457</v>
      </c>
      <c r="F37" s="129" t="s">
        <v>1401</v>
      </c>
      <c r="G37" s="129">
        <v>3616304679445</v>
      </c>
      <c r="H37" s="129" t="s">
        <v>1402</v>
      </c>
      <c r="I37" s="129" t="s">
        <v>1403</v>
      </c>
      <c r="J37" s="129" t="s">
        <v>1286</v>
      </c>
      <c r="K37" s="129" t="s">
        <v>1287</v>
      </c>
      <c r="L37" s="129" t="s">
        <v>1031</v>
      </c>
      <c r="M37" s="129" t="s">
        <v>1288</v>
      </c>
      <c r="N37" s="129">
        <v>429</v>
      </c>
      <c r="O37" s="129" t="s">
        <v>1404</v>
      </c>
      <c r="P37" s="129" t="s">
        <v>73</v>
      </c>
      <c r="Q37" s="129">
        <v>4</v>
      </c>
      <c r="R37" s="129">
        <f t="shared" si="0"/>
        <v>64.349999999999994</v>
      </c>
      <c r="S37" s="129">
        <f t="shared" si="1"/>
        <v>42.900000000000006</v>
      </c>
      <c r="T37" s="129">
        <f t="shared" si="2"/>
        <v>21.449999999999989</v>
      </c>
      <c r="U37" s="151">
        <v>1030110457</v>
      </c>
    </row>
    <row r="38" spans="1:21" x14ac:dyDescent="0.25">
      <c r="A38" s="129" t="s">
        <v>1290</v>
      </c>
      <c r="B38" s="129" t="s">
        <v>1291</v>
      </c>
      <c r="C38" s="129">
        <v>215779</v>
      </c>
      <c r="D38" s="129" t="s">
        <v>1405</v>
      </c>
      <c r="E38" s="150">
        <v>1030108906</v>
      </c>
      <c r="F38" s="129" t="s">
        <v>1405</v>
      </c>
      <c r="G38" s="129">
        <v>8435137749287</v>
      </c>
      <c r="H38" s="129" t="s">
        <v>1406</v>
      </c>
      <c r="I38" s="129" t="s">
        <v>1407</v>
      </c>
      <c r="J38" s="129" t="s">
        <v>1286</v>
      </c>
      <c r="K38" s="129" t="s">
        <v>1287</v>
      </c>
      <c r="L38" s="129" t="s">
        <v>990</v>
      </c>
      <c r="M38" s="129" t="s">
        <v>1288</v>
      </c>
      <c r="N38" s="129">
        <v>434</v>
      </c>
      <c r="O38" s="129" t="s">
        <v>1408</v>
      </c>
      <c r="P38" s="129" t="s">
        <v>73</v>
      </c>
      <c r="Q38" s="129">
        <v>2</v>
      </c>
      <c r="R38" s="129">
        <f t="shared" si="0"/>
        <v>65.099999999999994</v>
      </c>
      <c r="S38" s="129">
        <f t="shared" si="1"/>
        <v>43.400000000000006</v>
      </c>
      <c r="T38" s="129">
        <f t="shared" si="2"/>
        <v>21.699999999999989</v>
      </c>
      <c r="U38" s="151">
        <v>1030108906</v>
      </c>
    </row>
    <row r="39" spans="1:21" x14ac:dyDescent="0.25">
      <c r="A39" s="129" t="s">
        <v>1290</v>
      </c>
      <c r="B39" s="129" t="s">
        <v>1329</v>
      </c>
      <c r="C39" s="129">
        <v>215879</v>
      </c>
      <c r="D39" s="129" t="s">
        <v>1409</v>
      </c>
      <c r="E39" s="150">
        <v>1030110377</v>
      </c>
      <c r="F39" s="129" t="s">
        <v>1409</v>
      </c>
      <c r="G39" s="129">
        <v>8411061045497</v>
      </c>
      <c r="H39" s="129" t="s">
        <v>1066</v>
      </c>
      <c r="I39" s="129" t="s">
        <v>1410</v>
      </c>
      <c r="J39" s="129" t="s">
        <v>1286</v>
      </c>
      <c r="K39" s="129" t="s">
        <v>1287</v>
      </c>
      <c r="L39" s="129" t="s">
        <v>990</v>
      </c>
      <c r="M39" s="129" t="s">
        <v>1288</v>
      </c>
      <c r="N39" s="129">
        <v>409</v>
      </c>
      <c r="O39" s="129" t="s">
        <v>1383</v>
      </c>
      <c r="P39" s="129" t="s">
        <v>73</v>
      </c>
      <c r="Q39" s="129">
        <v>2</v>
      </c>
      <c r="R39" s="129">
        <f t="shared" si="0"/>
        <v>61.349999999999994</v>
      </c>
      <c r="S39" s="129">
        <f t="shared" si="1"/>
        <v>40.900000000000006</v>
      </c>
      <c r="T39" s="129">
        <f t="shared" si="2"/>
        <v>20.449999999999989</v>
      </c>
      <c r="U39" s="151">
        <v>1030110377</v>
      </c>
    </row>
    <row r="40" spans="1:21" x14ac:dyDescent="0.25">
      <c r="A40" s="129" t="s">
        <v>1290</v>
      </c>
      <c r="B40" s="129" t="s">
        <v>1329</v>
      </c>
      <c r="C40" s="129">
        <v>216018</v>
      </c>
      <c r="D40" s="129" t="s">
        <v>1411</v>
      </c>
      <c r="E40" s="150">
        <v>1030110396</v>
      </c>
      <c r="F40" s="129" t="s">
        <v>1411</v>
      </c>
      <c r="G40" s="129">
        <v>3614273790840</v>
      </c>
      <c r="H40" s="129" t="s">
        <v>1122</v>
      </c>
      <c r="I40" s="129" t="s">
        <v>1412</v>
      </c>
      <c r="J40" s="129" t="s">
        <v>1286</v>
      </c>
      <c r="K40" s="129" t="s">
        <v>1287</v>
      </c>
      <c r="L40" s="129" t="s">
        <v>990</v>
      </c>
      <c r="M40" s="129" t="s">
        <v>1288</v>
      </c>
      <c r="N40" s="129">
        <v>464</v>
      </c>
      <c r="O40" s="129" t="s">
        <v>1413</v>
      </c>
      <c r="P40" s="129" t="s">
        <v>73</v>
      </c>
      <c r="Q40" s="129">
        <v>2</v>
      </c>
      <c r="R40" s="129">
        <f t="shared" si="0"/>
        <v>69.599999999999994</v>
      </c>
      <c r="S40" s="129">
        <f t="shared" si="1"/>
        <v>46.400000000000006</v>
      </c>
      <c r="T40" s="129">
        <f t="shared" si="2"/>
        <v>23.199999999999989</v>
      </c>
      <c r="U40" s="151">
        <v>1030110396</v>
      </c>
    </row>
    <row r="41" spans="1:21" x14ac:dyDescent="0.25">
      <c r="A41" s="129" t="s">
        <v>1341</v>
      </c>
      <c r="B41" s="129" t="s">
        <v>1342</v>
      </c>
      <c r="C41" s="129">
        <v>219313</v>
      </c>
      <c r="D41" s="129" t="s">
        <v>1414</v>
      </c>
      <c r="E41" s="150">
        <v>1030106482</v>
      </c>
      <c r="F41" s="129" t="s">
        <v>1414</v>
      </c>
      <c r="G41" s="129">
        <v>730870179710</v>
      </c>
      <c r="H41" s="129" t="s">
        <v>1128</v>
      </c>
      <c r="I41" s="129" t="s">
        <v>1415</v>
      </c>
      <c r="J41" s="129" t="s">
        <v>1286</v>
      </c>
      <c r="K41" s="129" t="s">
        <v>1287</v>
      </c>
      <c r="L41" s="129" t="s">
        <v>990</v>
      </c>
      <c r="M41" s="129" t="s">
        <v>1288</v>
      </c>
      <c r="N41" s="129">
        <v>382</v>
      </c>
      <c r="O41" s="129" t="s">
        <v>1416</v>
      </c>
      <c r="P41" s="129" t="s">
        <v>73</v>
      </c>
      <c r="Q41" s="129">
        <v>2</v>
      </c>
      <c r="R41" s="129">
        <f t="shared" si="0"/>
        <v>57.3</v>
      </c>
      <c r="S41" s="129">
        <f t="shared" si="1"/>
        <v>38.200000000000003</v>
      </c>
      <c r="T41" s="129">
        <f t="shared" si="2"/>
        <v>19.099999999999994</v>
      </c>
      <c r="U41" s="151">
        <v>1030106482</v>
      </c>
    </row>
    <row r="42" spans="1:21" x14ac:dyDescent="0.25">
      <c r="A42" s="129" t="s">
        <v>1290</v>
      </c>
      <c r="B42" s="129" t="s">
        <v>1291</v>
      </c>
      <c r="C42" s="129">
        <v>215772</v>
      </c>
      <c r="D42" s="129" t="s">
        <v>1417</v>
      </c>
      <c r="E42" s="150">
        <v>1030106783</v>
      </c>
      <c r="F42" s="129" t="s">
        <v>1417</v>
      </c>
      <c r="G42" s="129">
        <v>3274872330146</v>
      </c>
      <c r="H42" s="129" t="s">
        <v>1144</v>
      </c>
      <c r="I42" s="129" t="s">
        <v>1418</v>
      </c>
      <c r="J42" s="129" t="s">
        <v>1286</v>
      </c>
      <c r="K42" s="129" t="s">
        <v>1287</v>
      </c>
      <c r="L42" s="129" t="s">
        <v>990</v>
      </c>
      <c r="M42" s="129" t="s">
        <v>1288</v>
      </c>
      <c r="N42" s="129">
        <v>369</v>
      </c>
      <c r="O42" s="129" t="s">
        <v>1364</v>
      </c>
      <c r="P42" s="129" t="s">
        <v>73</v>
      </c>
      <c r="Q42" s="129">
        <v>2</v>
      </c>
      <c r="R42" s="129">
        <f t="shared" si="0"/>
        <v>55.35</v>
      </c>
      <c r="S42" s="129">
        <f t="shared" si="1"/>
        <v>36.9</v>
      </c>
      <c r="T42" s="129">
        <f t="shared" si="2"/>
        <v>18.450000000000003</v>
      </c>
      <c r="U42" s="151">
        <v>1030106783</v>
      </c>
    </row>
    <row r="43" spans="1:21" x14ac:dyDescent="0.25">
      <c r="A43" s="129" t="s">
        <v>1290</v>
      </c>
      <c r="B43" s="129" t="s">
        <v>1291</v>
      </c>
      <c r="C43" s="129">
        <v>215781</v>
      </c>
      <c r="D43" s="129" t="s">
        <v>1419</v>
      </c>
      <c r="E43" s="150">
        <v>1030108913</v>
      </c>
      <c r="F43" s="129" t="s">
        <v>1419</v>
      </c>
      <c r="G43" s="129">
        <v>8435137764402</v>
      </c>
      <c r="H43" s="129" t="s">
        <v>1406</v>
      </c>
      <c r="I43" s="129" t="s">
        <v>1420</v>
      </c>
      <c r="J43" s="129" t="s">
        <v>1286</v>
      </c>
      <c r="K43" s="129" t="s">
        <v>1287</v>
      </c>
      <c r="L43" s="129" t="s">
        <v>990</v>
      </c>
      <c r="M43" s="129" t="s">
        <v>1288</v>
      </c>
      <c r="N43" s="129">
        <v>359</v>
      </c>
      <c r="O43" s="129" t="s">
        <v>1364</v>
      </c>
      <c r="P43" s="129" t="s">
        <v>73</v>
      </c>
      <c r="Q43" s="129">
        <v>2</v>
      </c>
      <c r="R43" s="129">
        <f t="shared" si="0"/>
        <v>53.85</v>
      </c>
      <c r="S43" s="129">
        <f t="shared" si="1"/>
        <v>35.9</v>
      </c>
      <c r="T43" s="129">
        <f t="shared" si="2"/>
        <v>17.950000000000003</v>
      </c>
      <c r="U43" s="151">
        <v>1030108913</v>
      </c>
    </row>
    <row r="44" spans="1:21" x14ac:dyDescent="0.25">
      <c r="A44" s="129" t="s">
        <v>1341</v>
      </c>
      <c r="B44" s="129" t="s">
        <v>1342</v>
      </c>
      <c r="C44" s="129">
        <v>219327</v>
      </c>
      <c r="D44" s="129" t="s">
        <v>1421</v>
      </c>
      <c r="E44" s="150">
        <v>1030109539</v>
      </c>
      <c r="F44" s="129" t="s">
        <v>1421</v>
      </c>
      <c r="G44" s="129" t="s">
        <v>1422</v>
      </c>
      <c r="H44" s="129" t="s">
        <v>986</v>
      </c>
      <c r="I44" s="129" t="s">
        <v>1423</v>
      </c>
      <c r="J44" s="129" t="s">
        <v>1286</v>
      </c>
      <c r="K44" s="129" t="s">
        <v>1287</v>
      </c>
      <c r="L44" s="129" t="s">
        <v>990</v>
      </c>
      <c r="M44" s="129" t="s">
        <v>1288</v>
      </c>
      <c r="N44" s="129">
        <v>369</v>
      </c>
      <c r="O44" s="129" t="s">
        <v>1424</v>
      </c>
      <c r="P44" s="129" t="s">
        <v>73</v>
      </c>
      <c r="Q44" s="129">
        <v>2</v>
      </c>
      <c r="R44" s="129">
        <f t="shared" si="0"/>
        <v>55.35</v>
      </c>
      <c r="S44" s="129">
        <f t="shared" si="1"/>
        <v>36.9</v>
      </c>
      <c r="T44" s="129">
        <f t="shared" si="2"/>
        <v>18.450000000000003</v>
      </c>
      <c r="U44" s="151">
        <v>1030109539</v>
      </c>
    </row>
    <row r="45" spans="1:21" x14ac:dyDescent="0.25">
      <c r="A45" s="129" t="s">
        <v>1290</v>
      </c>
      <c r="B45" s="129" t="s">
        <v>1291</v>
      </c>
      <c r="C45" s="129">
        <v>215780</v>
      </c>
      <c r="D45" s="129" t="s">
        <v>1425</v>
      </c>
      <c r="E45" s="150">
        <v>1030108912</v>
      </c>
      <c r="F45" s="129" t="s">
        <v>1425</v>
      </c>
      <c r="G45" s="129">
        <v>8435137764433</v>
      </c>
      <c r="H45" s="129" t="s">
        <v>1406</v>
      </c>
      <c r="I45" s="129" t="s">
        <v>1426</v>
      </c>
      <c r="J45" s="129" t="s">
        <v>1286</v>
      </c>
      <c r="K45" s="129" t="s">
        <v>1287</v>
      </c>
      <c r="L45" s="129" t="s">
        <v>990</v>
      </c>
      <c r="M45" s="129" t="s">
        <v>1288</v>
      </c>
      <c r="N45" s="129">
        <v>500</v>
      </c>
      <c r="O45" s="129" t="s">
        <v>1427</v>
      </c>
      <c r="P45" s="129" t="s">
        <v>73</v>
      </c>
      <c r="Q45" s="129">
        <v>2</v>
      </c>
      <c r="R45" s="129">
        <f t="shared" si="0"/>
        <v>75</v>
      </c>
      <c r="S45" s="129">
        <f t="shared" si="1"/>
        <v>50</v>
      </c>
      <c r="T45" s="129">
        <f t="shared" si="2"/>
        <v>25</v>
      </c>
      <c r="U45" s="151">
        <v>1030108912</v>
      </c>
    </row>
    <row r="46" spans="1:21" x14ac:dyDescent="0.25">
      <c r="A46" s="129" t="s">
        <v>1281</v>
      </c>
      <c r="B46" s="129" t="s">
        <v>1282</v>
      </c>
      <c r="C46" s="129">
        <v>215058</v>
      </c>
      <c r="D46" s="129" t="s">
        <v>1222</v>
      </c>
      <c r="E46" s="150">
        <v>1030110823</v>
      </c>
      <c r="F46" s="129" t="s">
        <v>1222</v>
      </c>
      <c r="G46" s="129">
        <v>3386460153720</v>
      </c>
      <c r="H46" s="129" t="s">
        <v>1220</v>
      </c>
      <c r="I46" s="129" t="s">
        <v>1428</v>
      </c>
      <c r="J46" s="129" t="s">
        <v>1286</v>
      </c>
      <c r="K46" s="129" t="s">
        <v>1287</v>
      </c>
      <c r="L46" s="129" t="s">
        <v>1031</v>
      </c>
      <c r="M46" s="129" t="s">
        <v>1288</v>
      </c>
      <c r="N46" s="129">
        <v>225</v>
      </c>
      <c r="O46" s="129" t="s">
        <v>1429</v>
      </c>
      <c r="P46" s="129" t="s">
        <v>73</v>
      </c>
      <c r="Q46" s="129">
        <v>2</v>
      </c>
      <c r="R46" s="129">
        <f t="shared" si="0"/>
        <v>33.75</v>
      </c>
      <c r="S46" s="129">
        <f t="shared" si="1"/>
        <v>22.5</v>
      </c>
      <c r="T46" s="129">
        <f t="shared" si="2"/>
        <v>11.25</v>
      </c>
      <c r="U46" s="151">
        <v>1030110823</v>
      </c>
    </row>
    <row r="47" spans="1:21" x14ac:dyDescent="0.25">
      <c r="A47" s="129" t="s">
        <v>1290</v>
      </c>
      <c r="B47" s="129" t="s">
        <v>1329</v>
      </c>
      <c r="C47" s="129">
        <v>215953</v>
      </c>
      <c r="D47" s="129" t="s">
        <v>1430</v>
      </c>
      <c r="E47" s="150">
        <v>1030105517</v>
      </c>
      <c r="F47" s="129" t="s">
        <v>1430</v>
      </c>
      <c r="G47" s="129">
        <v>8411061777176</v>
      </c>
      <c r="H47" s="129" t="s">
        <v>1066</v>
      </c>
      <c r="I47" s="129" t="s">
        <v>1431</v>
      </c>
      <c r="J47" s="129" t="s">
        <v>1286</v>
      </c>
      <c r="K47" s="129" t="s">
        <v>1287</v>
      </c>
      <c r="L47" s="129" t="s">
        <v>990</v>
      </c>
      <c r="M47" s="129" t="s">
        <v>1288</v>
      </c>
      <c r="N47" s="129">
        <v>295</v>
      </c>
      <c r="O47" s="129" t="s">
        <v>1432</v>
      </c>
      <c r="P47" s="129" t="s">
        <v>73</v>
      </c>
      <c r="Q47" s="129">
        <v>2</v>
      </c>
      <c r="R47" s="129">
        <f t="shared" si="0"/>
        <v>44.25</v>
      </c>
      <c r="S47" s="129">
        <f t="shared" si="1"/>
        <v>29.5</v>
      </c>
      <c r="T47" s="129">
        <f t="shared" si="2"/>
        <v>14.75</v>
      </c>
      <c r="U47" s="151">
        <v>1030105517</v>
      </c>
    </row>
    <row r="48" spans="1:21" x14ac:dyDescent="0.25">
      <c r="A48" s="129" t="s">
        <v>1281</v>
      </c>
      <c r="B48" s="129" t="s">
        <v>1282</v>
      </c>
      <c r="C48" s="129">
        <v>215036</v>
      </c>
      <c r="D48" s="129" t="s">
        <v>1433</v>
      </c>
      <c r="E48" s="150">
        <v>1030101183</v>
      </c>
      <c r="F48" s="129" t="s">
        <v>1433</v>
      </c>
      <c r="G48" s="129">
        <v>783320413698</v>
      </c>
      <c r="H48" s="129" t="s">
        <v>1434</v>
      </c>
      <c r="I48" s="129" t="s">
        <v>1435</v>
      </c>
      <c r="J48" s="129" t="s">
        <v>1286</v>
      </c>
      <c r="K48" s="129" t="s">
        <v>1287</v>
      </c>
      <c r="L48" s="129" t="s">
        <v>1039</v>
      </c>
      <c r="M48" s="129" t="s">
        <v>1288</v>
      </c>
      <c r="N48" s="129">
        <v>345</v>
      </c>
      <c r="O48" s="129" t="s">
        <v>1429</v>
      </c>
      <c r="P48" s="129" t="s">
        <v>73</v>
      </c>
      <c r="Q48" s="129">
        <v>2</v>
      </c>
      <c r="R48" s="129">
        <f t="shared" si="0"/>
        <v>51.75</v>
      </c>
      <c r="S48" s="129">
        <f t="shared" si="1"/>
        <v>34.5</v>
      </c>
      <c r="T48" s="129">
        <f t="shared" si="2"/>
        <v>17.25</v>
      </c>
      <c r="U48" s="151">
        <v>1030101183</v>
      </c>
    </row>
    <row r="49" spans="1:21" x14ac:dyDescent="0.25">
      <c r="A49" s="129" t="s">
        <v>1290</v>
      </c>
      <c r="B49" s="129" t="s">
        <v>1329</v>
      </c>
      <c r="C49" s="129">
        <v>215982</v>
      </c>
      <c r="D49" s="129" t="s">
        <v>1436</v>
      </c>
      <c r="E49" s="150">
        <v>1030100392</v>
      </c>
      <c r="F49" s="129" t="s">
        <v>1436</v>
      </c>
      <c r="G49" s="129">
        <v>3393670000027</v>
      </c>
      <c r="H49" s="129" t="s">
        <v>1184</v>
      </c>
      <c r="I49" s="129" t="s">
        <v>1437</v>
      </c>
      <c r="J49" s="129" t="s">
        <v>1286</v>
      </c>
      <c r="K49" s="129" t="s">
        <v>1287</v>
      </c>
      <c r="L49" s="129" t="s">
        <v>990</v>
      </c>
      <c r="M49" s="129" t="s">
        <v>1288</v>
      </c>
      <c r="N49" s="129">
        <v>109</v>
      </c>
      <c r="O49" s="129" t="s">
        <v>1438</v>
      </c>
      <c r="P49" s="129" t="s">
        <v>73</v>
      </c>
      <c r="Q49" s="129">
        <v>2</v>
      </c>
      <c r="R49" s="129">
        <f t="shared" si="0"/>
        <v>16.349999999999998</v>
      </c>
      <c r="S49" s="129">
        <f t="shared" si="1"/>
        <v>10.9</v>
      </c>
      <c r="T49" s="129">
        <f t="shared" si="2"/>
        <v>5.4499999999999975</v>
      </c>
      <c r="U49" s="151">
        <v>1030100392</v>
      </c>
    </row>
    <row r="50" spans="1:21" x14ac:dyDescent="0.25">
      <c r="A50" s="129" t="s">
        <v>1290</v>
      </c>
      <c r="B50" s="129" t="s">
        <v>1291</v>
      </c>
      <c r="C50" s="129">
        <v>215774</v>
      </c>
      <c r="D50" s="129" t="s">
        <v>1439</v>
      </c>
      <c r="E50" s="150">
        <v>1030106784</v>
      </c>
      <c r="F50" s="129" t="s">
        <v>1439</v>
      </c>
      <c r="G50" s="129">
        <v>3274872330139</v>
      </c>
      <c r="H50" s="129" t="s">
        <v>1144</v>
      </c>
      <c r="I50" s="129" t="s">
        <v>1440</v>
      </c>
      <c r="J50" s="129" t="s">
        <v>1286</v>
      </c>
      <c r="K50" s="129" t="s">
        <v>1287</v>
      </c>
      <c r="L50" s="129" t="s">
        <v>990</v>
      </c>
      <c r="M50" s="129" t="s">
        <v>1288</v>
      </c>
      <c r="N50" s="129">
        <v>305</v>
      </c>
      <c r="O50" s="129" t="s">
        <v>1441</v>
      </c>
      <c r="P50" s="129" t="s">
        <v>73</v>
      </c>
      <c r="Q50" s="129">
        <v>3</v>
      </c>
      <c r="R50" s="129">
        <f t="shared" si="0"/>
        <v>45.75</v>
      </c>
      <c r="S50" s="129">
        <f t="shared" si="1"/>
        <v>30.5</v>
      </c>
      <c r="T50" s="129">
        <f t="shared" si="2"/>
        <v>15.25</v>
      </c>
      <c r="U50" s="151">
        <v>1030106784</v>
      </c>
    </row>
    <row r="51" spans="1:21" x14ac:dyDescent="0.25">
      <c r="A51" s="129" t="s">
        <v>1290</v>
      </c>
      <c r="B51" s="129" t="s">
        <v>1291</v>
      </c>
      <c r="C51" s="129">
        <v>215769</v>
      </c>
      <c r="D51" s="129" t="s">
        <v>1442</v>
      </c>
      <c r="E51" s="150">
        <v>1030106561</v>
      </c>
      <c r="F51" s="129" t="s">
        <v>1442</v>
      </c>
      <c r="G51" s="129">
        <v>3349668536511</v>
      </c>
      <c r="H51" s="129" t="s">
        <v>1297</v>
      </c>
      <c r="I51" s="129" t="s">
        <v>1443</v>
      </c>
      <c r="J51" s="129" t="s">
        <v>1286</v>
      </c>
      <c r="K51" s="129" t="s">
        <v>1287</v>
      </c>
      <c r="L51" s="129" t="s">
        <v>1039</v>
      </c>
      <c r="M51" s="129" t="s">
        <v>1288</v>
      </c>
      <c r="N51" s="129">
        <v>295</v>
      </c>
      <c r="O51" s="129" t="s">
        <v>1444</v>
      </c>
      <c r="P51" s="129" t="s">
        <v>73</v>
      </c>
      <c r="Q51" s="129">
        <v>2</v>
      </c>
      <c r="R51" s="129">
        <f t="shared" si="0"/>
        <v>44.25</v>
      </c>
      <c r="S51" s="129">
        <f t="shared" si="1"/>
        <v>29.5</v>
      </c>
      <c r="T51" s="129">
        <f t="shared" si="2"/>
        <v>14.75</v>
      </c>
      <c r="U51" s="151">
        <v>1030106561</v>
      </c>
    </row>
    <row r="52" spans="1:21" x14ac:dyDescent="0.25">
      <c r="A52" s="129" t="s">
        <v>1290</v>
      </c>
      <c r="B52" s="129" t="s">
        <v>1291</v>
      </c>
      <c r="C52" s="129">
        <v>215685</v>
      </c>
      <c r="D52" s="129" t="s">
        <v>1445</v>
      </c>
      <c r="E52" s="150">
        <v>1030100688</v>
      </c>
      <c r="F52" s="129" t="s">
        <v>1445</v>
      </c>
      <c r="G52" s="129">
        <v>3605520380310</v>
      </c>
      <c r="H52" s="129" t="s">
        <v>1004</v>
      </c>
      <c r="I52" s="129" t="s">
        <v>1446</v>
      </c>
      <c r="J52" s="129" t="s">
        <v>1286</v>
      </c>
      <c r="K52" s="129" t="s">
        <v>1287</v>
      </c>
      <c r="L52" s="129" t="s">
        <v>990</v>
      </c>
      <c r="M52" s="129" t="s">
        <v>1288</v>
      </c>
      <c r="N52" s="129">
        <v>290</v>
      </c>
      <c r="O52" s="129" t="s">
        <v>1447</v>
      </c>
      <c r="P52" s="129" t="s">
        <v>73</v>
      </c>
      <c r="Q52" s="129">
        <v>2</v>
      </c>
      <c r="R52" s="129">
        <f t="shared" si="0"/>
        <v>43.5</v>
      </c>
      <c r="S52" s="129">
        <f t="shared" si="1"/>
        <v>29</v>
      </c>
      <c r="T52" s="129">
        <f t="shared" si="2"/>
        <v>14.5</v>
      </c>
      <c r="U52" s="151">
        <v>1030100688</v>
      </c>
    </row>
    <row r="53" spans="1:21" x14ac:dyDescent="0.25">
      <c r="A53" s="129" t="s">
        <v>1290</v>
      </c>
      <c r="B53" s="129" t="s">
        <v>1291</v>
      </c>
      <c r="C53" s="129">
        <v>215835</v>
      </c>
      <c r="D53" s="129" t="s">
        <v>1448</v>
      </c>
      <c r="E53" s="150">
        <v>1030100962</v>
      </c>
      <c r="F53" s="129" t="s">
        <v>1448</v>
      </c>
      <c r="G53" s="129">
        <v>3439602820117</v>
      </c>
      <c r="H53" s="129" t="s">
        <v>1449</v>
      </c>
      <c r="I53" s="129" t="s">
        <v>1450</v>
      </c>
      <c r="J53" s="129" t="s">
        <v>1286</v>
      </c>
      <c r="K53" s="129" t="s">
        <v>1287</v>
      </c>
      <c r="L53" s="129" t="s">
        <v>990</v>
      </c>
      <c r="M53" s="129" t="s">
        <v>1288</v>
      </c>
      <c r="N53" s="129">
        <v>270</v>
      </c>
      <c r="O53" s="129" t="s">
        <v>1336</v>
      </c>
      <c r="P53" s="129" t="s">
        <v>73</v>
      </c>
      <c r="Q53" s="129">
        <v>2</v>
      </c>
      <c r="R53" s="129">
        <f t="shared" si="0"/>
        <v>40.5</v>
      </c>
      <c r="S53" s="129">
        <f t="shared" si="1"/>
        <v>27</v>
      </c>
      <c r="T53" s="129">
        <f t="shared" si="2"/>
        <v>13.5</v>
      </c>
      <c r="U53" s="151">
        <v>1030100962</v>
      </c>
    </row>
    <row r="54" spans="1:21" x14ac:dyDescent="0.25">
      <c r="A54" s="129" t="s">
        <v>1290</v>
      </c>
      <c r="B54" s="129" t="s">
        <v>1291</v>
      </c>
      <c r="C54" s="129">
        <v>215843</v>
      </c>
      <c r="D54" s="129" t="s">
        <v>1451</v>
      </c>
      <c r="E54" s="150">
        <v>1030104571</v>
      </c>
      <c r="F54" s="129" t="s">
        <v>1451</v>
      </c>
      <c r="G54" s="129">
        <v>3346132301231</v>
      </c>
      <c r="H54" s="129" t="s">
        <v>1102</v>
      </c>
      <c r="I54" s="129" t="s">
        <v>1452</v>
      </c>
      <c r="J54" s="129" t="s">
        <v>1286</v>
      </c>
      <c r="K54" s="129" t="s">
        <v>1287</v>
      </c>
      <c r="L54" s="129" t="s">
        <v>990</v>
      </c>
      <c r="M54" s="129" t="s">
        <v>1288</v>
      </c>
      <c r="N54" s="129">
        <v>299</v>
      </c>
      <c r="O54" s="129" t="s">
        <v>1441</v>
      </c>
      <c r="P54" s="129" t="s">
        <v>73</v>
      </c>
      <c r="Q54" s="129">
        <v>3</v>
      </c>
      <c r="R54" s="129">
        <f t="shared" si="0"/>
        <v>44.85</v>
      </c>
      <c r="S54" s="129">
        <f t="shared" si="1"/>
        <v>29.900000000000002</v>
      </c>
      <c r="T54" s="129">
        <f t="shared" si="2"/>
        <v>14.95</v>
      </c>
      <c r="U54" s="151">
        <v>1030104571</v>
      </c>
    </row>
    <row r="55" spans="1:21" x14ac:dyDescent="0.25">
      <c r="A55" s="129" t="s">
        <v>1341</v>
      </c>
      <c r="B55" s="129" t="s">
        <v>1342</v>
      </c>
      <c r="C55" s="129">
        <v>219316</v>
      </c>
      <c r="D55" s="129" t="s">
        <v>1453</v>
      </c>
      <c r="E55" s="150">
        <v>1030106792</v>
      </c>
      <c r="F55" s="129" t="s">
        <v>1453</v>
      </c>
      <c r="G55" s="129" t="s">
        <v>1454</v>
      </c>
      <c r="H55" s="129" t="s">
        <v>1293</v>
      </c>
      <c r="I55" s="129" t="s">
        <v>1455</v>
      </c>
      <c r="J55" s="129" t="s">
        <v>1286</v>
      </c>
      <c r="K55" s="129" t="s">
        <v>1287</v>
      </c>
      <c r="L55" s="129" t="s">
        <v>990</v>
      </c>
      <c r="M55" s="129" t="s">
        <v>1288</v>
      </c>
      <c r="N55" s="129">
        <v>290</v>
      </c>
      <c r="O55" s="129" t="s">
        <v>1456</v>
      </c>
      <c r="P55" s="129" t="s">
        <v>73</v>
      </c>
      <c r="Q55" s="129">
        <v>2</v>
      </c>
      <c r="R55" s="129">
        <f t="shared" si="0"/>
        <v>43.5</v>
      </c>
      <c r="S55" s="129">
        <f t="shared" si="1"/>
        <v>29</v>
      </c>
      <c r="T55" s="129">
        <f t="shared" si="2"/>
        <v>14.5</v>
      </c>
      <c r="U55" s="151">
        <v>1030106792</v>
      </c>
    </row>
    <row r="56" spans="1:21" x14ac:dyDescent="0.25">
      <c r="A56" s="129" t="s">
        <v>1290</v>
      </c>
      <c r="B56" s="129" t="s">
        <v>1329</v>
      </c>
      <c r="C56" s="129">
        <v>215901</v>
      </c>
      <c r="D56" s="129" t="s">
        <v>1457</v>
      </c>
      <c r="E56" s="150">
        <v>1030110621</v>
      </c>
      <c r="F56" s="129" t="s">
        <v>1457</v>
      </c>
      <c r="G56" s="129">
        <v>8411061083659</v>
      </c>
      <c r="H56" s="129" t="s">
        <v>1066</v>
      </c>
      <c r="I56" s="129" t="s">
        <v>1458</v>
      </c>
      <c r="J56" s="129" t="s">
        <v>1286</v>
      </c>
      <c r="K56" s="129" t="s">
        <v>1287</v>
      </c>
      <c r="L56" s="129" t="s">
        <v>990</v>
      </c>
      <c r="M56" s="129" t="s">
        <v>1288</v>
      </c>
      <c r="N56" s="129">
        <v>419</v>
      </c>
      <c r="O56" s="129" t="s">
        <v>1459</v>
      </c>
      <c r="P56" s="129" t="s">
        <v>73</v>
      </c>
      <c r="Q56" s="129">
        <v>2</v>
      </c>
      <c r="R56" s="129">
        <f t="shared" si="0"/>
        <v>62.849999999999994</v>
      </c>
      <c r="S56" s="129">
        <f t="shared" si="1"/>
        <v>41.900000000000006</v>
      </c>
      <c r="T56" s="129">
        <f t="shared" si="2"/>
        <v>20.949999999999989</v>
      </c>
      <c r="U56" s="151">
        <v>1030110621</v>
      </c>
    </row>
    <row r="57" spans="1:21" x14ac:dyDescent="0.25">
      <c r="A57" s="129" t="s">
        <v>1290</v>
      </c>
      <c r="B57" s="129" t="s">
        <v>1291</v>
      </c>
      <c r="C57" s="129">
        <v>215624</v>
      </c>
      <c r="D57" s="129" t="s">
        <v>1460</v>
      </c>
      <c r="E57" s="150">
        <v>1030103986</v>
      </c>
      <c r="F57" s="129" t="s">
        <v>1460</v>
      </c>
      <c r="G57" s="129">
        <v>3349668508570</v>
      </c>
      <c r="H57" s="129" t="s">
        <v>1297</v>
      </c>
      <c r="I57" s="129" t="s">
        <v>1461</v>
      </c>
      <c r="J57" s="129" t="s">
        <v>1286</v>
      </c>
      <c r="K57" s="129" t="s">
        <v>1287</v>
      </c>
      <c r="L57" s="129" t="s">
        <v>990</v>
      </c>
      <c r="M57" s="129" t="s">
        <v>1288</v>
      </c>
      <c r="N57" s="129">
        <v>279</v>
      </c>
      <c r="O57" s="129" t="s">
        <v>1336</v>
      </c>
      <c r="P57" s="129" t="s">
        <v>73</v>
      </c>
      <c r="Q57" s="129">
        <v>3</v>
      </c>
      <c r="R57" s="129">
        <f t="shared" si="0"/>
        <v>41.85</v>
      </c>
      <c r="S57" s="129">
        <f t="shared" si="1"/>
        <v>27.900000000000002</v>
      </c>
      <c r="T57" s="129">
        <f t="shared" si="2"/>
        <v>13.95</v>
      </c>
      <c r="U57" s="151">
        <v>1030103986</v>
      </c>
    </row>
    <row r="58" spans="1:21" x14ac:dyDescent="0.25">
      <c r="A58" s="129" t="s">
        <v>1290</v>
      </c>
      <c r="B58" s="129" t="s">
        <v>1329</v>
      </c>
      <c r="C58" s="129">
        <v>215984</v>
      </c>
      <c r="D58" s="129" t="s">
        <v>1013</v>
      </c>
      <c r="E58" s="150">
        <v>1030104308</v>
      </c>
      <c r="F58" s="129" t="s">
        <v>1013</v>
      </c>
      <c r="G58" s="129">
        <v>3423478840652</v>
      </c>
      <c r="H58" s="129" t="s">
        <v>1009</v>
      </c>
      <c r="I58" s="129" t="s">
        <v>1462</v>
      </c>
      <c r="J58" s="129" t="s">
        <v>1286</v>
      </c>
      <c r="K58" s="129" t="s">
        <v>1287</v>
      </c>
      <c r="L58" s="129" t="s">
        <v>990</v>
      </c>
      <c r="M58" s="129" t="s">
        <v>1288</v>
      </c>
      <c r="N58" s="129">
        <v>222</v>
      </c>
      <c r="O58" s="129" t="s">
        <v>1463</v>
      </c>
      <c r="P58" s="129" t="s">
        <v>73</v>
      </c>
      <c r="Q58" s="129">
        <v>2</v>
      </c>
      <c r="R58" s="129">
        <f t="shared" si="0"/>
        <v>33.299999999999997</v>
      </c>
      <c r="S58" s="129">
        <f t="shared" si="1"/>
        <v>22.200000000000003</v>
      </c>
      <c r="T58" s="129">
        <f t="shared" si="2"/>
        <v>11.099999999999994</v>
      </c>
      <c r="U58" s="151">
        <v>1030104308</v>
      </c>
    </row>
    <row r="59" spans="1:21" x14ac:dyDescent="0.25">
      <c r="A59" s="129" t="s">
        <v>1281</v>
      </c>
      <c r="B59" s="129" t="s">
        <v>1282</v>
      </c>
      <c r="C59" s="129">
        <v>214802</v>
      </c>
      <c r="D59" s="129" t="s">
        <v>1464</v>
      </c>
      <c r="E59" s="150">
        <v>1030104702</v>
      </c>
      <c r="F59" s="129" t="s">
        <v>1464</v>
      </c>
      <c r="G59" s="129" t="s">
        <v>1465</v>
      </c>
      <c r="H59" s="129" t="s">
        <v>1293</v>
      </c>
      <c r="I59" s="129" t="s">
        <v>1466</v>
      </c>
      <c r="J59" s="129" t="s">
        <v>1286</v>
      </c>
      <c r="K59" s="129" t="s">
        <v>1287</v>
      </c>
      <c r="L59" s="129" t="s">
        <v>990</v>
      </c>
      <c r="M59" s="129" t="s">
        <v>1288</v>
      </c>
      <c r="N59" s="129">
        <v>289</v>
      </c>
      <c r="O59" s="129" t="s">
        <v>1467</v>
      </c>
      <c r="P59" s="129" t="s">
        <v>73</v>
      </c>
      <c r="Q59" s="129">
        <v>2</v>
      </c>
      <c r="R59" s="129">
        <f t="shared" si="0"/>
        <v>43.35</v>
      </c>
      <c r="S59" s="129">
        <f t="shared" si="1"/>
        <v>28.900000000000002</v>
      </c>
      <c r="T59" s="129">
        <f t="shared" si="2"/>
        <v>14.45</v>
      </c>
      <c r="U59" s="151">
        <v>1030104702</v>
      </c>
    </row>
    <row r="60" spans="1:21" x14ac:dyDescent="0.25">
      <c r="A60" s="129" t="s">
        <v>1290</v>
      </c>
      <c r="B60" s="129" t="s">
        <v>1329</v>
      </c>
      <c r="C60" s="129">
        <v>215956</v>
      </c>
      <c r="D60" s="129" t="s">
        <v>1468</v>
      </c>
      <c r="E60" s="150">
        <v>1030106481</v>
      </c>
      <c r="F60" s="129" t="s">
        <v>1468</v>
      </c>
      <c r="G60" s="129">
        <v>737052957036</v>
      </c>
      <c r="H60" s="129" t="s">
        <v>1469</v>
      </c>
      <c r="I60" s="129" t="s">
        <v>1470</v>
      </c>
      <c r="J60" s="129" t="s">
        <v>1286</v>
      </c>
      <c r="K60" s="129" t="s">
        <v>1287</v>
      </c>
      <c r="L60" s="129" t="s">
        <v>1039</v>
      </c>
      <c r="M60" s="129" t="s">
        <v>1288</v>
      </c>
      <c r="N60" s="129">
        <v>270</v>
      </c>
      <c r="O60" s="129" t="s">
        <v>1358</v>
      </c>
      <c r="P60" s="129" t="s">
        <v>73</v>
      </c>
      <c r="Q60" s="129">
        <v>2</v>
      </c>
      <c r="R60" s="129">
        <f t="shared" si="0"/>
        <v>40.5</v>
      </c>
      <c r="S60" s="129">
        <f t="shared" si="1"/>
        <v>27</v>
      </c>
      <c r="T60" s="129">
        <f t="shared" si="2"/>
        <v>13.5</v>
      </c>
      <c r="U60" s="151">
        <v>1030106481</v>
      </c>
    </row>
    <row r="61" spans="1:21" x14ac:dyDescent="0.25">
      <c r="A61" s="129" t="s">
        <v>1281</v>
      </c>
      <c r="B61" s="129" t="s">
        <v>1282</v>
      </c>
      <c r="C61" s="129">
        <v>215035</v>
      </c>
      <c r="D61" s="129" t="s">
        <v>1471</v>
      </c>
      <c r="E61" s="150">
        <v>1030110137</v>
      </c>
      <c r="F61" s="129" t="s">
        <v>1471</v>
      </c>
      <c r="G61" s="129">
        <v>3614273336383</v>
      </c>
      <c r="H61" s="129" t="s">
        <v>1004</v>
      </c>
      <c r="I61" s="129" t="s">
        <v>1472</v>
      </c>
      <c r="J61" s="129" t="s">
        <v>1286</v>
      </c>
      <c r="K61" s="129" t="s">
        <v>1287</v>
      </c>
      <c r="L61" s="129" t="s">
        <v>990</v>
      </c>
      <c r="M61" s="129" t="s">
        <v>1288</v>
      </c>
      <c r="N61" s="129">
        <v>325</v>
      </c>
      <c r="O61" s="129" t="s">
        <v>1473</v>
      </c>
      <c r="P61" s="129" t="s">
        <v>73</v>
      </c>
      <c r="Q61" s="129">
        <v>2</v>
      </c>
      <c r="R61" s="129">
        <f t="shared" si="0"/>
        <v>48.75</v>
      </c>
      <c r="S61" s="129">
        <f t="shared" si="1"/>
        <v>32.5</v>
      </c>
      <c r="T61" s="129">
        <f t="shared" si="2"/>
        <v>16.25</v>
      </c>
      <c r="U61" s="151">
        <v>1030110137</v>
      </c>
    </row>
    <row r="62" spans="1:21" x14ac:dyDescent="0.25">
      <c r="A62" s="129" t="s">
        <v>1290</v>
      </c>
      <c r="B62" s="129" t="s">
        <v>1291</v>
      </c>
      <c r="C62" s="129">
        <v>215765</v>
      </c>
      <c r="D62" s="129" t="s">
        <v>1474</v>
      </c>
      <c r="E62" s="150">
        <v>1030106388</v>
      </c>
      <c r="F62" s="129" t="s">
        <v>1474</v>
      </c>
      <c r="G62" s="129">
        <v>3607342831773</v>
      </c>
      <c r="H62" s="129" t="s">
        <v>1061</v>
      </c>
      <c r="I62" s="129" t="s">
        <v>1475</v>
      </c>
      <c r="J62" s="129" t="s">
        <v>1286</v>
      </c>
      <c r="K62" s="129" t="s">
        <v>1287</v>
      </c>
      <c r="L62" s="129" t="s">
        <v>990</v>
      </c>
      <c r="M62" s="129" t="s">
        <v>1288</v>
      </c>
      <c r="N62" s="129">
        <v>249</v>
      </c>
      <c r="O62" s="129" t="s">
        <v>1476</v>
      </c>
      <c r="P62" s="129" t="s">
        <v>73</v>
      </c>
      <c r="Q62" s="129">
        <v>2</v>
      </c>
      <c r="R62" s="129">
        <f t="shared" si="0"/>
        <v>37.35</v>
      </c>
      <c r="S62" s="129">
        <f t="shared" si="1"/>
        <v>24.900000000000002</v>
      </c>
      <c r="T62" s="129">
        <f t="shared" si="2"/>
        <v>12.45</v>
      </c>
      <c r="U62" s="151">
        <v>1030106388</v>
      </c>
    </row>
    <row r="63" spans="1:21" x14ac:dyDescent="0.25">
      <c r="A63" s="129" t="s">
        <v>1290</v>
      </c>
      <c r="B63" s="129" t="s">
        <v>1329</v>
      </c>
      <c r="C63" s="129">
        <v>215965</v>
      </c>
      <c r="D63" s="129" t="s">
        <v>1081</v>
      </c>
      <c r="E63" s="150">
        <v>1030109521</v>
      </c>
      <c r="F63" s="129" t="s">
        <v>1081</v>
      </c>
      <c r="G63" s="129">
        <v>3346470133150</v>
      </c>
      <c r="H63" s="129" t="s">
        <v>998</v>
      </c>
      <c r="I63" s="129" t="s">
        <v>1477</v>
      </c>
      <c r="J63" s="129" t="s">
        <v>1286</v>
      </c>
      <c r="K63" s="129" t="s">
        <v>1287</v>
      </c>
      <c r="L63" s="129" t="s">
        <v>990</v>
      </c>
      <c r="M63" s="129" t="s">
        <v>1288</v>
      </c>
      <c r="N63" s="129">
        <v>425</v>
      </c>
      <c r="O63" s="129" t="s">
        <v>1478</v>
      </c>
      <c r="P63" s="129" t="s">
        <v>73</v>
      </c>
      <c r="Q63" s="129">
        <v>2</v>
      </c>
      <c r="R63" s="129">
        <f t="shared" si="0"/>
        <v>63.75</v>
      </c>
      <c r="S63" s="129">
        <f t="shared" si="1"/>
        <v>42.5</v>
      </c>
      <c r="T63" s="129">
        <f t="shared" si="2"/>
        <v>21.25</v>
      </c>
      <c r="U63" s="151">
        <v>1030109521</v>
      </c>
    </row>
    <row r="64" spans="1:21" x14ac:dyDescent="0.25">
      <c r="A64" s="129" t="s">
        <v>1290</v>
      </c>
      <c r="B64" s="129" t="s">
        <v>1291</v>
      </c>
      <c r="C64" s="129">
        <v>215846</v>
      </c>
      <c r="D64" s="129" t="s">
        <v>1479</v>
      </c>
      <c r="E64" s="150">
        <v>1030105910</v>
      </c>
      <c r="F64" s="129" t="s">
        <v>1479</v>
      </c>
      <c r="G64" s="129">
        <v>8011003817979</v>
      </c>
      <c r="H64" s="129" t="s">
        <v>1480</v>
      </c>
      <c r="I64" s="129" t="s">
        <v>1481</v>
      </c>
      <c r="J64" s="129" t="s">
        <v>1286</v>
      </c>
      <c r="K64" s="129" t="s">
        <v>1287</v>
      </c>
      <c r="L64" s="129" t="s">
        <v>990</v>
      </c>
      <c r="M64" s="129" t="s">
        <v>1288</v>
      </c>
      <c r="N64" s="129">
        <v>260</v>
      </c>
      <c r="O64" s="129" t="s">
        <v>1482</v>
      </c>
      <c r="P64" s="129" t="s">
        <v>73</v>
      </c>
      <c r="Q64" s="129">
        <v>2</v>
      </c>
      <c r="R64" s="129">
        <f t="shared" si="0"/>
        <v>39</v>
      </c>
      <c r="S64" s="129">
        <f t="shared" si="1"/>
        <v>26</v>
      </c>
      <c r="T64" s="129">
        <f t="shared" si="2"/>
        <v>13</v>
      </c>
      <c r="U64" s="151">
        <v>1030105910</v>
      </c>
    </row>
    <row r="65" spans="1:21" x14ac:dyDescent="0.25">
      <c r="A65" s="129" t="s">
        <v>1290</v>
      </c>
      <c r="B65" s="129" t="s">
        <v>1329</v>
      </c>
      <c r="C65" s="129">
        <v>215903</v>
      </c>
      <c r="D65" s="129" t="s">
        <v>1483</v>
      </c>
      <c r="E65" s="150">
        <v>1030110985</v>
      </c>
      <c r="F65" s="129" t="s">
        <v>1483</v>
      </c>
      <c r="G65" s="129">
        <v>8435415076838</v>
      </c>
      <c r="H65" s="129" t="s">
        <v>1338</v>
      </c>
      <c r="I65" s="129" t="s">
        <v>1484</v>
      </c>
      <c r="J65" s="129" t="s">
        <v>1286</v>
      </c>
      <c r="K65" s="129" t="s">
        <v>1287</v>
      </c>
      <c r="L65" s="129" t="s">
        <v>990</v>
      </c>
      <c r="M65" s="129" t="s">
        <v>1288</v>
      </c>
      <c r="N65" s="129">
        <v>379</v>
      </c>
      <c r="O65" s="129" t="s">
        <v>1485</v>
      </c>
      <c r="P65" s="129" t="s">
        <v>73</v>
      </c>
      <c r="Q65" s="129">
        <v>2</v>
      </c>
      <c r="R65" s="129">
        <f t="shared" si="0"/>
        <v>56.85</v>
      </c>
      <c r="S65" s="129">
        <f t="shared" si="1"/>
        <v>37.9</v>
      </c>
      <c r="T65" s="129">
        <f t="shared" si="2"/>
        <v>18.950000000000003</v>
      </c>
      <c r="U65" s="151">
        <v>1030110985</v>
      </c>
    </row>
    <row r="66" spans="1:21" x14ac:dyDescent="0.25">
      <c r="A66" s="129" t="s">
        <v>1290</v>
      </c>
      <c r="B66" s="129" t="s">
        <v>1329</v>
      </c>
      <c r="C66" s="129">
        <v>215951</v>
      </c>
      <c r="D66" s="129" t="s">
        <v>1486</v>
      </c>
      <c r="E66" s="150">
        <v>1030111036</v>
      </c>
      <c r="F66" s="129" t="s">
        <v>1486</v>
      </c>
      <c r="G66" s="129">
        <v>3386460156875</v>
      </c>
      <c r="H66" s="129" t="s">
        <v>1366</v>
      </c>
      <c r="I66" s="129" t="s">
        <v>1487</v>
      </c>
      <c r="J66" s="129" t="s">
        <v>1286</v>
      </c>
      <c r="K66" s="129" t="s">
        <v>1287</v>
      </c>
      <c r="L66" s="129" t="s">
        <v>990</v>
      </c>
      <c r="M66" s="129" t="s">
        <v>1288</v>
      </c>
      <c r="N66" s="129">
        <v>200</v>
      </c>
      <c r="O66" s="129" t="s">
        <v>1368</v>
      </c>
      <c r="P66" s="129" t="s">
        <v>73</v>
      </c>
      <c r="Q66" s="129">
        <v>2</v>
      </c>
      <c r="R66" s="129">
        <f t="shared" si="0"/>
        <v>30</v>
      </c>
      <c r="S66" s="129">
        <f t="shared" si="1"/>
        <v>20</v>
      </c>
      <c r="T66" s="129">
        <f t="shared" si="2"/>
        <v>10</v>
      </c>
      <c r="U66" s="151">
        <v>1030111036</v>
      </c>
    </row>
    <row r="67" spans="1:21" x14ac:dyDescent="0.25">
      <c r="A67" s="129" t="s">
        <v>1290</v>
      </c>
      <c r="B67" s="129" t="s">
        <v>1329</v>
      </c>
      <c r="C67" s="129">
        <v>215970</v>
      </c>
      <c r="D67" s="129" t="s">
        <v>1488</v>
      </c>
      <c r="E67" s="150">
        <v>1030109413</v>
      </c>
      <c r="F67" s="129" t="s">
        <v>1488</v>
      </c>
      <c r="G67" s="129">
        <v>8005610524146</v>
      </c>
      <c r="H67" s="129" t="s">
        <v>1128</v>
      </c>
      <c r="I67" s="129" t="s">
        <v>1489</v>
      </c>
      <c r="J67" s="129" t="s">
        <v>1286</v>
      </c>
      <c r="K67" s="129" t="s">
        <v>1287</v>
      </c>
      <c r="L67" s="129" t="s">
        <v>990</v>
      </c>
      <c r="M67" s="129" t="s">
        <v>1288</v>
      </c>
      <c r="N67" s="129">
        <v>239</v>
      </c>
      <c r="O67" s="129" t="s">
        <v>1490</v>
      </c>
      <c r="P67" s="129" t="s">
        <v>73</v>
      </c>
      <c r="Q67" s="129">
        <v>2</v>
      </c>
      <c r="R67" s="129">
        <f t="shared" ref="R67:R101" si="3">N67*15%</f>
        <v>35.85</v>
      </c>
      <c r="S67" s="129">
        <f t="shared" ref="S67:S101" si="4">N67*10%</f>
        <v>23.900000000000002</v>
      </c>
      <c r="T67" s="129">
        <f t="shared" ref="T67:T101" si="5">R67-S67</f>
        <v>11.95</v>
      </c>
      <c r="U67" s="151">
        <v>1030109413</v>
      </c>
    </row>
    <row r="68" spans="1:21" x14ac:dyDescent="0.25">
      <c r="A68" s="129" t="s">
        <v>1281</v>
      </c>
      <c r="B68" s="129" t="s">
        <v>1282</v>
      </c>
      <c r="C68" s="129">
        <v>214823</v>
      </c>
      <c r="D68" s="129" t="s">
        <v>1028</v>
      </c>
      <c r="E68" s="150">
        <v>1030110480</v>
      </c>
      <c r="F68" s="129" t="s">
        <v>1028</v>
      </c>
      <c r="G68" s="129">
        <v>3614274114645</v>
      </c>
      <c r="H68" s="129" t="s">
        <v>1029</v>
      </c>
      <c r="I68" s="129" t="s">
        <v>1491</v>
      </c>
      <c r="J68" s="129" t="s">
        <v>1286</v>
      </c>
      <c r="K68" s="129" t="s">
        <v>1287</v>
      </c>
      <c r="L68" s="129" t="s">
        <v>1031</v>
      </c>
      <c r="M68" s="129" t="s">
        <v>1288</v>
      </c>
      <c r="N68" s="129">
        <v>385</v>
      </c>
      <c r="O68" s="129" t="s">
        <v>1492</v>
      </c>
      <c r="P68" s="129" t="s">
        <v>73</v>
      </c>
      <c r="Q68" s="129">
        <v>2</v>
      </c>
      <c r="R68" s="129">
        <f t="shared" si="3"/>
        <v>57.75</v>
      </c>
      <c r="S68" s="129">
        <f t="shared" si="4"/>
        <v>38.5</v>
      </c>
      <c r="T68" s="129">
        <f t="shared" si="5"/>
        <v>19.25</v>
      </c>
      <c r="U68" s="151">
        <v>1030110480</v>
      </c>
    </row>
    <row r="69" spans="1:21" x14ac:dyDescent="0.25">
      <c r="A69" s="129" t="s">
        <v>1281</v>
      </c>
      <c r="B69" s="129" t="s">
        <v>1282</v>
      </c>
      <c r="C69" s="129">
        <v>214892</v>
      </c>
      <c r="D69" s="129" t="s">
        <v>1493</v>
      </c>
      <c r="E69" s="150">
        <v>1030110492</v>
      </c>
      <c r="F69" s="129" t="s">
        <v>1493</v>
      </c>
      <c r="G69" s="129">
        <v>8435415062190</v>
      </c>
      <c r="H69" s="129" t="s">
        <v>1338</v>
      </c>
      <c r="I69" s="129" t="s">
        <v>1494</v>
      </c>
      <c r="J69" s="129" t="s">
        <v>1286</v>
      </c>
      <c r="K69" s="129" t="s">
        <v>1287</v>
      </c>
      <c r="L69" s="129" t="s">
        <v>990</v>
      </c>
      <c r="M69" s="129" t="s">
        <v>1288</v>
      </c>
      <c r="N69" s="129">
        <v>395</v>
      </c>
      <c r="O69" s="129" t="s">
        <v>1495</v>
      </c>
      <c r="P69" s="129" t="s">
        <v>73</v>
      </c>
      <c r="Q69" s="129">
        <v>2</v>
      </c>
      <c r="R69" s="129">
        <f t="shared" si="3"/>
        <v>59.25</v>
      </c>
      <c r="S69" s="129">
        <f t="shared" si="4"/>
        <v>39.5</v>
      </c>
      <c r="T69" s="129">
        <f t="shared" si="5"/>
        <v>19.75</v>
      </c>
      <c r="U69" s="151">
        <v>1030110492</v>
      </c>
    </row>
    <row r="70" spans="1:21" x14ac:dyDescent="0.25">
      <c r="A70" s="129" t="s">
        <v>1290</v>
      </c>
      <c r="B70" s="129" t="s">
        <v>1291</v>
      </c>
      <c r="C70" s="129">
        <v>215743</v>
      </c>
      <c r="D70" s="129" t="s">
        <v>1496</v>
      </c>
      <c r="E70" s="150">
        <v>1030104638</v>
      </c>
      <c r="F70" s="129" t="s">
        <v>1496</v>
      </c>
      <c r="G70" s="129">
        <v>3386460036474</v>
      </c>
      <c r="H70" s="129" t="s">
        <v>1497</v>
      </c>
      <c r="I70" s="129" t="s">
        <v>1498</v>
      </c>
      <c r="J70" s="129" t="s">
        <v>1286</v>
      </c>
      <c r="K70" s="129" t="s">
        <v>1287</v>
      </c>
      <c r="L70" s="129" t="s">
        <v>990</v>
      </c>
      <c r="M70" s="129" t="s">
        <v>1288</v>
      </c>
      <c r="N70" s="129">
        <v>229</v>
      </c>
      <c r="O70" s="129" t="s">
        <v>1499</v>
      </c>
      <c r="P70" s="129" t="s">
        <v>73</v>
      </c>
      <c r="Q70" s="129">
        <v>2</v>
      </c>
      <c r="R70" s="129">
        <f t="shared" si="3"/>
        <v>34.35</v>
      </c>
      <c r="S70" s="129">
        <f t="shared" si="4"/>
        <v>22.900000000000002</v>
      </c>
      <c r="T70" s="129">
        <f t="shared" si="5"/>
        <v>11.45</v>
      </c>
      <c r="U70" s="151">
        <v>1030104638</v>
      </c>
    </row>
    <row r="71" spans="1:21" x14ac:dyDescent="0.25">
      <c r="A71" s="129" t="s">
        <v>1281</v>
      </c>
      <c r="B71" s="129" t="s">
        <v>1282</v>
      </c>
      <c r="C71" s="129">
        <v>214983</v>
      </c>
      <c r="D71" s="129" t="s">
        <v>1500</v>
      </c>
      <c r="E71" s="150">
        <v>1030106714</v>
      </c>
      <c r="F71" s="129" t="s">
        <v>1500</v>
      </c>
      <c r="G71" s="129">
        <v>8052464897032</v>
      </c>
      <c r="H71" s="129" t="s">
        <v>1134</v>
      </c>
      <c r="I71" s="129" t="s">
        <v>1501</v>
      </c>
      <c r="J71" s="129" t="s">
        <v>1286</v>
      </c>
      <c r="K71" s="129" t="s">
        <v>1287</v>
      </c>
      <c r="L71" s="129" t="s">
        <v>1039</v>
      </c>
      <c r="M71" s="129" t="s">
        <v>1288</v>
      </c>
      <c r="N71" s="129">
        <v>129</v>
      </c>
      <c r="O71" s="129" t="s">
        <v>1391</v>
      </c>
      <c r="P71" s="129" t="s">
        <v>73</v>
      </c>
      <c r="Q71" s="129">
        <v>2</v>
      </c>
      <c r="R71" s="129">
        <f t="shared" si="3"/>
        <v>19.349999999999998</v>
      </c>
      <c r="S71" s="129">
        <f t="shared" si="4"/>
        <v>12.9</v>
      </c>
      <c r="T71" s="129">
        <f t="shared" si="5"/>
        <v>6.4499999999999975</v>
      </c>
      <c r="U71" s="151">
        <v>1030106714</v>
      </c>
    </row>
    <row r="72" spans="1:21" x14ac:dyDescent="0.25">
      <c r="A72" s="129" t="s">
        <v>1290</v>
      </c>
      <c r="B72" s="129" t="s">
        <v>1329</v>
      </c>
      <c r="C72" s="129">
        <v>215955</v>
      </c>
      <c r="D72" s="129" t="s">
        <v>1502</v>
      </c>
      <c r="E72" s="150">
        <v>1030106288</v>
      </c>
      <c r="F72" s="129" t="s">
        <v>1502</v>
      </c>
      <c r="G72" s="129">
        <v>719346192118</v>
      </c>
      <c r="H72" s="129" t="s">
        <v>1503</v>
      </c>
      <c r="I72" s="129" t="s">
        <v>1504</v>
      </c>
      <c r="J72" s="129" t="s">
        <v>1286</v>
      </c>
      <c r="K72" s="129" t="s">
        <v>1287</v>
      </c>
      <c r="L72" s="129" t="s">
        <v>990</v>
      </c>
      <c r="M72" s="129" t="s">
        <v>1288</v>
      </c>
      <c r="N72" s="129">
        <v>229</v>
      </c>
      <c r="O72" s="129" t="s">
        <v>1505</v>
      </c>
      <c r="P72" s="129" t="s">
        <v>73</v>
      </c>
      <c r="Q72" s="129">
        <v>2</v>
      </c>
      <c r="R72" s="129">
        <f t="shared" si="3"/>
        <v>34.35</v>
      </c>
      <c r="S72" s="129">
        <f t="shared" si="4"/>
        <v>22.900000000000002</v>
      </c>
      <c r="T72" s="129">
        <f t="shared" si="5"/>
        <v>11.45</v>
      </c>
      <c r="U72" s="151">
        <v>1030106288</v>
      </c>
    </row>
    <row r="73" spans="1:21" x14ac:dyDescent="0.25">
      <c r="A73" s="129" t="s">
        <v>1281</v>
      </c>
      <c r="B73" s="129" t="s">
        <v>1282</v>
      </c>
      <c r="C73" s="129">
        <v>214919</v>
      </c>
      <c r="D73" s="129" t="s">
        <v>1506</v>
      </c>
      <c r="E73" s="150">
        <v>1030110383</v>
      </c>
      <c r="F73" s="129" t="s">
        <v>1506</v>
      </c>
      <c r="G73" s="129">
        <v>8435415065191</v>
      </c>
      <c r="H73" s="129" t="s">
        <v>1338</v>
      </c>
      <c r="I73" s="129" t="s">
        <v>1507</v>
      </c>
      <c r="J73" s="129" t="s">
        <v>1286</v>
      </c>
      <c r="K73" s="129" t="s">
        <v>1287</v>
      </c>
      <c r="L73" s="129" t="s">
        <v>990</v>
      </c>
      <c r="M73" s="129" t="s">
        <v>1288</v>
      </c>
      <c r="N73" s="129">
        <v>305</v>
      </c>
      <c r="O73" s="129" t="s">
        <v>1508</v>
      </c>
      <c r="P73" s="129" t="s">
        <v>73</v>
      </c>
      <c r="Q73" s="129">
        <v>2</v>
      </c>
      <c r="R73" s="129">
        <f t="shared" si="3"/>
        <v>45.75</v>
      </c>
      <c r="S73" s="129">
        <f t="shared" si="4"/>
        <v>30.5</v>
      </c>
      <c r="T73" s="129">
        <f t="shared" si="5"/>
        <v>15.25</v>
      </c>
      <c r="U73" s="151">
        <v>1030110383</v>
      </c>
    </row>
    <row r="74" spans="1:21" x14ac:dyDescent="0.25">
      <c r="A74" s="129" t="s">
        <v>1290</v>
      </c>
      <c r="B74" s="129" t="s">
        <v>1329</v>
      </c>
      <c r="C74" s="129">
        <v>215917</v>
      </c>
      <c r="D74" s="129" t="s">
        <v>1509</v>
      </c>
      <c r="E74" s="150">
        <v>1030103164</v>
      </c>
      <c r="F74" s="129" t="s">
        <v>1509</v>
      </c>
      <c r="G74" s="129">
        <v>8018365250468</v>
      </c>
      <c r="H74" s="129" t="s">
        <v>1018</v>
      </c>
      <c r="I74" s="129" t="s">
        <v>1510</v>
      </c>
      <c r="J74" s="129" t="s">
        <v>1286</v>
      </c>
      <c r="K74" s="129" t="s">
        <v>1287</v>
      </c>
      <c r="L74" s="129" t="s">
        <v>990</v>
      </c>
      <c r="M74" s="129" t="s">
        <v>1288</v>
      </c>
      <c r="N74" s="129">
        <v>139</v>
      </c>
      <c r="O74" s="129" t="s">
        <v>1511</v>
      </c>
      <c r="P74" s="129" t="s">
        <v>73</v>
      </c>
      <c r="Q74" s="129">
        <v>2</v>
      </c>
      <c r="R74" s="129">
        <f t="shared" si="3"/>
        <v>20.849999999999998</v>
      </c>
      <c r="S74" s="129">
        <f t="shared" si="4"/>
        <v>13.9</v>
      </c>
      <c r="T74" s="129">
        <f t="shared" si="5"/>
        <v>6.9499999999999975</v>
      </c>
      <c r="U74" s="151">
        <v>1030103164</v>
      </c>
    </row>
    <row r="75" spans="1:21" x14ac:dyDescent="0.25">
      <c r="A75" s="129" t="s">
        <v>1281</v>
      </c>
      <c r="B75" s="129" t="s">
        <v>1282</v>
      </c>
      <c r="C75" s="129">
        <v>214994</v>
      </c>
      <c r="D75" s="129" t="s">
        <v>1512</v>
      </c>
      <c r="E75" s="150">
        <v>1030110132</v>
      </c>
      <c r="F75" s="129" t="s">
        <v>1512</v>
      </c>
      <c r="G75" s="129">
        <v>3386460118125</v>
      </c>
      <c r="H75" s="129" t="s">
        <v>1220</v>
      </c>
      <c r="I75" s="129" t="s">
        <v>1513</v>
      </c>
      <c r="J75" s="129" t="s">
        <v>1286</v>
      </c>
      <c r="K75" s="129" t="s">
        <v>1287</v>
      </c>
      <c r="L75" s="129" t="s">
        <v>990</v>
      </c>
      <c r="M75" s="129" t="s">
        <v>1288</v>
      </c>
      <c r="N75" s="129">
        <v>165</v>
      </c>
      <c r="O75" s="129" t="s">
        <v>1514</v>
      </c>
      <c r="P75" s="129" t="s">
        <v>73</v>
      </c>
      <c r="Q75" s="129">
        <v>2</v>
      </c>
      <c r="R75" s="129">
        <f t="shared" si="3"/>
        <v>24.75</v>
      </c>
      <c r="S75" s="129">
        <f t="shared" si="4"/>
        <v>16.5</v>
      </c>
      <c r="T75" s="129">
        <f t="shared" si="5"/>
        <v>8.25</v>
      </c>
      <c r="U75" s="151">
        <v>1030110132</v>
      </c>
    </row>
    <row r="76" spans="1:21" x14ac:dyDescent="0.25">
      <c r="A76" s="129" t="s">
        <v>1281</v>
      </c>
      <c r="B76" s="129" t="s">
        <v>1282</v>
      </c>
      <c r="C76" s="129">
        <v>215045</v>
      </c>
      <c r="D76" s="129" t="s">
        <v>1515</v>
      </c>
      <c r="E76" s="150">
        <v>1030104623</v>
      </c>
      <c r="F76" s="129" t="s">
        <v>1515</v>
      </c>
      <c r="G76" s="129">
        <v>8011003811274</v>
      </c>
      <c r="H76" s="129" t="s">
        <v>1018</v>
      </c>
      <c r="I76" s="129" t="s">
        <v>1516</v>
      </c>
      <c r="J76" s="129" t="s">
        <v>1286</v>
      </c>
      <c r="K76" s="129" t="s">
        <v>1287</v>
      </c>
      <c r="L76" s="129" t="s">
        <v>990</v>
      </c>
      <c r="M76" s="129" t="s">
        <v>1288</v>
      </c>
      <c r="N76" s="129">
        <v>229</v>
      </c>
      <c r="O76" s="129" t="s">
        <v>1344</v>
      </c>
      <c r="P76" s="129" t="s">
        <v>73</v>
      </c>
      <c r="Q76" s="129">
        <v>2</v>
      </c>
      <c r="R76" s="129">
        <f t="shared" si="3"/>
        <v>34.35</v>
      </c>
      <c r="S76" s="129">
        <f t="shared" si="4"/>
        <v>22.900000000000002</v>
      </c>
      <c r="T76" s="129">
        <f t="shared" si="5"/>
        <v>11.45</v>
      </c>
      <c r="U76" s="151">
        <v>1030104623</v>
      </c>
    </row>
    <row r="77" spans="1:21" x14ac:dyDescent="0.25">
      <c r="A77" s="129" t="s">
        <v>1290</v>
      </c>
      <c r="B77" s="129" t="s">
        <v>1329</v>
      </c>
      <c r="C77" s="129">
        <v>215873</v>
      </c>
      <c r="D77" s="129" t="s">
        <v>1517</v>
      </c>
      <c r="E77" s="150">
        <v>1030110140</v>
      </c>
      <c r="F77" s="129" t="s">
        <v>1517</v>
      </c>
      <c r="G77" s="129">
        <v>3423473053958</v>
      </c>
      <c r="H77" s="129" t="s">
        <v>1009</v>
      </c>
      <c r="I77" s="129" t="s">
        <v>1518</v>
      </c>
      <c r="J77" s="129" t="s">
        <v>1286</v>
      </c>
      <c r="K77" s="129" t="s">
        <v>1287</v>
      </c>
      <c r="L77" s="129" t="s">
        <v>990</v>
      </c>
      <c r="M77" s="129" t="s">
        <v>1288</v>
      </c>
      <c r="N77" s="129">
        <v>239</v>
      </c>
      <c r="O77" s="129" t="s">
        <v>1519</v>
      </c>
      <c r="P77" s="129" t="s">
        <v>73</v>
      </c>
      <c r="Q77" s="129">
        <v>2</v>
      </c>
      <c r="R77" s="129">
        <f t="shared" si="3"/>
        <v>35.85</v>
      </c>
      <c r="S77" s="129">
        <f t="shared" si="4"/>
        <v>23.900000000000002</v>
      </c>
      <c r="T77" s="129">
        <f t="shared" si="5"/>
        <v>11.95</v>
      </c>
      <c r="U77" s="151">
        <v>1030110140</v>
      </c>
    </row>
    <row r="78" spans="1:21" x14ac:dyDescent="0.25">
      <c r="A78" s="129" t="s">
        <v>1290</v>
      </c>
      <c r="B78" s="129" t="s">
        <v>1329</v>
      </c>
      <c r="C78" s="129">
        <v>215914</v>
      </c>
      <c r="D78" s="129" t="s">
        <v>1148</v>
      </c>
      <c r="E78" s="150">
        <v>1030102362</v>
      </c>
      <c r="F78" s="129" t="s">
        <v>1148</v>
      </c>
      <c r="G78" s="129">
        <v>8057971180400</v>
      </c>
      <c r="H78" s="129" t="s">
        <v>1149</v>
      </c>
      <c r="I78" s="129" t="s">
        <v>1520</v>
      </c>
      <c r="J78" s="129" t="s">
        <v>1286</v>
      </c>
      <c r="K78" s="129" t="s">
        <v>1287</v>
      </c>
      <c r="L78" s="129" t="s">
        <v>990</v>
      </c>
      <c r="M78" s="129" t="s">
        <v>1288</v>
      </c>
      <c r="N78" s="129">
        <v>265</v>
      </c>
      <c r="O78" s="129" t="s">
        <v>1473</v>
      </c>
      <c r="P78" s="129" t="s">
        <v>73</v>
      </c>
      <c r="Q78" s="129">
        <v>2</v>
      </c>
      <c r="R78" s="129">
        <f t="shared" si="3"/>
        <v>39.75</v>
      </c>
      <c r="S78" s="129">
        <f t="shared" si="4"/>
        <v>26.5</v>
      </c>
      <c r="T78" s="129">
        <f t="shared" si="5"/>
        <v>13.25</v>
      </c>
      <c r="U78" s="151">
        <v>1030102362</v>
      </c>
    </row>
    <row r="79" spans="1:21" x14ac:dyDescent="0.25">
      <c r="A79" s="129" t="s">
        <v>1281</v>
      </c>
      <c r="B79" s="129" t="s">
        <v>1282</v>
      </c>
      <c r="C79" s="129">
        <v>215066</v>
      </c>
      <c r="D79" s="129" t="s">
        <v>1521</v>
      </c>
      <c r="E79" s="150">
        <v>1030100060</v>
      </c>
      <c r="F79" s="129" t="s">
        <v>1521</v>
      </c>
      <c r="G79" s="129">
        <v>8411061043868</v>
      </c>
      <c r="H79" s="129" t="s">
        <v>1066</v>
      </c>
      <c r="I79" s="129" t="s">
        <v>1522</v>
      </c>
      <c r="J79" s="129" t="s">
        <v>1286</v>
      </c>
      <c r="K79" s="129" t="s">
        <v>1287</v>
      </c>
      <c r="L79" s="129" t="s">
        <v>1039</v>
      </c>
      <c r="M79" s="129" t="s">
        <v>1288</v>
      </c>
      <c r="N79" s="129">
        <v>222</v>
      </c>
      <c r="O79" s="129" t="s">
        <v>1358</v>
      </c>
      <c r="P79" s="129" t="s">
        <v>73</v>
      </c>
      <c r="Q79" s="129">
        <v>2</v>
      </c>
      <c r="R79" s="129">
        <f t="shared" si="3"/>
        <v>33.299999999999997</v>
      </c>
      <c r="S79" s="129">
        <f t="shared" si="4"/>
        <v>22.200000000000003</v>
      </c>
      <c r="T79" s="129">
        <f t="shared" si="5"/>
        <v>11.099999999999994</v>
      </c>
      <c r="U79" s="151">
        <v>1030100060</v>
      </c>
    </row>
    <row r="80" spans="1:21" x14ac:dyDescent="0.25">
      <c r="A80" s="129" t="s">
        <v>1290</v>
      </c>
      <c r="B80" s="129" t="s">
        <v>1329</v>
      </c>
      <c r="C80" s="129">
        <v>215962</v>
      </c>
      <c r="D80" s="129" t="s">
        <v>1523</v>
      </c>
      <c r="E80" s="150">
        <v>1030103536</v>
      </c>
      <c r="F80" s="129" t="s">
        <v>1523</v>
      </c>
      <c r="G80" s="129">
        <v>3495080841419</v>
      </c>
      <c r="H80" s="129" t="s">
        <v>1524</v>
      </c>
      <c r="I80" s="129" t="s">
        <v>1525</v>
      </c>
      <c r="J80" s="129" t="s">
        <v>1286</v>
      </c>
      <c r="K80" s="129" t="s">
        <v>1287</v>
      </c>
      <c r="L80" s="129" t="s">
        <v>990</v>
      </c>
      <c r="M80" s="129" t="s">
        <v>1288</v>
      </c>
      <c r="N80" s="129">
        <v>235</v>
      </c>
      <c r="O80" s="129" t="s">
        <v>1526</v>
      </c>
      <c r="P80" s="129" t="s">
        <v>73</v>
      </c>
      <c r="Q80" s="129">
        <v>2</v>
      </c>
      <c r="R80" s="129">
        <f t="shared" si="3"/>
        <v>35.25</v>
      </c>
      <c r="S80" s="129">
        <f t="shared" si="4"/>
        <v>23.5</v>
      </c>
      <c r="T80" s="129">
        <f t="shared" si="5"/>
        <v>11.75</v>
      </c>
      <c r="U80" s="151">
        <v>1030103536</v>
      </c>
    </row>
    <row r="81" spans="1:21" x14ac:dyDescent="0.25">
      <c r="A81" s="129" t="s">
        <v>1341</v>
      </c>
      <c r="B81" s="129" t="s">
        <v>1342</v>
      </c>
      <c r="C81" s="129">
        <v>219298</v>
      </c>
      <c r="D81" s="129" t="s">
        <v>1527</v>
      </c>
      <c r="E81" s="150">
        <v>1030104602</v>
      </c>
      <c r="F81" s="129" t="s">
        <v>1527</v>
      </c>
      <c r="G81" s="129">
        <v>3760265190966</v>
      </c>
      <c r="H81" s="129" t="s">
        <v>986</v>
      </c>
      <c r="I81" s="129" t="s">
        <v>1528</v>
      </c>
      <c r="J81" s="129" t="s">
        <v>1286</v>
      </c>
      <c r="K81" s="129" t="s">
        <v>1287</v>
      </c>
      <c r="L81" s="129" t="s">
        <v>990</v>
      </c>
      <c r="M81" s="129" t="s">
        <v>1288</v>
      </c>
      <c r="N81" s="129">
        <v>242</v>
      </c>
      <c r="O81" s="129" t="s">
        <v>1387</v>
      </c>
      <c r="P81" s="129" t="s">
        <v>73</v>
      </c>
      <c r="Q81" s="129">
        <v>2</v>
      </c>
      <c r="R81" s="129">
        <f t="shared" si="3"/>
        <v>36.299999999999997</v>
      </c>
      <c r="S81" s="129">
        <f t="shared" si="4"/>
        <v>24.200000000000003</v>
      </c>
      <c r="T81" s="129">
        <f t="shared" si="5"/>
        <v>12.099999999999994</v>
      </c>
      <c r="U81" s="151">
        <v>1030104602</v>
      </c>
    </row>
    <row r="82" spans="1:21" x14ac:dyDescent="0.25">
      <c r="A82" s="129" t="s">
        <v>1281</v>
      </c>
      <c r="B82" s="129" t="s">
        <v>1282</v>
      </c>
      <c r="C82" s="129">
        <v>214991</v>
      </c>
      <c r="D82" s="129" t="s">
        <v>1529</v>
      </c>
      <c r="E82" s="150">
        <v>1030104636</v>
      </c>
      <c r="F82" s="129" t="s">
        <v>1529</v>
      </c>
      <c r="G82" s="129">
        <v>3577580203086</v>
      </c>
      <c r="H82" s="129" t="s">
        <v>1497</v>
      </c>
      <c r="I82" s="129" t="s">
        <v>1530</v>
      </c>
      <c r="J82" s="129" t="s">
        <v>1286</v>
      </c>
      <c r="K82" s="129" t="s">
        <v>1287</v>
      </c>
      <c r="L82" s="129" t="s">
        <v>1039</v>
      </c>
      <c r="M82" s="129" t="s">
        <v>1288</v>
      </c>
      <c r="N82" s="129">
        <v>222</v>
      </c>
      <c r="O82" s="129" t="s">
        <v>1531</v>
      </c>
      <c r="P82" s="129" t="s">
        <v>73</v>
      </c>
      <c r="Q82" s="129">
        <v>2</v>
      </c>
      <c r="R82" s="129">
        <f t="shared" si="3"/>
        <v>33.299999999999997</v>
      </c>
      <c r="S82" s="129">
        <f t="shared" si="4"/>
        <v>22.200000000000003</v>
      </c>
      <c r="T82" s="129">
        <f t="shared" si="5"/>
        <v>11.099999999999994</v>
      </c>
      <c r="U82" s="151">
        <v>1030104636</v>
      </c>
    </row>
    <row r="83" spans="1:21" x14ac:dyDescent="0.25">
      <c r="A83" s="129" t="s">
        <v>1281</v>
      </c>
      <c r="B83" s="129" t="s">
        <v>1282</v>
      </c>
      <c r="C83" s="129">
        <v>215055</v>
      </c>
      <c r="D83" s="129" t="s">
        <v>1532</v>
      </c>
      <c r="E83" s="150">
        <v>1030101756</v>
      </c>
      <c r="F83" s="129" t="s">
        <v>1532</v>
      </c>
      <c r="G83" s="129">
        <v>3346130013495</v>
      </c>
      <c r="H83" s="129" t="s">
        <v>1102</v>
      </c>
      <c r="I83" s="129" t="s">
        <v>1533</v>
      </c>
      <c r="J83" s="129" t="s">
        <v>1286</v>
      </c>
      <c r="K83" s="129" t="s">
        <v>1287</v>
      </c>
      <c r="L83" s="129" t="s">
        <v>990</v>
      </c>
      <c r="M83" s="129" t="s">
        <v>1288</v>
      </c>
      <c r="N83" s="129">
        <v>272</v>
      </c>
      <c r="O83" s="129" t="s">
        <v>1463</v>
      </c>
      <c r="P83" s="129" t="s">
        <v>73</v>
      </c>
      <c r="Q83" s="129">
        <v>2</v>
      </c>
      <c r="R83" s="129">
        <f t="shared" si="3"/>
        <v>40.799999999999997</v>
      </c>
      <c r="S83" s="129">
        <f t="shared" si="4"/>
        <v>27.200000000000003</v>
      </c>
      <c r="T83" s="129">
        <f t="shared" si="5"/>
        <v>13.599999999999994</v>
      </c>
      <c r="U83" s="151">
        <v>1030101756</v>
      </c>
    </row>
    <row r="84" spans="1:21" x14ac:dyDescent="0.25">
      <c r="A84" s="129" t="s">
        <v>1281</v>
      </c>
      <c r="B84" s="129" t="s">
        <v>1282</v>
      </c>
      <c r="C84" s="129">
        <v>215038</v>
      </c>
      <c r="D84" s="129" t="s">
        <v>1534</v>
      </c>
      <c r="E84" s="150">
        <v>1030110379</v>
      </c>
      <c r="F84" s="129" t="s">
        <v>1534</v>
      </c>
      <c r="G84" s="129">
        <v>3349668614523</v>
      </c>
      <c r="H84" s="129" t="s">
        <v>1297</v>
      </c>
      <c r="I84" s="129" t="s">
        <v>1535</v>
      </c>
      <c r="J84" s="129" t="s">
        <v>1286</v>
      </c>
      <c r="K84" s="129" t="s">
        <v>1287</v>
      </c>
      <c r="L84" s="129" t="s">
        <v>1031</v>
      </c>
      <c r="M84" s="129" t="s">
        <v>1288</v>
      </c>
      <c r="N84" s="129">
        <v>296</v>
      </c>
      <c r="O84" s="129" t="s">
        <v>1364</v>
      </c>
      <c r="P84" s="129" t="s">
        <v>73</v>
      </c>
      <c r="Q84" s="129">
        <v>2</v>
      </c>
      <c r="R84" s="129">
        <f t="shared" si="3"/>
        <v>44.4</v>
      </c>
      <c r="S84" s="129">
        <f t="shared" si="4"/>
        <v>29.6</v>
      </c>
      <c r="T84" s="129">
        <f t="shared" si="5"/>
        <v>14.799999999999997</v>
      </c>
      <c r="U84" s="151">
        <v>1030110379</v>
      </c>
    </row>
    <row r="85" spans="1:21" x14ac:dyDescent="0.25">
      <c r="A85" s="129" t="s">
        <v>1281</v>
      </c>
      <c r="B85" s="129" t="s">
        <v>1282</v>
      </c>
      <c r="C85" s="129">
        <v>214817</v>
      </c>
      <c r="D85" s="129" t="s">
        <v>1536</v>
      </c>
      <c r="E85" s="150">
        <v>1030110617</v>
      </c>
      <c r="F85" s="129" t="s">
        <v>1536</v>
      </c>
      <c r="G85" s="129">
        <v>3614274219579</v>
      </c>
      <c r="H85" s="129" t="s">
        <v>1004</v>
      </c>
      <c r="I85" s="129" t="s">
        <v>1537</v>
      </c>
      <c r="J85" s="129" t="s">
        <v>1286</v>
      </c>
      <c r="K85" s="129" t="s">
        <v>1287</v>
      </c>
      <c r="L85" s="129" t="s">
        <v>1031</v>
      </c>
      <c r="M85" s="129" t="s">
        <v>1288</v>
      </c>
      <c r="N85" s="129">
        <v>369</v>
      </c>
      <c r="O85" s="129" t="s">
        <v>1538</v>
      </c>
      <c r="P85" s="129" t="s">
        <v>73</v>
      </c>
      <c r="Q85" s="129">
        <v>2</v>
      </c>
      <c r="R85" s="129">
        <f t="shared" si="3"/>
        <v>55.35</v>
      </c>
      <c r="S85" s="129">
        <f t="shared" si="4"/>
        <v>36.9</v>
      </c>
      <c r="T85" s="129">
        <f t="shared" si="5"/>
        <v>18.450000000000003</v>
      </c>
      <c r="U85" s="151">
        <v>1030110617</v>
      </c>
    </row>
    <row r="86" spans="1:21" x14ac:dyDescent="0.25">
      <c r="A86" s="129" t="s">
        <v>1290</v>
      </c>
      <c r="B86" s="129" t="s">
        <v>1291</v>
      </c>
      <c r="C86" s="129">
        <v>215662</v>
      </c>
      <c r="D86" s="129" t="s">
        <v>1539</v>
      </c>
      <c r="E86" s="150">
        <v>1030103038</v>
      </c>
      <c r="F86" s="129" t="s">
        <v>1539</v>
      </c>
      <c r="G86" s="129">
        <v>5050456007806</v>
      </c>
      <c r="H86" s="129" t="s">
        <v>1540</v>
      </c>
      <c r="I86" s="129" t="s">
        <v>1541</v>
      </c>
      <c r="J86" s="129" t="s">
        <v>1286</v>
      </c>
      <c r="K86" s="129" t="s">
        <v>1287</v>
      </c>
      <c r="L86" s="129" t="s">
        <v>1039</v>
      </c>
      <c r="M86" s="129" t="s">
        <v>1288</v>
      </c>
      <c r="N86" s="129">
        <v>160</v>
      </c>
      <c r="O86" s="129" t="s">
        <v>1542</v>
      </c>
      <c r="P86" s="129" t="s">
        <v>73</v>
      </c>
      <c r="Q86" s="129">
        <v>2</v>
      </c>
      <c r="R86" s="129">
        <f t="shared" si="3"/>
        <v>24</v>
      </c>
      <c r="S86" s="129">
        <f t="shared" si="4"/>
        <v>16</v>
      </c>
      <c r="T86" s="129">
        <f t="shared" si="5"/>
        <v>8</v>
      </c>
      <c r="U86" s="151">
        <v>1030103038</v>
      </c>
    </row>
    <row r="87" spans="1:21" x14ac:dyDescent="0.25">
      <c r="A87" s="129" t="s">
        <v>1281</v>
      </c>
      <c r="B87" s="129" t="s">
        <v>1282</v>
      </c>
      <c r="C87" s="129">
        <v>215041</v>
      </c>
      <c r="D87" s="129" t="s">
        <v>1543</v>
      </c>
      <c r="E87" s="150">
        <v>1030110425</v>
      </c>
      <c r="F87" s="129" t="s">
        <v>1543</v>
      </c>
      <c r="G87" s="129">
        <v>3349668600304</v>
      </c>
      <c r="H87" s="129" t="s">
        <v>1297</v>
      </c>
      <c r="I87" s="129" t="s">
        <v>1544</v>
      </c>
      <c r="J87" s="129" t="s">
        <v>1286</v>
      </c>
      <c r="K87" s="129" t="s">
        <v>1287</v>
      </c>
      <c r="L87" s="129" t="s">
        <v>1031</v>
      </c>
      <c r="M87" s="129" t="s">
        <v>1288</v>
      </c>
      <c r="N87" s="129">
        <v>299</v>
      </c>
      <c r="O87" s="129" t="s">
        <v>1545</v>
      </c>
      <c r="P87" s="129" t="s">
        <v>73</v>
      </c>
      <c r="Q87" s="129">
        <v>2</v>
      </c>
      <c r="R87" s="129">
        <f t="shared" si="3"/>
        <v>44.85</v>
      </c>
      <c r="S87" s="129">
        <f t="shared" si="4"/>
        <v>29.900000000000002</v>
      </c>
      <c r="T87" s="129">
        <f t="shared" si="5"/>
        <v>14.95</v>
      </c>
      <c r="U87" s="151">
        <v>1030110425</v>
      </c>
    </row>
    <row r="88" spans="1:21" x14ac:dyDescent="0.25">
      <c r="A88" s="129" t="s">
        <v>1290</v>
      </c>
      <c r="B88" s="129" t="s">
        <v>1329</v>
      </c>
      <c r="C88" s="129">
        <v>216011</v>
      </c>
      <c r="D88" s="129" t="s">
        <v>1546</v>
      </c>
      <c r="E88" s="150">
        <v>1030109978</v>
      </c>
      <c r="F88" s="129" t="s">
        <v>1546</v>
      </c>
      <c r="G88" s="129">
        <v>3386460109567</v>
      </c>
      <c r="H88" s="129" t="s">
        <v>1389</v>
      </c>
      <c r="I88" s="129" t="s">
        <v>1547</v>
      </c>
      <c r="J88" s="129" t="s">
        <v>1286</v>
      </c>
      <c r="K88" s="129" t="s">
        <v>1287</v>
      </c>
      <c r="L88" s="129" t="s">
        <v>990</v>
      </c>
      <c r="M88" s="129" t="s">
        <v>1288</v>
      </c>
      <c r="N88" s="129">
        <v>215</v>
      </c>
      <c r="O88" s="129" t="s">
        <v>1531</v>
      </c>
      <c r="P88" s="129" t="s">
        <v>73</v>
      </c>
      <c r="Q88" s="129">
        <v>2</v>
      </c>
      <c r="R88" s="129">
        <f t="shared" si="3"/>
        <v>32.25</v>
      </c>
      <c r="S88" s="129">
        <f t="shared" si="4"/>
        <v>21.5</v>
      </c>
      <c r="T88" s="129">
        <f t="shared" si="5"/>
        <v>10.75</v>
      </c>
      <c r="U88" s="151">
        <v>1030109978</v>
      </c>
    </row>
    <row r="89" spans="1:21" x14ac:dyDescent="0.25">
      <c r="A89" s="129" t="s">
        <v>1290</v>
      </c>
      <c r="B89" s="129" t="s">
        <v>1329</v>
      </c>
      <c r="C89" s="129">
        <v>216007</v>
      </c>
      <c r="D89" s="129" t="s">
        <v>1008</v>
      </c>
      <c r="E89" s="150">
        <v>1030110335</v>
      </c>
      <c r="F89" s="129" t="s">
        <v>1008</v>
      </c>
      <c r="G89" s="129">
        <v>3423222055639</v>
      </c>
      <c r="H89" s="129" t="s">
        <v>1009</v>
      </c>
      <c r="I89" s="129" t="s">
        <v>1548</v>
      </c>
      <c r="J89" s="129" t="s">
        <v>1286</v>
      </c>
      <c r="K89" s="129" t="s">
        <v>1287</v>
      </c>
      <c r="L89" s="129" t="s">
        <v>990</v>
      </c>
      <c r="M89" s="129" t="s">
        <v>1288</v>
      </c>
      <c r="N89" s="129">
        <v>235</v>
      </c>
      <c r="O89" s="129" t="s">
        <v>1549</v>
      </c>
      <c r="P89" s="129" t="s">
        <v>73</v>
      </c>
      <c r="Q89" s="129">
        <v>2</v>
      </c>
      <c r="R89" s="129">
        <f t="shared" si="3"/>
        <v>35.25</v>
      </c>
      <c r="S89" s="129">
        <f t="shared" si="4"/>
        <v>23.5</v>
      </c>
      <c r="T89" s="129">
        <f t="shared" si="5"/>
        <v>11.75</v>
      </c>
      <c r="U89" s="151">
        <v>1030110335</v>
      </c>
    </row>
    <row r="90" spans="1:21" x14ac:dyDescent="0.25">
      <c r="A90" s="129" t="s">
        <v>1281</v>
      </c>
      <c r="B90" s="129" t="s">
        <v>1282</v>
      </c>
      <c r="C90" s="129">
        <v>215007</v>
      </c>
      <c r="D90" s="129" t="s">
        <v>1550</v>
      </c>
      <c r="E90" s="150">
        <v>1030109528</v>
      </c>
      <c r="F90" s="129" t="s">
        <v>1550</v>
      </c>
      <c r="G90" s="129">
        <v>8411061869376</v>
      </c>
      <c r="H90" s="129" t="s">
        <v>1066</v>
      </c>
      <c r="I90" s="129" t="s">
        <v>1551</v>
      </c>
      <c r="J90" s="129" t="s">
        <v>1286</v>
      </c>
      <c r="K90" s="129" t="s">
        <v>1287</v>
      </c>
      <c r="L90" s="129" t="s">
        <v>990</v>
      </c>
      <c r="M90" s="129" t="s">
        <v>1288</v>
      </c>
      <c r="N90" s="129">
        <v>264</v>
      </c>
      <c r="O90" s="129" t="s">
        <v>1552</v>
      </c>
      <c r="P90" s="129" t="s">
        <v>73</v>
      </c>
      <c r="Q90" s="129">
        <v>2</v>
      </c>
      <c r="R90" s="129">
        <f t="shared" si="3"/>
        <v>39.6</v>
      </c>
      <c r="S90" s="129">
        <f t="shared" si="4"/>
        <v>26.400000000000002</v>
      </c>
      <c r="T90" s="129">
        <f t="shared" si="5"/>
        <v>13.2</v>
      </c>
      <c r="U90" s="151">
        <v>1030109528</v>
      </c>
    </row>
    <row r="91" spans="1:21" x14ac:dyDescent="0.25">
      <c r="A91" s="129" t="s">
        <v>1281</v>
      </c>
      <c r="B91" s="129" t="s">
        <v>1327</v>
      </c>
      <c r="C91" s="129">
        <v>214769</v>
      </c>
      <c r="D91" s="129" t="s">
        <v>1085</v>
      </c>
      <c r="E91" s="150">
        <v>1030103030</v>
      </c>
      <c r="F91" s="129" t="s">
        <v>1085</v>
      </c>
      <c r="G91" s="129">
        <v>7640177360083</v>
      </c>
      <c r="H91" s="129" t="s">
        <v>1056</v>
      </c>
      <c r="I91" s="129" t="s">
        <v>1553</v>
      </c>
      <c r="J91" s="129" t="s">
        <v>1286</v>
      </c>
      <c r="K91" s="129" t="s">
        <v>1287</v>
      </c>
      <c r="L91" s="129" t="s">
        <v>990</v>
      </c>
      <c r="M91" s="129" t="s">
        <v>1288</v>
      </c>
      <c r="N91" s="129">
        <v>185</v>
      </c>
      <c r="O91" s="129" t="s">
        <v>1499</v>
      </c>
      <c r="P91" s="129" t="s">
        <v>73</v>
      </c>
      <c r="Q91" s="129">
        <v>2</v>
      </c>
      <c r="R91" s="129">
        <f t="shared" si="3"/>
        <v>27.75</v>
      </c>
      <c r="S91" s="129">
        <f t="shared" si="4"/>
        <v>18.5</v>
      </c>
      <c r="T91" s="129">
        <f t="shared" si="5"/>
        <v>9.25</v>
      </c>
      <c r="U91" s="151">
        <v>1030103030</v>
      </c>
    </row>
    <row r="92" spans="1:21" x14ac:dyDescent="0.25">
      <c r="A92" s="129" t="s">
        <v>1290</v>
      </c>
      <c r="B92" s="129" t="s">
        <v>1329</v>
      </c>
      <c r="C92" s="129">
        <v>215960</v>
      </c>
      <c r="D92" s="129" t="s">
        <v>1554</v>
      </c>
      <c r="E92" s="150">
        <v>1030104945</v>
      </c>
      <c r="F92" s="129" t="s">
        <v>1554</v>
      </c>
      <c r="G92" s="129">
        <v>8011530820022</v>
      </c>
      <c r="H92" s="129" t="s">
        <v>1555</v>
      </c>
      <c r="I92" s="129" t="s">
        <v>1556</v>
      </c>
      <c r="J92" s="129" t="s">
        <v>1286</v>
      </c>
      <c r="K92" s="129" t="s">
        <v>1287</v>
      </c>
      <c r="L92" s="129" t="s">
        <v>990</v>
      </c>
      <c r="M92" s="129" t="s">
        <v>1288</v>
      </c>
      <c r="N92" s="129">
        <v>165</v>
      </c>
      <c r="O92" s="129" t="s">
        <v>1557</v>
      </c>
      <c r="P92" s="129" t="s">
        <v>73</v>
      </c>
      <c r="Q92" s="129">
        <v>2</v>
      </c>
      <c r="R92" s="129">
        <f t="shared" si="3"/>
        <v>24.75</v>
      </c>
      <c r="S92" s="129">
        <f t="shared" si="4"/>
        <v>16.5</v>
      </c>
      <c r="T92" s="129">
        <f t="shared" si="5"/>
        <v>8.25</v>
      </c>
      <c r="U92" s="151">
        <v>1030104945</v>
      </c>
    </row>
    <row r="93" spans="1:21" x14ac:dyDescent="0.25">
      <c r="A93" s="129" t="s">
        <v>1281</v>
      </c>
      <c r="B93" s="129" t="s">
        <v>1282</v>
      </c>
      <c r="C93" s="129">
        <v>215060</v>
      </c>
      <c r="D93" s="129" t="s">
        <v>1558</v>
      </c>
      <c r="E93" s="150">
        <v>1030103764</v>
      </c>
      <c r="F93" s="129" t="s">
        <v>1558</v>
      </c>
      <c r="G93" s="129">
        <v>3386460149082</v>
      </c>
      <c r="H93" s="129" t="s">
        <v>1366</v>
      </c>
      <c r="I93" s="129" t="s">
        <v>1559</v>
      </c>
      <c r="J93" s="129" t="s">
        <v>1286</v>
      </c>
      <c r="K93" s="129" t="s">
        <v>1287</v>
      </c>
      <c r="L93" s="129" t="s">
        <v>1039</v>
      </c>
      <c r="M93" s="129" t="s">
        <v>1288</v>
      </c>
      <c r="N93" s="129">
        <v>165</v>
      </c>
      <c r="O93" s="129" t="s">
        <v>1305</v>
      </c>
      <c r="P93" s="129" t="s">
        <v>73</v>
      </c>
      <c r="Q93" s="129">
        <v>2</v>
      </c>
      <c r="R93" s="129">
        <f t="shared" si="3"/>
        <v>24.75</v>
      </c>
      <c r="S93" s="129">
        <f t="shared" si="4"/>
        <v>16.5</v>
      </c>
      <c r="T93" s="129">
        <f t="shared" si="5"/>
        <v>8.25</v>
      </c>
      <c r="U93" s="151">
        <v>1030103764</v>
      </c>
    </row>
    <row r="94" spans="1:21" x14ac:dyDescent="0.25">
      <c r="A94" s="129" t="s">
        <v>1290</v>
      </c>
      <c r="B94" s="129" t="s">
        <v>1329</v>
      </c>
      <c r="C94" s="129">
        <v>215991</v>
      </c>
      <c r="D94" s="129" t="s">
        <v>1560</v>
      </c>
      <c r="E94" s="150">
        <v>1030101265</v>
      </c>
      <c r="F94" s="129" t="s">
        <v>1560</v>
      </c>
      <c r="G94" s="129">
        <v>27131043317</v>
      </c>
      <c r="H94" s="129" t="s">
        <v>1561</v>
      </c>
      <c r="I94" s="129" t="s">
        <v>1562</v>
      </c>
      <c r="J94" s="129" t="s">
        <v>1286</v>
      </c>
      <c r="K94" s="129" t="s">
        <v>1287</v>
      </c>
      <c r="L94" s="129" t="s">
        <v>990</v>
      </c>
      <c r="M94" s="129" t="s">
        <v>1288</v>
      </c>
      <c r="N94" s="129">
        <v>140</v>
      </c>
      <c r="O94" s="129" t="s">
        <v>1563</v>
      </c>
      <c r="P94" s="129" t="s">
        <v>73</v>
      </c>
      <c r="Q94" s="129">
        <v>2</v>
      </c>
      <c r="R94" s="129">
        <f t="shared" si="3"/>
        <v>21</v>
      </c>
      <c r="S94" s="129">
        <f t="shared" si="4"/>
        <v>14</v>
      </c>
      <c r="T94" s="129">
        <f t="shared" si="5"/>
        <v>7</v>
      </c>
      <c r="U94" s="151">
        <v>1030101265</v>
      </c>
    </row>
    <row r="95" spans="1:21" x14ac:dyDescent="0.25">
      <c r="A95" s="129" t="s">
        <v>1290</v>
      </c>
      <c r="B95" s="129" t="s">
        <v>1329</v>
      </c>
      <c r="C95" s="129">
        <v>216013</v>
      </c>
      <c r="D95" s="129" t="s">
        <v>1564</v>
      </c>
      <c r="E95" s="150">
        <v>1030103563</v>
      </c>
      <c r="F95" s="129" t="s">
        <v>1564</v>
      </c>
      <c r="G95" s="129">
        <v>20714156893</v>
      </c>
      <c r="H95" s="129" t="s">
        <v>1565</v>
      </c>
      <c r="I95" s="129" t="s">
        <v>1566</v>
      </c>
      <c r="J95" s="129" t="s">
        <v>1286</v>
      </c>
      <c r="K95" s="129" t="s">
        <v>1287</v>
      </c>
      <c r="L95" s="129" t="s">
        <v>990</v>
      </c>
      <c r="M95" s="129" t="s">
        <v>1288</v>
      </c>
      <c r="N95" s="129">
        <v>110</v>
      </c>
      <c r="O95" s="129" t="s">
        <v>1567</v>
      </c>
      <c r="P95" s="129" t="s">
        <v>73</v>
      </c>
      <c r="Q95" s="129">
        <v>2</v>
      </c>
      <c r="R95" s="129">
        <f t="shared" si="3"/>
        <v>16.5</v>
      </c>
      <c r="S95" s="129">
        <f t="shared" si="4"/>
        <v>11</v>
      </c>
      <c r="T95" s="129">
        <f t="shared" si="5"/>
        <v>5.5</v>
      </c>
      <c r="U95" s="151">
        <v>1030103563</v>
      </c>
    </row>
    <row r="96" spans="1:21" x14ac:dyDescent="0.25">
      <c r="A96" s="129" t="s">
        <v>1281</v>
      </c>
      <c r="B96" s="129" t="s">
        <v>1282</v>
      </c>
      <c r="C96" s="129">
        <v>215081</v>
      </c>
      <c r="D96" s="129" t="s">
        <v>1127</v>
      </c>
      <c r="E96" s="150">
        <v>1030108935</v>
      </c>
      <c r="F96" s="129" t="s">
        <v>1127</v>
      </c>
      <c r="G96" s="129">
        <v>8005610344157</v>
      </c>
      <c r="H96" s="129" t="s">
        <v>1128</v>
      </c>
      <c r="I96" s="129" t="s">
        <v>1568</v>
      </c>
      <c r="J96" s="129" t="s">
        <v>1286</v>
      </c>
      <c r="K96" s="129" t="s">
        <v>1287</v>
      </c>
      <c r="L96" s="129" t="s">
        <v>990</v>
      </c>
      <c r="M96" s="129" t="s">
        <v>1288</v>
      </c>
      <c r="N96" s="129">
        <v>259</v>
      </c>
      <c r="O96" s="129" t="s">
        <v>1364</v>
      </c>
      <c r="P96" s="129" t="s">
        <v>73</v>
      </c>
      <c r="Q96" s="129">
        <v>2</v>
      </c>
      <c r="R96" s="129">
        <f t="shared" si="3"/>
        <v>38.85</v>
      </c>
      <c r="S96" s="129">
        <f t="shared" si="4"/>
        <v>25.900000000000002</v>
      </c>
      <c r="T96" s="129">
        <f t="shared" si="5"/>
        <v>12.95</v>
      </c>
      <c r="U96" s="151">
        <v>1030108935</v>
      </c>
    </row>
    <row r="97" spans="1:21" x14ac:dyDescent="0.25">
      <c r="A97" s="129" t="s">
        <v>1281</v>
      </c>
      <c r="B97" s="129" t="s">
        <v>1282</v>
      </c>
      <c r="C97" s="129">
        <v>215064</v>
      </c>
      <c r="D97" s="129" t="s">
        <v>1176</v>
      </c>
      <c r="E97" s="150">
        <v>1030106330</v>
      </c>
      <c r="F97" s="129" t="s">
        <v>1176</v>
      </c>
      <c r="G97" s="129">
        <v>8057971180547</v>
      </c>
      <c r="H97" s="129" t="s">
        <v>1149</v>
      </c>
      <c r="I97" s="129" t="s">
        <v>1569</v>
      </c>
      <c r="J97" s="129" t="s">
        <v>1286</v>
      </c>
      <c r="K97" s="129" t="s">
        <v>1287</v>
      </c>
      <c r="L97" s="129" t="s">
        <v>990</v>
      </c>
      <c r="M97" s="129" t="s">
        <v>1288</v>
      </c>
      <c r="N97" s="129">
        <v>222</v>
      </c>
      <c r="O97" s="129" t="s">
        <v>1570</v>
      </c>
      <c r="P97" s="129" t="s">
        <v>73</v>
      </c>
      <c r="Q97" s="129">
        <v>2</v>
      </c>
      <c r="R97" s="129">
        <f t="shared" si="3"/>
        <v>33.299999999999997</v>
      </c>
      <c r="S97" s="129">
        <f t="shared" si="4"/>
        <v>22.200000000000003</v>
      </c>
      <c r="T97" s="129">
        <f t="shared" si="5"/>
        <v>11.099999999999994</v>
      </c>
      <c r="U97" s="151">
        <v>1030106330</v>
      </c>
    </row>
    <row r="98" spans="1:21" x14ac:dyDescent="0.25">
      <c r="A98" s="129" t="s">
        <v>1281</v>
      </c>
      <c r="B98" s="129" t="s">
        <v>1282</v>
      </c>
      <c r="C98" s="129">
        <v>215073</v>
      </c>
      <c r="D98" s="129" t="s">
        <v>1003</v>
      </c>
      <c r="E98" s="150">
        <v>1030109795</v>
      </c>
      <c r="F98" s="129" t="s">
        <v>1003</v>
      </c>
      <c r="G98" s="129">
        <v>3614272225718</v>
      </c>
      <c r="H98" s="129" t="s">
        <v>1004</v>
      </c>
      <c r="I98" s="129" t="s">
        <v>1571</v>
      </c>
      <c r="J98" s="129" t="s">
        <v>1286</v>
      </c>
      <c r="K98" s="129" t="s">
        <v>1287</v>
      </c>
      <c r="L98" s="129" t="s">
        <v>990</v>
      </c>
      <c r="M98" s="129" t="s">
        <v>1288</v>
      </c>
      <c r="N98" s="129">
        <v>300</v>
      </c>
      <c r="O98" s="129" t="s">
        <v>1485</v>
      </c>
      <c r="P98" s="129" t="s">
        <v>73</v>
      </c>
      <c r="Q98" s="129">
        <v>2</v>
      </c>
      <c r="R98" s="129">
        <f t="shared" si="3"/>
        <v>45</v>
      </c>
      <c r="S98" s="129">
        <f t="shared" si="4"/>
        <v>30</v>
      </c>
      <c r="T98" s="129">
        <f t="shared" si="5"/>
        <v>15</v>
      </c>
      <c r="U98" s="151">
        <v>1030109795</v>
      </c>
    </row>
    <row r="99" spans="1:21" x14ac:dyDescent="0.25">
      <c r="A99" s="129" t="s">
        <v>1281</v>
      </c>
      <c r="B99" s="129" t="s">
        <v>1282</v>
      </c>
      <c r="C99" s="129">
        <v>215000</v>
      </c>
      <c r="D99" s="129" t="s">
        <v>1143</v>
      </c>
      <c r="E99" s="150">
        <v>1030101940</v>
      </c>
      <c r="F99" s="129" t="s">
        <v>1143</v>
      </c>
      <c r="G99" s="129">
        <v>3274872395503</v>
      </c>
      <c r="H99" s="129" t="s">
        <v>1144</v>
      </c>
      <c r="I99" s="129" t="s">
        <v>1572</v>
      </c>
      <c r="J99" s="129" t="s">
        <v>1286</v>
      </c>
      <c r="K99" s="129" t="s">
        <v>1287</v>
      </c>
      <c r="L99" s="129" t="s">
        <v>1039</v>
      </c>
      <c r="M99" s="129" t="s">
        <v>1288</v>
      </c>
      <c r="N99" s="129">
        <v>160</v>
      </c>
      <c r="O99" s="129" t="s">
        <v>1391</v>
      </c>
      <c r="P99" s="129" t="s">
        <v>73</v>
      </c>
      <c r="Q99" s="129">
        <v>2</v>
      </c>
      <c r="R99" s="129">
        <f t="shared" si="3"/>
        <v>24</v>
      </c>
      <c r="S99" s="129">
        <f t="shared" si="4"/>
        <v>16</v>
      </c>
      <c r="T99" s="129">
        <f t="shared" si="5"/>
        <v>8</v>
      </c>
      <c r="U99" s="151">
        <v>1030101940</v>
      </c>
    </row>
    <row r="100" spans="1:21" x14ac:dyDescent="0.25">
      <c r="A100" s="129" t="s">
        <v>1290</v>
      </c>
      <c r="B100" s="129" t="s">
        <v>1291</v>
      </c>
      <c r="C100" s="129">
        <v>215747</v>
      </c>
      <c r="D100" s="129" t="s">
        <v>1162</v>
      </c>
      <c r="E100" s="150">
        <v>1030105267</v>
      </c>
      <c r="F100" s="129" t="s">
        <v>1162</v>
      </c>
      <c r="G100" s="129">
        <v>8056860212369</v>
      </c>
      <c r="H100" s="129" t="s">
        <v>1134</v>
      </c>
      <c r="I100" s="129" t="s">
        <v>1573</v>
      </c>
      <c r="J100" s="129" t="s">
        <v>1286</v>
      </c>
      <c r="K100" s="129" t="s">
        <v>1287</v>
      </c>
      <c r="L100" s="129" t="s">
        <v>990</v>
      </c>
      <c r="M100" s="129" t="s">
        <v>1288</v>
      </c>
      <c r="N100" s="129">
        <v>113</v>
      </c>
      <c r="O100" s="129" t="s">
        <v>1574</v>
      </c>
      <c r="P100" s="129" t="s">
        <v>73</v>
      </c>
      <c r="Q100" s="129">
        <v>2</v>
      </c>
      <c r="R100" s="129">
        <f t="shared" si="3"/>
        <v>16.95</v>
      </c>
      <c r="S100" s="129">
        <f t="shared" si="4"/>
        <v>11.3</v>
      </c>
      <c r="T100" s="129">
        <f t="shared" si="5"/>
        <v>5.6499999999999986</v>
      </c>
      <c r="U100" s="151">
        <v>1030105267</v>
      </c>
    </row>
    <row r="101" spans="1:21" x14ac:dyDescent="0.25">
      <c r="A101" s="129" t="s">
        <v>1281</v>
      </c>
      <c r="B101" s="129" t="s">
        <v>1282</v>
      </c>
      <c r="C101" s="129">
        <v>215062</v>
      </c>
      <c r="D101" s="129" t="s">
        <v>1094</v>
      </c>
      <c r="E101" s="150">
        <v>1030106266</v>
      </c>
      <c r="F101" s="129" t="s">
        <v>1094</v>
      </c>
      <c r="G101" s="129">
        <v>737052972305</v>
      </c>
      <c r="H101" s="129" t="s">
        <v>1095</v>
      </c>
      <c r="I101" s="129" t="s">
        <v>1575</v>
      </c>
      <c r="J101" s="129" t="s">
        <v>1286</v>
      </c>
      <c r="K101" s="129" t="s">
        <v>1287</v>
      </c>
      <c r="L101" s="129" t="s">
        <v>1039</v>
      </c>
      <c r="M101" s="129" t="s">
        <v>1288</v>
      </c>
      <c r="N101" s="129">
        <v>168</v>
      </c>
      <c r="O101" s="129" t="s">
        <v>1576</v>
      </c>
      <c r="P101" s="129" t="s">
        <v>73</v>
      </c>
      <c r="Q101" s="129">
        <v>2</v>
      </c>
      <c r="R101" s="129">
        <f t="shared" si="3"/>
        <v>25.2</v>
      </c>
      <c r="S101" s="129">
        <f t="shared" si="4"/>
        <v>16.8</v>
      </c>
      <c r="T101" s="129">
        <f t="shared" si="5"/>
        <v>8.3999999999999986</v>
      </c>
      <c r="U101" s="151">
        <v>1030106266</v>
      </c>
    </row>
  </sheetData>
  <autoFilter ref="A1:U101" xr:uid="{B648F602-3B97-4093-9A87-47A50AD855B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60DC-D8F1-46F3-B9B5-3187FC39C614}">
  <sheetPr filterMode="1"/>
  <dimension ref="A1:BC83"/>
  <sheetViews>
    <sheetView zoomScale="175" zoomScaleNormal="175" workbookViewId="0">
      <pane xSplit="11" ySplit="1" topLeftCell="AK4" activePane="bottomRight" state="frozen"/>
      <selection pane="topRight" activeCell="L1" sqref="L1"/>
      <selection pane="bottomLeft" activeCell="A2" sqref="A2"/>
      <selection pane="bottomRight" activeCell="AK80" sqref="AK80:AV84"/>
    </sheetView>
  </sheetViews>
  <sheetFormatPr defaultRowHeight="15" x14ac:dyDescent="0.25"/>
  <cols>
    <col min="5" max="5" width="13.7109375" customWidth="1"/>
    <col min="8" max="8" width="13.42578125" customWidth="1"/>
    <col min="30" max="33" width="0" hidden="1" customWidth="1"/>
    <col min="34" max="34" width="16.5703125" customWidth="1"/>
    <col min="35" max="35" width="12.85546875" customWidth="1"/>
    <col min="38" max="42" width="9.140625" hidden="1" customWidth="1"/>
    <col min="43" max="43" width="24.28515625" customWidth="1"/>
    <col min="44" max="44" width="13.85546875" customWidth="1"/>
    <col min="45" max="45" width="11.7109375" customWidth="1"/>
    <col min="46" max="46" width="16.85546875" customWidth="1"/>
    <col min="47" max="47" width="12.85546875" customWidth="1"/>
    <col min="48" max="48" width="13.5703125" customWidth="1"/>
    <col min="49" max="49" width="13.42578125" customWidth="1"/>
    <col min="51" max="53" width="11" bestFit="1" customWidth="1"/>
    <col min="54" max="54" width="12" bestFit="1" customWidth="1"/>
    <col min="55" max="55" width="11" bestFit="1" customWidth="1"/>
  </cols>
  <sheetData>
    <row r="1" spans="1:55" ht="60" x14ac:dyDescent="0.25">
      <c r="A1" s="4" t="s">
        <v>943</v>
      </c>
      <c r="B1" s="4" t="s">
        <v>944</v>
      </c>
      <c r="C1" s="4" t="s">
        <v>945</v>
      </c>
      <c r="D1" s="4" t="s">
        <v>946</v>
      </c>
      <c r="E1" s="4" t="s">
        <v>947</v>
      </c>
      <c r="F1" s="4" t="s">
        <v>948</v>
      </c>
      <c r="G1" s="4" t="s">
        <v>949</v>
      </c>
      <c r="H1" s="4" t="s">
        <v>950</v>
      </c>
      <c r="I1" s="4" t="s">
        <v>951</v>
      </c>
      <c r="J1" s="4" t="s">
        <v>952</v>
      </c>
      <c r="K1" s="4" t="s">
        <v>953</v>
      </c>
      <c r="L1" s="4" t="s">
        <v>954</v>
      </c>
      <c r="M1" s="4" t="s">
        <v>955</v>
      </c>
      <c r="N1" s="4" t="s">
        <v>956</v>
      </c>
      <c r="O1" s="4" t="s">
        <v>957</v>
      </c>
      <c r="P1" s="4" t="s">
        <v>958</v>
      </c>
      <c r="Q1" s="4" t="s">
        <v>959</v>
      </c>
      <c r="R1" s="4" t="s">
        <v>960</v>
      </c>
      <c r="S1" s="4" t="s">
        <v>961</v>
      </c>
      <c r="T1" s="4" t="s">
        <v>962</v>
      </c>
      <c r="U1" s="4" t="s">
        <v>963</v>
      </c>
      <c r="V1" s="4" t="s">
        <v>964</v>
      </c>
      <c r="W1" s="4" t="s">
        <v>965</v>
      </c>
      <c r="X1" s="4" t="s">
        <v>966</v>
      </c>
      <c r="Y1" s="4" t="s">
        <v>967</v>
      </c>
      <c r="Z1" s="4" t="s">
        <v>968</v>
      </c>
      <c r="AA1" s="4" t="s">
        <v>30</v>
      </c>
      <c r="AB1" s="4" t="s">
        <v>969</v>
      </c>
      <c r="AC1" s="4" t="s">
        <v>11</v>
      </c>
      <c r="AD1" s="4" t="s">
        <v>970</v>
      </c>
      <c r="AE1" s="4" t="s">
        <v>971</v>
      </c>
      <c r="AF1" s="4" t="s">
        <v>972</v>
      </c>
      <c r="AG1" s="4" t="s">
        <v>70</v>
      </c>
      <c r="AH1" s="4" t="s">
        <v>947</v>
      </c>
      <c r="AI1" s="43" t="s">
        <v>973</v>
      </c>
      <c r="AJ1" s="4" t="s">
        <v>974</v>
      </c>
      <c r="AK1" s="53" t="s">
        <v>975</v>
      </c>
      <c r="AL1" s="4"/>
      <c r="AM1" s="10"/>
      <c r="AN1" s="10"/>
      <c r="AO1" s="10"/>
      <c r="AP1" s="10"/>
      <c r="AQ1" s="54" t="s">
        <v>976</v>
      </c>
      <c r="AR1" s="55">
        <v>0.15</v>
      </c>
      <c r="AS1" s="56">
        <v>0.1</v>
      </c>
      <c r="AT1" s="1" t="s">
        <v>977</v>
      </c>
      <c r="AU1" s="1" t="s">
        <v>978</v>
      </c>
      <c r="AV1" s="1" t="s">
        <v>979</v>
      </c>
      <c r="AW1" s="1" t="s">
        <v>980</v>
      </c>
    </row>
    <row r="2" spans="1:55" hidden="1" x14ac:dyDescent="0.25">
      <c r="A2" s="57">
        <v>46206</v>
      </c>
      <c r="B2" s="58" t="s">
        <v>981</v>
      </c>
      <c r="C2" s="59">
        <v>34</v>
      </c>
      <c r="D2" s="58" t="s">
        <v>982</v>
      </c>
      <c r="E2" s="58" t="s">
        <v>983</v>
      </c>
      <c r="F2" s="58" t="s">
        <v>984</v>
      </c>
      <c r="G2" s="58" t="s">
        <v>985</v>
      </c>
      <c r="H2" s="59">
        <v>1030104603</v>
      </c>
      <c r="I2" s="59">
        <v>219299</v>
      </c>
      <c r="J2" s="60" t="s">
        <v>986</v>
      </c>
      <c r="K2" s="60" t="s">
        <v>987</v>
      </c>
      <c r="L2" s="58" t="s">
        <v>988</v>
      </c>
      <c r="M2" s="58" t="s">
        <v>989</v>
      </c>
      <c r="N2" s="60" t="s">
        <v>990</v>
      </c>
      <c r="O2" s="61">
        <v>281</v>
      </c>
      <c r="P2" s="61">
        <v>0</v>
      </c>
      <c r="Q2" s="61">
        <v>281</v>
      </c>
      <c r="R2" s="60">
        <v>1</v>
      </c>
      <c r="S2" s="60" t="s">
        <v>991</v>
      </c>
      <c r="T2" s="61">
        <v>56.2</v>
      </c>
      <c r="U2" s="61">
        <v>42.15</v>
      </c>
      <c r="V2" s="61">
        <v>238.85</v>
      </c>
      <c r="W2" s="58" t="s">
        <v>992</v>
      </c>
      <c r="X2" s="58" t="s">
        <v>993</v>
      </c>
      <c r="Y2" s="62">
        <v>15</v>
      </c>
      <c r="Z2" s="58" t="s">
        <v>92</v>
      </c>
      <c r="AA2" s="61">
        <v>224.8</v>
      </c>
      <c r="AB2" s="61">
        <v>0</v>
      </c>
      <c r="AC2" s="58" t="s">
        <v>994</v>
      </c>
      <c r="AD2" s="63">
        <f t="shared" ref="AD2:AD65" si="0">+U2/O2</f>
        <v>0.15</v>
      </c>
      <c r="AE2" s="62">
        <f t="shared" ref="AE2:AE12" si="1">+O2-U2</f>
        <v>238.85</v>
      </c>
      <c r="AF2" s="19">
        <f>O2*0.15</f>
        <v>42.15</v>
      </c>
      <c r="AG2" s="19">
        <f>O2-AF2</f>
        <v>238.85</v>
      </c>
      <c r="AH2" s="58" t="s">
        <v>983</v>
      </c>
      <c r="AI2" s="24">
        <f t="shared" ref="AI2:AI65" si="2">A2+15</f>
        <v>46221</v>
      </c>
      <c r="AJ2" s="64">
        <f>+O2-AK2</f>
        <v>0</v>
      </c>
      <c r="AK2" s="19">
        <v>281</v>
      </c>
      <c r="AL2" s="65"/>
      <c r="AQ2" s="66"/>
      <c r="AR2" s="67"/>
      <c r="AS2" s="67"/>
      <c r="AT2" s="68"/>
      <c r="AU2" s="67">
        <f>-AG2</f>
        <v>-238.85</v>
      </c>
      <c r="AV2" s="68"/>
      <c r="AW2" s="67">
        <f>+AU2</f>
        <v>-238.85</v>
      </c>
      <c r="AY2">
        <f>281/1.15</f>
        <v>244.34782608695653</v>
      </c>
      <c r="AZ2">
        <f>+AY2*0.15</f>
        <v>36.652173913043477</v>
      </c>
      <c r="BA2">
        <f>+AY2+AZ2</f>
        <v>281</v>
      </c>
      <c r="BB2">
        <f>+AY2*0.1</f>
        <v>24.434782608695656</v>
      </c>
      <c r="BC2">
        <f>+BB2/1.15</f>
        <v>21.247637051039703</v>
      </c>
    </row>
    <row r="3" spans="1:55" hidden="1" x14ac:dyDescent="0.25">
      <c r="A3" s="57">
        <v>46225</v>
      </c>
      <c r="B3" s="58" t="s">
        <v>995</v>
      </c>
      <c r="C3" s="59">
        <v>34</v>
      </c>
      <c r="D3" s="58" t="s">
        <v>982</v>
      </c>
      <c r="E3" s="58" t="s">
        <v>996</v>
      </c>
      <c r="F3" s="58" t="s">
        <v>984</v>
      </c>
      <c r="G3" s="58" t="s">
        <v>997</v>
      </c>
      <c r="H3" s="59">
        <v>1030110307</v>
      </c>
      <c r="I3" s="59">
        <v>214766</v>
      </c>
      <c r="J3" s="60" t="s">
        <v>998</v>
      </c>
      <c r="K3" s="60" t="s">
        <v>999</v>
      </c>
      <c r="L3" s="58" t="s">
        <v>988</v>
      </c>
      <c r="M3" s="58" t="s">
        <v>989</v>
      </c>
      <c r="N3" s="60" t="s">
        <v>990</v>
      </c>
      <c r="O3" s="61">
        <v>312</v>
      </c>
      <c r="P3" s="61">
        <v>312</v>
      </c>
      <c r="Q3" s="61">
        <v>312</v>
      </c>
      <c r="R3" s="60">
        <v>1</v>
      </c>
      <c r="S3" s="60" t="s">
        <v>1000</v>
      </c>
      <c r="T3" s="61">
        <v>0</v>
      </c>
      <c r="U3" s="61">
        <v>46.8</v>
      </c>
      <c r="V3" s="61">
        <v>265.2</v>
      </c>
      <c r="W3" s="58" t="s">
        <v>992</v>
      </c>
      <c r="X3" s="58" t="s">
        <v>993</v>
      </c>
      <c r="Y3" s="62">
        <v>15</v>
      </c>
      <c r="Z3" s="58" t="s">
        <v>71</v>
      </c>
      <c r="AA3" s="61">
        <v>51.99</v>
      </c>
      <c r="AB3" s="61">
        <v>260.01</v>
      </c>
      <c r="AC3" s="58" t="s">
        <v>69</v>
      </c>
      <c r="AD3" s="63">
        <f t="shared" si="0"/>
        <v>0.15</v>
      </c>
      <c r="AE3" s="62">
        <f t="shared" si="1"/>
        <v>265.2</v>
      </c>
      <c r="AH3" s="60" t="s">
        <v>996</v>
      </c>
      <c r="AI3" s="24">
        <f t="shared" si="2"/>
        <v>46240</v>
      </c>
      <c r="AJ3" s="64">
        <f>AK3-O3</f>
        <v>0</v>
      </c>
      <c r="AK3" s="19">
        <f>O3</f>
        <v>312</v>
      </c>
      <c r="AL3" s="65"/>
      <c r="AQ3" s="69">
        <f>IF(R3=1,AK3,IF(R3=2,AL3,0))</f>
        <v>312</v>
      </c>
      <c r="AR3" s="70">
        <f>+AQ3*$AR$1</f>
        <v>46.8</v>
      </c>
      <c r="AS3" s="70"/>
      <c r="AT3" s="71">
        <f>+AQ3-AR3-AS3</f>
        <v>265.2</v>
      </c>
      <c r="AU3" s="71"/>
      <c r="AV3" s="72"/>
      <c r="AW3" s="70">
        <f>+AT3</f>
        <v>265.2</v>
      </c>
    </row>
    <row r="4" spans="1:55" ht="18.75" x14ac:dyDescent="0.3">
      <c r="A4" s="57">
        <v>46225</v>
      </c>
      <c r="B4" s="58" t="s">
        <v>1001</v>
      </c>
      <c r="C4" s="59">
        <v>34</v>
      </c>
      <c r="D4" s="58" t="s">
        <v>982</v>
      </c>
      <c r="E4" s="58" t="s">
        <v>1002</v>
      </c>
      <c r="F4" s="73" t="s">
        <v>984</v>
      </c>
      <c r="G4" s="58" t="s">
        <v>1003</v>
      </c>
      <c r="H4" s="59">
        <v>1030109795</v>
      </c>
      <c r="I4" s="59">
        <v>215073</v>
      </c>
      <c r="J4" s="60" t="s">
        <v>1004</v>
      </c>
      <c r="K4" s="60" t="s">
        <v>1005</v>
      </c>
      <c r="L4" s="58" t="s">
        <v>988</v>
      </c>
      <c r="M4" s="58" t="s">
        <v>989</v>
      </c>
      <c r="N4" s="60" t="s">
        <v>990</v>
      </c>
      <c r="O4" s="61">
        <v>300</v>
      </c>
      <c r="P4" s="61">
        <v>300</v>
      </c>
      <c r="Q4" s="61">
        <v>300</v>
      </c>
      <c r="R4" s="60">
        <v>1</v>
      </c>
      <c r="S4" s="60" t="s">
        <v>1000</v>
      </c>
      <c r="T4" s="61">
        <v>0</v>
      </c>
      <c r="U4" s="61">
        <v>45</v>
      </c>
      <c r="V4" s="61">
        <v>255</v>
      </c>
      <c r="W4" s="58" t="s">
        <v>992</v>
      </c>
      <c r="X4" s="58" t="s">
        <v>993</v>
      </c>
      <c r="Y4" s="62">
        <v>15</v>
      </c>
      <c r="Z4" s="58" t="s">
        <v>175</v>
      </c>
      <c r="AA4" s="61">
        <v>93.85</v>
      </c>
      <c r="AB4" s="61">
        <v>206.15</v>
      </c>
      <c r="AC4" s="58" t="s">
        <v>69</v>
      </c>
      <c r="AD4" s="63">
        <f t="shared" si="0"/>
        <v>0.15</v>
      </c>
      <c r="AE4" s="62">
        <f t="shared" si="1"/>
        <v>255</v>
      </c>
      <c r="AH4" s="74" t="s">
        <v>1002</v>
      </c>
      <c r="AI4" s="24">
        <f t="shared" si="2"/>
        <v>46240</v>
      </c>
      <c r="AJ4" s="64">
        <f>O4-AK4</f>
        <v>0</v>
      </c>
      <c r="AK4" s="19" cm="1">
        <f t="array" ref="AK4:AP4">_xlfn.XLOOKUP(H4,'[1]Discount RM '!U:U,'[1]Discount RM '!N:S, "NA",0)</f>
        <v>300</v>
      </c>
      <c r="AL4" s="75" t="str">
        <v>529.00</v>
      </c>
      <c r="AM4" t="str">
        <v>-</v>
      </c>
      <c r="AN4">
        <v>2</v>
      </c>
      <c r="AO4">
        <v>45</v>
      </c>
      <c r="AP4">
        <v>30</v>
      </c>
      <c r="AQ4" s="69">
        <f>+AK4</f>
        <v>300</v>
      </c>
      <c r="AR4" s="70"/>
      <c r="AS4" s="70">
        <f>$AS$1*AQ4</f>
        <v>30</v>
      </c>
      <c r="AT4" s="71">
        <f>+AQ4-AR4-AS4</f>
        <v>270</v>
      </c>
      <c r="AU4" s="71"/>
      <c r="AV4" s="76"/>
      <c r="AW4" s="70">
        <f>+AT4</f>
        <v>270</v>
      </c>
    </row>
    <row r="5" spans="1:55" x14ac:dyDescent="0.25">
      <c r="A5" s="57">
        <v>46226</v>
      </c>
      <c r="B5" s="58" t="s">
        <v>1006</v>
      </c>
      <c r="C5" s="59">
        <v>34</v>
      </c>
      <c r="D5" s="58" t="s">
        <v>982</v>
      </c>
      <c r="E5" s="58" t="s">
        <v>1007</v>
      </c>
      <c r="F5" s="58" t="s">
        <v>984</v>
      </c>
      <c r="G5" s="58" t="s">
        <v>1008</v>
      </c>
      <c r="H5" s="59">
        <v>1030110335</v>
      </c>
      <c r="I5" s="59">
        <v>216007</v>
      </c>
      <c r="J5" s="60" t="s">
        <v>1009</v>
      </c>
      <c r="K5" s="60" t="s">
        <v>1010</v>
      </c>
      <c r="L5" s="58" t="s">
        <v>988</v>
      </c>
      <c r="M5" s="58" t="s">
        <v>989</v>
      </c>
      <c r="N5" s="60" t="s">
        <v>990</v>
      </c>
      <c r="O5" s="61">
        <v>235</v>
      </c>
      <c r="P5" s="61">
        <v>235</v>
      </c>
      <c r="Q5" s="61">
        <v>235</v>
      </c>
      <c r="R5" s="60">
        <v>1</v>
      </c>
      <c r="S5" s="60" t="s">
        <v>1000</v>
      </c>
      <c r="T5" s="61">
        <v>0</v>
      </c>
      <c r="U5" s="61">
        <v>35.25</v>
      </c>
      <c r="V5" s="61">
        <v>199.75</v>
      </c>
      <c r="W5" s="58" t="s">
        <v>992</v>
      </c>
      <c r="X5" s="58" t="s">
        <v>993</v>
      </c>
      <c r="Y5" s="62">
        <v>15</v>
      </c>
      <c r="Z5" s="58" t="s">
        <v>169</v>
      </c>
      <c r="AA5" s="61">
        <v>5.51</v>
      </c>
      <c r="AB5" s="61">
        <v>229.49</v>
      </c>
      <c r="AC5" s="58" t="s">
        <v>69</v>
      </c>
      <c r="AD5" s="63">
        <f t="shared" si="0"/>
        <v>0.15</v>
      </c>
      <c r="AE5" s="62">
        <f t="shared" si="1"/>
        <v>199.75</v>
      </c>
      <c r="AH5" s="74" t="s">
        <v>1007</v>
      </c>
      <c r="AI5" s="24">
        <f t="shared" si="2"/>
        <v>46241</v>
      </c>
      <c r="AJ5" s="64">
        <f>O5-AK5</f>
        <v>0</v>
      </c>
      <c r="AK5" s="19" cm="1">
        <f t="array" ref="AK5:AP5">_xlfn.XLOOKUP(H5,'[1]Discount RM '!U:U,'[1]Discount RM '!N:S, "NA",0)</f>
        <v>235</v>
      </c>
      <c r="AL5" s="75" t="str">
        <v>493.00</v>
      </c>
      <c r="AM5" t="str">
        <v>-</v>
      </c>
      <c r="AN5">
        <v>2</v>
      </c>
      <c r="AO5">
        <v>35.25</v>
      </c>
      <c r="AP5">
        <v>23.5</v>
      </c>
      <c r="AQ5" s="69">
        <f>+AK5</f>
        <v>235</v>
      </c>
      <c r="AR5" s="70"/>
      <c r="AS5" s="70">
        <f>$AS$1*AQ5</f>
        <v>23.5</v>
      </c>
      <c r="AT5" s="71">
        <f>+AQ5-AR5-AS5</f>
        <v>211.5</v>
      </c>
      <c r="AU5" s="71"/>
      <c r="AV5" s="76"/>
      <c r="AW5" s="70">
        <f>+AT5</f>
        <v>211.5</v>
      </c>
    </row>
    <row r="6" spans="1:55" hidden="1" x14ac:dyDescent="0.25">
      <c r="A6" s="77">
        <v>46226</v>
      </c>
      <c r="B6" s="78" t="s">
        <v>1011</v>
      </c>
      <c r="C6" s="79">
        <v>34</v>
      </c>
      <c r="D6" s="78" t="s">
        <v>982</v>
      </c>
      <c r="E6" s="78" t="s">
        <v>1012</v>
      </c>
      <c r="F6" s="78" t="s">
        <v>984</v>
      </c>
      <c r="G6" s="78" t="s">
        <v>1013</v>
      </c>
      <c r="H6" s="79">
        <v>1030104308</v>
      </c>
      <c r="I6" s="79">
        <v>215984</v>
      </c>
      <c r="J6" s="80" t="s">
        <v>1009</v>
      </c>
      <c r="K6" s="80" t="s">
        <v>1014</v>
      </c>
      <c r="L6" s="78" t="s">
        <v>988</v>
      </c>
      <c r="M6" s="78" t="s">
        <v>989</v>
      </c>
      <c r="N6" s="80" t="s">
        <v>990</v>
      </c>
      <c r="O6" s="81">
        <v>222</v>
      </c>
      <c r="P6" s="81">
        <v>0</v>
      </c>
      <c r="Q6" s="81">
        <v>222</v>
      </c>
      <c r="R6" s="80">
        <v>1</v>
      </c>
      <c r="S6" s="80" t="s">
        <v>1000</v>
      </c>
      <c r="T6" s="81">
        <v>0</v>
      </c>
      <c r="U6" s="81">
        <v>33.299999999999997</v>
      </c>
      <c r="V6" s="81">
        <v>188.7</v>
      </c>
      <c r="W6" s="78" t="s">
        <v>992</v>
      </c>
      <c r="X6" s="78" t="s">
        <v>993</v>
      </c>
      <c r="Y6" s="82">
        <v>15</v>
      </c>
      <c r="Z6" s="78" t="s">
        <v>79</v>
      </c>
      <c r="AA6" s="81">
        <v>0</v>
      </c>
      <c r="AB6" s="81">
        <v>222</v>
      </c>
      <c r="AC6" s="78" t="s">
        <v>994</v>
      </c>
      <c r="AD6" s="83">
        <f t="shared" si="0"/>
        <v>0.15</v>
      </c>
      <c r="AE6" s="82">
        <f t="shared" si="1"/>
        <v>188.7</v>
      </c>
      <c r="AF6" s="84"/>
      <c r="AG6" s="84"/>
      <c r="AH6" s="85" t="s">
        <v>1012</v>
      </c>
      <c r="AI6" s="86">
        <f t="shared" si="2"/>
        <v>46241</v>
      </c>
      <c r="AJ6" s="87"/>
      <c r="AK6" s="88"/>
      <c r="AL6" s="89"/>
      <c r="AM6" s="40"/>
      <c r="AN6" s="40"/>
      <c r="AO6" s="40"/>
      <c r="AP6" s="40"/>
      <c r="AQ6" s="90"/>
      <c r="AR6" s="88"/>
      <c r="AS6" s="88"/>
      <c r="AT6" s="91"/>
      <c r="AU6" s="91"/>
      <c r="AV6" s="92"/>
      <c r="AW6" s="93"/>
    </row>
    <row r="7" spans="1:55" hidden="1" x14ac:dyDescent="0.25">
      <c r="A7" s="57">
        <v>46226</v>
      </c>
      <c r="B7" s="58" t="s">
        <v>1015</v>
      </c>
      <c r="C7" s="59">
        <v>34</v>
      </c>
      <c r="D7" s="58" t="s">
        <v>982</v>
      </c>
      <c r="E7" s="58" t="s">
        <v>1016</v>
      </c>
      <c r="F7" s="58" t="s">
        <v>984</v>
      </c>
      <c r="G7" s="58" t="s">
        <v>1017</v>
      </c>
      <c r="H7" s="59">
        <v>1030110211</v>
      </c>
      <c r="I7" s="59">
        <v>215029</v>
      </c>
      <c r="J7" s="60" t="s">
        <v>1018</v>
      </c>
      <c r="K7" s="60" t="s">
        <v>1019</v>
      </c>
      <c r="L7" s="58" t="s">
        <v>988</v>
      </c>
      <c r="M7" s="58" t="s">
        <v>989</v>
      </c>
      <c r="N7" s="60" t="s">
        <v>990</v>
      </c>
      <c r="O7" s="61">
        <v>255</v>
      </c>
      <c r="P7" s="61">
        <v>255</v>
      </c>
      <c r="Q7" s="61">
        <v>255</v>
      </c>
      <c r="R7" s="60">
        <v>1</v>
      </c>
      <c r="S7" s="60" t="s">
        <v>1000</v>
      </c>
      <c r="T7" s="61">
        <v>0</v>
      </c>
      <c r="U7" s="61">
        <v>38.25</v>
      </c>
      <c r="V7" s="61">
        <v>216.75</v>
      </c>
      <c r="W7" s="58" t="s">
        <v>992</v>
      </c>
      <c r="X7" s="58" t="s">
        <v>993</v>
      </c>
      <c r="Y7" s="62">
        <v>15</v>
      </c>
      <c r="Z7" s="58" t="s">
        <v>79</v>
      </c>
      <c r="AA7" s="61">
        <v>0</v>
      </c>
      <c r="AB7" s="61">
        <v>255</v>
      </c>
      <c r="AC7" s="58" t="s">
        <v>69</v>
      </c>
      <c r="AD7" s="63">
        <f t="shared" si="0"/>
        <v>0.15</v>
      </c>
      <c r="AE7" s="62">
        <f t="shared" si="1"/>
        <v>216.75</v>
      </c>
      <c r="AH7" s="60" t="s">
        <v>1016</v>
      </c>
      <c r="AI7" s="24">
        <f t="shared" si="2"/>
        <v>46241</v>
      </c>
      <c r="AJ7" s="64">
        <f>AK7-O7</f>
        <v>0</v>
      </c>
      <c r="AK7" s="19">
        <f>O7</f>
        <v>255</v>
      </c>
      <c r="AL7" s="75"/>
      <c r="AQ7" s="69">
        <f>IF(R7=1,AK7,IF(R7=2,AL7,0))</f>
        <v>255</v>
      </c>
      <c r="AR7" s="70">
        <f>+AQ7*$AR$1</f>
        <v>38.25</v>
      </c>
      <c r="AS7" s="70"/>
      <c r="AT7" s="71">
        <f t="shared" ref="AT7:AT26" si="3">+AQ7-AR7-AS7</f>
        <v>216.75</v>
      </c>
      <c r="AU7" s="71"/>
      <c r="AV7" s="72"/>
      <c r="AW7" s="70">
        <f t="shared" ref="AW7:AW26" si="4">+AT7</f>
        <v>216.75</v>
      </c>
    </row>
    <row r="8" spans="1:55" hidden="1" x14ac:dyDescent="0.25">
      <c r="A8" s="57">
        <v>46226</v>
      </c>
      <c r="B8" s="58" t="s">
        <v>1020</v>
      </c>
      <c r="C8" s="59">
        <v>34</v>
      </c>
      <c r="D8" s="58" t="s">
        <v>982</v>
      </c>
      <c r="E8" s="58" t="s">
        <v>1021</v>
      </c>
      <c r="F8" s="58" t="s">
        <v>984</v>
      </c>
      <c r="G8" s="58" t="s">
        <v>1022</v>
      </c>
      <c r="H8" s="59">
        <v>1030103490</v>
      </c>
      <c r="I8" s="59">
        <v>214888</v>
      </c>
      <c r="J8" s="60" t="s">
        <v>1023</v>
      </c>
      <c r="K8" s="60" t="s">
        <v>1024</v>
      </c>
      <c r="L8" s="58" t="s">
        <v>988</v>
      </c>
      <c r="M8" s="58" t="s">
        <v>989</v>
      </c>
      <c r="N8" s="60" t="s">
        <v>990</v>
      </c>
      <c r="O8" s="61">
        <v>1287</v>
      </c>
      <c r="P8" s="61">
        <v>1287</v>
      </c>
      <c r="Q8" s="61">
        <v>1287</v>
      </c>
      <c r="R8" s="60">
        <v>1</v>
      </c>
      <c r="S8" s="60" t="s">
        <v>1000</v>
      </c>
      <c r="T8" s="61">
        <v>0</v>
      </c>
      <c r="U8" s="61">
        <v>193.05</v>
      </c>
      <c r="V8" s="61">
        <v>1093.95</v>
      </c>
      <c r="W8" s="58" t="s">
        <v>992</v>
      </c>
      <c r="X8" s="58" t="s">
        <v>993</v>
      </c>
      <c r="Y8" s="62">
        <v>15</v>
      </c>
      <c r="Z8" s="58" t="s">
        <v>79</v>
      </c>
      <c r="AA8" s="61">
        <v>0</v>
      </c>
      <c r="AB8" s="61">
        <v>3949</v>
      </c>
      <c r="AC8" s="58" t="s">
        <v>69</v>
      </c>
      <c r="AD8" s="63">
        <f t="shared" si="0"/>
        <v>0.15000000000000002</v>
      </c>
      <c r="AE8" s="62">
        <f t="shared" si="1"/>
        <v>1093.95</v>
      </c>
      <c r="AH8" s="60" t="s">
        <v>1021</v>
      </c>
      <c r="AI8" s="24">
        <f t="shared" si="2"/>
        <v>46241</v>
      </c>
      <c r="AJ8" s="64">
        <f>AK8-O8</f>
        <v>0</v>
      </c>
      <c r="AK8" s="19">
        <f>O8</f>
        <v>1287</v>
      </c>
      <c r="AL8" s="75"/>
      <c r="AQ8" s="69">
        <f>IF(R8=1,AK8,IF(R8=2,AL8,0))</f>
        <v>1287</v>
      </c>
      <c r="AR8" s="70">
        <f>+AQ8*$AR$1</f>
        <v>193.04999999999998</v>
      </c>
      <c r="AS8" s="70"/>
      <c r="AT8" s="71">
        <f t="shared" si="3"/>
        <v>1093.95</v>
      </c>
      <c r="AU8" s="71"/>
      <c r="AV8" s="72"/>
      <c r="AW8" s="70">
        <f t="shared" si="4"/>
        <v>1093.95</v>
      </c>
    </row>
    <row r="9" spans="1:55" hidden="1" x14ac:dyDescent="0.25">
      <c r="A9" s="57">
        <v>46226</v>
      </c>
      <c r="B9" s="58" t="s">
        <v>1020</v>
      </c>
      <c r="C9" s="59">
        <v>34</v>
      </c>
      <c r="D9" s="58" t="s">
        <v>982</v>
      </c>
      <c r="E9" s="58" t="s">
        <v>1021</v>
      </c>
      <c r="F9" s="58" t="s">
        <v>984</v>
      </c>
      <c r="G9" s="58" t="s">
        <v>1025</v>
      </c>
      <c r="H9" s="59">
        <v>1030102500</v>
      </c>
      <c r="I9" s="59">
        <v>214968</v>
      </c>
      <c r="J9" s="60" t="s">
        <v>1026</v>
      </c>
      <c r="K9" s="60" t="s">
        <v>1027</v>
      </c>
      <c r="L9" s="58" t="s">
        <v>988</v>
      </c>
      <c r="M9" s="58" t="s">
        <v>989</v>
      </c>
      <c r="N9" s="60" t="s">
        <v>990</v>
      </c>
      <c r="O9" s="61">
        <v>565</v>
      </c>
      <c r="P9" s="61">
        <v>565</v>
      </c>
      <c r="Q9" s="61">
        <v>565</v>
      </c>
      <c r="R9" s="60">
        <v>1</v>
      </c>
      <c r="S9" s="60" t="s">
        <v>1000</v>
      </c>
      <c r="T9" s="61">
        <v>0</v>
      </c>
      <c r="U9" s="61">
        <v>84.75</v>
      </c>
      <c r="V9" s="61">
        <v>480.25</v>
      </c>
      <c r="W9" s="58" t="s">
        <v>73</v>
      </c>
      <c r="X9" s="58" t="s">
        <v>73</v>
      </c>
      <c r="Y9" s="58" t="s">
        <v>73</v>
      </c>
      <c r="Z9" s="58" t="s">
        <v>79</v>
      </c>
      <c r="AA9" s="61">
        <v>0</v>
      </c>
      <c r="AB9" s="61">
        <v>3949</v>
      </c>
      <c r="AC9" s="58" t="s">
        <v>69</v>
      </c>
      <c r="AD9" s="63">
        <f t="shared" si="0"/>
        <v>0.15</v>
      </c>
      <c r="AE9" s="62">
        <f t="shared" si="1"/>
        <v>480.25</v>
      </c>
      <c r="AH9" s="60" t="s">
        <v>1021</v>
      </c>
      <c r="AI9" s="24">
        <f t="shared" si="2"/>
        <v>46241</v>
      </c>
      <c r="AJ9" s="64">
        <f>AK9-O9</f>
        <v>0</v>
      </c>
      <c r="AK9" s="19">
        <f>O9</f>
        <v>565</v>
      </c>
      <c r="AL9" s="75"/>
      <c r="AQ9" s="69">
        <f>IF(R9=1,AK9,IF(R9=2,AL9,0))</f>
        <v>565</v>
      </c>
      <c r="AR9" s="70">
        <f>+AQ9*$AR$1</f>
        <v>84.75</v>
      </c>
      <c r="AS9" s="70"/>
      <c r="AT9" s="71">
        <f t="shared" si="3"/>
        <v>480.25</v>
      </c>
      <c r="AU9" s="71"/>
      <c r="AV9" s="72"/>
      <c r="AW9" s="70">
        <f t="shared" si="4"/>
        <v>480.25</v>
      </c>
    </row>
    <row r="10" spans="1:55" x14ac:dyDescent="0.25">
      <c r="A10" s="57">
        <v>46226</v>
      </c>
      <c r="B10" s="58" t="s">
        <v>1020</v>
      </c>
      <c r="C10" s="59">
        <v>34</v>
      </c>
      <c r="D10" s="58" t="s">
        <v>982</v>
      </c>
      <c r="E10" s="58" t="s">
        <v>1021</v>
      </c>
      <c r="F10" s="58" t="s">
        <v>984</v>
      </c>
      <c r="G10" s="58" t="s">
        <v>1028</v>
      </c>
      <c r="H10" s="59">
        <v>1030110480</v>
      </c>
      <c r="I10" s="59">
        <v>214823</v>
      </c>
      <c r="J10" s="60" t="s">
        <v>1029</v>
      </c>
      <c r="K10" s="60" t="s">
        <v>1030</v>
      </c>
      <c r="L10" s="58" t="s">
        <v>988</v>
      </c>
      <c r="M10" s="58" t="s">
        <v>989</v>
      </c>
      <c r="N10" s="60" t="s">
        <v>1031</v>
      </c>
      <c r="O10" s="61">
        <v>385</v>
      </c>
      <c r="P10" s="61">
        <v>385</v>
      </c>
      <c r="Q10" s="61">
        <v>385</v>
      </c>
      <c r="R10" s="60">
        <v>1</v>
      </c>
      <c r="S10" s="60" t="s">
        <v>1000</v>
      </c>
      <c r="T10" s="61">
        <v>0</v>
      </c>
      <c r="U10" s="61">
        <v>57.75</v>
      </c>
      <c r="V10" s="61">
        <v>327.25</v>
      </c>
      <c r="W10" s="58" t="s">
        <v>73</v>
      </c>
      <c r="X10" s="58" t="s">
        <v>73</v>
      </c>
      <c r="Y10" s="58" t="s">
        <v>73</v>
      </c>
      <c r="Z10" s="58" t="s">
        <v>79</v>
      </c>
      <c r="AA10" s="61">
        <v>0</v>
      </c>
      <c r="AB10" s="61">
        <v>3949</v>
      </c>
      <c r="AC10" s="58" t="s">
        <v>69</v>
      </c>
      <c r="AD10" s="63">
        <f t="shared" si="0"/>
        <v>0.15</v>
      </c>
      <c r="AE10" s="62">
        <f t="shared" si="1"/>
        <v>327.25</v>
      </c>
      <c r="AH10" s="74" t="s">
        <v>1021</v>
      </c>
      <c r="AI10" s="24">
        <f t="shared" si="2"/>
        <v>46241</v>
      </c>
      <c r="AJ10" s="64">
        <f>O10-AK10</f>
        <v>0</v>
      </c>
      <c r="AK10" s="19" cm="1">
        <f t="array" ref="AK10:AP10">_xlfn.XLOOKUP(H10,'[1]Discount RM '!U:U,'[1]Discount RM '!N:S, "NA",0)</f>
        <v>385</v>
      </c>
      <c r="AL10" s="75" t="str">
        <v>788.00</v>
      </c>
      <c r="AM10" t="str">
        <v>-</v>
      </c>
      <c r="AN10">
        <v>2</v>
      </c>
      <c r="AO10">
        <v>57.75</v>
      </c>
      <c r="AP10">
        <v>38.5</v>
      </c>
      <c r="AQ10" s="69">
        <f>+AK10</f>
        <v>385</v>
      </c>
      <c r="AR10" s="70"/>
      <c r="AS10" s="70">
        <f>$AS$1*AQ10</f>
        <v>38.5</v>
      </c>
      <c r="AT10" s="71">
        <f t="shared" si="3"/>
        <v>346.5</v>
      </c>
      <c r="AU10" s="71"/>
      <c r="AV10" s="76"/>
      <c r="AW10" s="70">
        <f t="shared" si="4"/>
        <v>346.5</v>
      </c>
    </row>
    <row r="11" spans="1:55" x14ac:dyDescent="0.25">
      <c r="A11" s="57">
        <v>46226</v>
      </c>
      <c r="B11" s="58" t="s">
        <v>1020</v>
      </c>
      <c r="C11" s="59">
        <v>34</v>
      </c>
      <c r="D11" s="58" t="s">
        <v>982</v>
      </c>
      <c r="E11" s="58" t="s">
        <v>1021</v>
      </c>
      <c r="F11" s="58" t="s">
        <v>984</v>
      </c>
      <c r="G11" s="58" t="s">
        <v>1032</v>
      </c>
      <c r="H11" s="59">
        <v>1030110426</v>
      </c>
      <c r="I11" s="59">
        <v>215020</v>
      </c>
      <c r="J11" s="60" t="s">
        <v>1029</v>
      </c>
      <c r="K11" s="60" t="s">
        <v>1033</v>
      </c>
      <c r="L11" s="58" t="s">
        <v>988</v>
      </c>
      <c r="M11" s="58" t="s">
        <v>989</v>
      </c>
      <c r="N11" s="60" t="s">
        <v>990</v>
      </c>
      <c r="O11" s="61">
        <v>399</v>
      </c>
      <c r="P11" s="61">
        <v>399</v>
      </c>
      <c r="Q11" s="61">
        <v>399</v>
      </c>
      <c r="R11" s="60">
        <v>1</v>
      </c>
      <c r="S11" s="60" t="s">
        <v>1000</v>
      </c>
      <c r="T11" s="61">
        <v>0</v>
      </c>
      <c r="U11" s="61">
        <v>59.85</v>
      </c>
      <c r="V11" s="61">
        <v>339.15</v>
      </c>
      <c r="W11" s="58" t="s">
        <v>73</v>
      </c>
      <c r="X11" s="58" t="s">
        <v>73</v>
      </c>
      <c r="Y11" s="58" t="s">
        <v>73</v>
      </c>
      <c r="Z11" s="58" t="s">
        <v>79</v>
      </c>
      <c r="AA11" s="61">
        <v>0</v>
      </c>
      <c r="AB11" s="61">
        <v>3949</v>
      </c>
      <c r="AC11" s="58" t="s">
        <v>69</v>
      </c>
      <c r="AD11" s="63">
        <f t="shared" si="0"/>
        <v>0.15</v>
      </c>
      <c r="AE11" s="62">
        <f t="shared" si="1"/>
        <v>339.15</v>
      </c>
      <c r="AH11" s="74" t="s">
        <v>1021</v>
      </c>
      <c r="AI11" s="24">
        <f t="shared" si="2"/>
        <v>46241</v>
      </c>
      <c r="AJ11" s="64">
        <f>O11-AK11</f>
        <v>0</v>
      </c>
      <c r="AK11" s="19" cm="1">
        <f t="array" ref="AK11:AP11">_xlfn.XLOOKUP(H11,'[1]Discount RM '!U:U,'[1]Discount RM '!N:S, "NA",0)</f>
        <v>399</v>
      </c>
      <c r="AL11" s="75" t="str">
        <v>598.00</v>
      </c>
      <c r="AM11" t="str">
        <v>-</v>
      </c>
      <c r="AN11">
        <v>2</v>
      </c>
      <c r="AO11">
        <v>59.849999999999994</v>
      </c>
      <c r="AP11">
        <v>39.900000000000006</v>
      </c>
      <c r="AQ11" s="69">
        <f>+AK11</f>
        <v>399</v>
      </c>
      <c r="AR11" s="70"/>
      <c r="AS11" s="70">
        <f>$AS$1*AQ11</f>
        <v>39.900000000000006</v>
      </c>
      <c r="AT11" s="71">
        <f t="shared" si="3"/>
        <v>359.1</v>
      </c>
      <c r="AU11" s="71"/>
      <c r="AV11" s="76"/>
      <c r="AW11" s="70">
        <f t="shared" si="4"/>
        <v>359.1</v>
      </c>
    </row>
    <row r="12" spans="1:55" hidden="1" x14ac:dyDescent="0.25">
      <c r="A12" s="57">
        <v>46226</v>
      </c>
      <c r="B12" s="58" t="s">
        <v>1020</v>
      </c>
      <c r="C12" s="59">
        <v>34</v>
      </c>
      <c r="D12" s="58" t="s">
        <v>982</v>
      </c>
      <c r="E12" s="58" t="s">
        <v>1021</v>
      </c>
      <c r="F12" s="58" t="s">
        <v>984</v>
      </c>
      <c r="G12" s="58" t="s">
        <v>1034</v>
      </c>
      <c r="H12" s="59">
        <v>1030109634</v>
      </c>
      <c r="I12" s="59">
        <v>214937</v>
      </c>
      <c r="J12" s="60" t="s">
        <v>1035</v>
      </c>
      <c r="K12" s="60" t="s">
        <v>1036</v>
      </c>
      <c r="L12" s="58" t="s">
        <v>988</v>
      </c>
      <c r="M12" s="58" t="s">
        <v>989</v>
      </c>
      <c r="N12" s="60" t="s">
        <v>990</v>
      </c>
      <c r="O12" s="61">
        <v>743</v>
      </c>
      <c r="P12" s="61">
        <v>743</v>
      </c>
      <c r="Q12" s="61">
        <v>743</v>
      </c>
      <c r="R12" s="60">
        <v>1</v>
      </c>
      <c r="S12" s="60" t="s">
        <v>1000</v>
      </c>
      <c r="T12" s="61">
        <v>0</v>
      </c>
      <c r="U12" s="61">
        <v>111.45</v>
      </c>
      <c r="V12" s="61">
        <v>631.54999999999995</v>
      </c>
      <c r="W12" s="58" t="s">
        <v>73</v>
      </c>
      <c r="X12" s="58" t="s">
        <v>73</v>
      </c>
      <c r="Y12" s="58" t="s">
        <v>73</v>
      </c>
      <c r="Z12" s="58" t="s">
        <v>79</v>
      </c>
      <c r="AA12" s="61">
        <v>0</v>
      </c>
      <c r="AB12" s="61">
        <v>3949</v>
      </c>
      <c r="AC12" s="58" t="s">
        <v>69</v>
      </c>
      <c r="AD12" s="63">
        <f t="shared" si="0"/>
        <v>0.15</v>
      </c>
      <c r="AE12" s="62">
        <f t="shared" si="1"/>
        <v>631.54999999999995</v>
      </c>
      <c r="AH12" s="60" t="s">
        <v>1021</v>
      </c>
      <c r="AI12" s="24">
        <f t="shared" si="2"/>
        <v>46241</v>
      </c>
      <c r="AJ12" s="64">
        <f t="shared" ref="AJ12:AJ17" si="5">AK12-O12</f>
        <v>0</v>
      </c>
      <c r="AK12" s="19">
        <f t="shared" ref="AK12:AK17" si="6">O12</f>
        <v>743</v>
      </c>
      <c r="AL12" s="75"/>
      <c r="AQ12" s="69">
        <f t="shared" ref="AQ12:AQ17" si="7">IF(R12=1,AK12,IF(R12=2,AL12,0))</f>
        <v>743</v>
      </c>
      <c r="AR12" s="70">
        <f t="shared" ref="AR12:AR17" si="8">+AQ12*$AR$1</f>
        <v>111.45</v>
      </c>
      <c r="AS12" s="70"/>
      <c r="AT12" s="71">
        <f t="shared" si="3"/>
        <v>631.54999999999995</v>
      </c>
      <c r="AU12" s="71"/>
      <c r="AV12" s="72"/>
      <c r="AW12" s="70">
        <f t="shared" si="4"/>
        <v>631.54999999999995</v>
      </c>
    </row>
    <row r="13" spans="1:55" hidden="1" x14ac:dyDescent="0.25">
      <c r="A13" s="57">
        <v>46226</v>
      </c>
      <c r="B13" s="58" t="s">
        <v>1020</v>
      </c>
      <c r="C13" s="59">
        <v>34</v>
      </c>
      <c r="D13" s="58" t="s">
        <v>982</v>
      </c>
      <c r="E13" s="58" t="s">
        <v>1021</v>
      </c>
      <c r="F13" s="58" t="s">
        <v>984</v>
      </c>
      <c r="G13" s="58" t="s">
        <v>1037</v>
      </c>
      <c r="H13" s="59">
        <v>1030101272</v>
      </c>
      <c r="I13" s="59">
        <v>214918</v>
      </c>
      <c r="J13" s="60" t="s">
        <v>1035</v>
      </c>
      <c r="K13" s="60" t="s">
        <v>1038</v>
      </c>
      <c r="L13" s="58" t="s">
        <v>988</v>
      </c>
      <c r="M13" s="58" t="s">
        <v>989</v>
      </c>
      <c r="N13" s="60" t="s">
        <v>1039</v>
      </c>
      <c r="O13" s="61">
        <v>570</v>
      </c>
      <c r="P13" s="61">
        <v>570</v>
      </c>
      <c r="Q13" s="61">
        <v>570</v>
      </c>
      <c r="R13" s="60">
        <v>1</v>
      </c>
      <c r="S13" s="60" t="s">
        <v>1000</v>
      </c>
      <c r="T13" s="61">
        <v>0</v>
      </c>
      <c r="U13" s="61">
        <v>85.5</v>
      </c>
      <c r="V13" s="61">
        <v>484.5</v>
      </c>
      <c r="W13" s="58" t="s">
        <v>73</v>
      </c>
      <c r="X13" s="58" t="s">
        <v>73</v>
      </c>
      <c r="Y13" s="58" t="s">
        <v>73</v>
      </c>
      <c r="Z13" s="58" t="s">
        <v>79</v>
      </c>
      <c r="AA13" s="61">
        <v>0</v>
      </c>
      <c r="AB13" s="61">
        <v>3949</v>
      </c>
      <c r="AC13" s="58" t="s">
        <v>69</v>
      </c>
      <c r="AD13" s="63">
        <f t="shared" si="0"/>
        <v>0.15</v>
      </c>
      <c r="AE13" s="62">
        <f>+O13-U13-V13</f>
        <v>0</v>
      </c>
      <c r="AH13" s="60" t="s">
        <v>1021</v>
      </c>
      <c r="AI13" s="24">
        <f t="shared" si="2"/>
        <v>46241</v>
      </c>
      <c r="AJ13" s="64">
        <f t="shared" si="5"/>
        <v>0</v>
      </c>
      <c r="AK13" s="19">
        <f t="shared" si="6"/>
        <v>570</v>
      </c>
      <c r="AL13" s="75"/>
      <c r="AQ13" s="69">
        <f t="shared" si="7"/>
        <v>570</v>
      </c>
      <c r="AR13" s="70">
        <f t="shared" si="8"/>
        <v>85.5</v>
      </c>
      <c r="AS13" s="70"/>
      <c r="AT13" s="71">
        <f t="shared" si="3"/>
        <v>484.5</v>
      </c>
      <c r="AU13" s="71"/>
      <c r="AV13" s="72"/>
      <c r="AW13" s="70">
        <f t="shared" si="4"/>
        <v>484.5</v>
      </c>
    </row>
    <row r="14" spans="1:55" hidden="1" x14ac:dyDescent="0.25">
      <c r="A14" s="57">
        <v>46227</v>
      </c>
      <c r="B14" s="58" t="s">
        <v>1040</v>
      </c>
      <c r="C14" s="59">
        <v>34</v>
      </c>
      <c r="D14" s="58" t="s">
        <v>982</v>
      </c>
      <c r="E14" s="58" t="s">
        <v>1041</v>
      </c>
      <c r="F14" s="58" t="s">
        <v>984</v>
      </c>
      <c r="G14" s="58" t="s">
        <v>1042</v>
      </c>
      <c r="H14" s="59">
        <v>1030101336</v>
      </c>
      <c r="I14" s="59">
        <v>219287</v>
      </c>
      <c r="J14" s="60" t="s">
        <v>1043</v>
      </c>
      <c r="K14" s="60" t="s">
        <v>1044</v>
      </c>
      <c r="L14" s="58" t="s">
        <v>988</v>
      </c>
      <c r="M14" s="58" t="s">
        <v>989</v>
      </c>
      <c r="N14" s="60" t="s">
        <v>1039</v>
      </c>
      <c r="O14" s="61">
        <v>38</v>
      </c>
      <c r="P14" s="61">
        <v>38</v>
      </c>
      <c r="Q14" s="61">
        <v>38</v>
      </c>
      <c r="R14" s="60">
        <v>1</v>
      </c>
      <c r="S14" s="60" t="s">
        <v>1000</v>
      </c>
      <c r="T14" s="61">
        <v>0</v>
      </c>
      <c r="U14" s="61">
        <v>5.7</v>
      </c>
      <c r="V14" s="61">
        <v>32.299999999999997</v>
      </c>
      <c r="W14" s="58" t="s">
        <v>992</v>
      </c>
      <c r="X14" s="58" t="s">
        <v>993</v>
      </c>
      <c r="Y14" s="62">
        <v>15</v>
      </c>
      <c r="Z14" s="58" t="s">
        <v>79</v>
      </c>
      <c r="AA14" s="61">
        <v>0</v>
      </c>
      <c r="AB14" s="61">
        <v>158</v>
      </c>
      <c r="AC14" s="58" t="s">
        <v>69</v>
      </c>
      <c r="AD14" s="63">
        <f t="shared" si="0"/>
        <v>0.15</v>
      </c>
      <c r="AE14" s="62">
        <f t="shared" ref="AE14:AE19" si="9">+O14-U14</f>
        <v>32.299999999999997</v>
      </c>
      <c r="AH14" s="60" t="s">
        <v>1041</v>
      </c>
      <c r="AI14" s="24">
        <f t="shared" si="2"/>
        <v>46242</v>
      </c>
      <c r="AJ14" s="64">
        <f t="shared" si="5"/>
        <v>0</v>
      </c>
      <c r="AK14" s="19">
        <f t="shared" si="6"/>
        <v>38</v>
      </c>
      <c r="AL14" s="75"/>
      <c r="AQ14" s="69">
        <f t="shared" si="7"/>
        <v>38</v>
      </c>
      <c r="AR14" s="70">
        <f t="shared" si="8"/>
        <v>5.7</v>
      </c>
      <c r="AS14" s="70"/>
      <c r="AT14" s="71">
        <f t="shared" si="3"/>
        <v>32.299999999999997</v>
      </c>
      <c r="AU14" s="71"/>
      <c r="AV14" s="72"/>
      <c r="AW14" s="70">
        <f t="shared" si="4"/>
        <v>32.299999999999997</v>
      </c>
    </row>
    <row r="15" spans="1:55" hidden="1" x14ac:dyDescent="0.25">
      <c r="A15" s="57">
        <v>46227</v>
      </c>
      <c r="B15" s="58" t="s">
        <v>1040</v>
      </c>
      <c r="C15" s="59">
        <v>34</v>
      </c>
      <c r="D15" s="58" t="s">
        <v>982</v>
      </c>
      <c r="E15" s="58" t="s">
        <v>1041</v>
      </c>
      <c r="F15" s="58" t="s">
        <v>984</v>
      </c>
      <c r="G15" s="58" t="s">
        <v>1045</v>
      </c>
      <c r="H15" s="59">
        <v>1030103712</v>
      </c>
      <c r="I15" s="59">
        <v>215083</v>
      </c>
      <c r="J15" s="60" t="s">
        <v>1043</v>
      </c>
      <c r="K15" s="60" t="s">
        <v>1046</v>
      </c>
      <c r="L15" s="58" t="s">
        <v>988</v>
      </c>
      <c r="M15" s="58" t="s">
        <v>989</v>
      </c>
      <c r="N15" s="60" t="s">
        <v>1039</v>
      </c>
      <c r="O15" s="61">
        <v>32</v>
      </c>
      <c r="P15" s="61">
        <v>32</v>
      </c>
      <c r="Q15" s="61">
        <v>32</v>
      </c>
      <c r="R15" s="60">
        <v>1</v>
      </c>
      <c r="S15" s="60" t="s">
        <v>1000</v>
      </c>
      <c r="T15" s="61">
        <v>0</v>
      </c>
      <c r="U15" s="61">
        <v>4.8</v>
      </c>
      <c r="V15" s="61">
        <v>27.2</v>
      </c>
      <c r="W15" s="58" t="s">
        <v>73</v>
      </c>
      <c r="X15" s="58" t="s">
        <v>73</v>
      </c>
      <c r="Y15" s="58" t="s">
        <v>73</v>
      </c>
      <c r="Z15" s="58" t="s">
        <v>79</v>
      </c>
      <c r="AA15" s="61">
        <v>0</v>
      </c>
      <c r="AB15" s="61">
        <v>158</v>
      </c>
      <c r="AC15" s="58" t="s">
        <v>69</v>
      </c>
      <c r="AD15" s="63">
        <f t="shared" si="0"/>
        <v>0.15</v>
      </c>
      <c r="AE15" s="62">
        <f t="shared" si="9"/>
        <v>27.2</v>
      </c>
      <c r="AH15" s="60" t="s">
        <v>1041</v>
      </c>
      <c r="AI15" s="24">
        <f t="shared" si="2"/>
        <v>46242</v>
      </c>
      <c r="AJ15" s="64">
        <f t="shared" si="5"/>
        <v>0</v>
      </c>
      <c r="AK15" s="19">
        <f t="shared" si="6"/>
        <v>32</v>
      </c>
      <c r="AL15" s="75"/>
      <c r="AQ15" s="69">
        <f t="shared" si="7"/>
        <v>32</v>
      </c>
      <c r="AR15" s="70">
        <f t="shared" si="8"/>
        <v>4.8</v>
      </c>
      <c r="AS15" s="70"/>
      <c r="AT15" s="71">
        <f t="shared" si="3"/>
        <v>27.2</v>
      </c>
      <c r="AU15" s="71"/>
      <c r="AV15" s="72"/>
      <c r="AW15" s="70">
        <f t="shared" si="4"/>
        <v>27.2</v>
      </c>
    </row>
    <row r="16" spans="1:55" hidden="1" x14ac:dyDescent="0.25">
      <c r="A16" s="57">
        <v>46227</v>
      </c>
      <c r="B16" s="58" t="s">
        <v>1040</v>
      </c>
      <c r="C16" s="59">
        <v>34</v>
      </c>
      <c r="D16" s="58" t="s">
        <v>982</v>
      </c>
      <c r="E16" s="58" t="s">
        <v>1041</v>
      </c>
      <c r="F16" s="58" t="s">
        <v>984</v>
      </c>
      <c r="G16" s="58" t="s">
        <v>1047</v>
      </c>
      <c r="H16" s="59">
        <v>1030101809</v>
      </c>
      <c r="I16" s="59">
        <v>215030</v>
      </c>
      <c r="J16" s="60" t="s">
        <v>1048</v>
      </c>
      <c r="K16" s="60" t="s">
        <v>1049</v>
      </c>
      <c r="L16" s="58" t="s">
        <v>988</v>
      </c>
      <c r="M16" s="58" t="s">
        <v>989</v>
      </c>
      <c r="N16" s="60" t="s">
        <v>1039</v>
      </c>
      <c r="O16" s="61">
        <v>53</v>
      </c>
      <c r="P16" s="61">
        <v>53</v>
      </c>
      <c r="Q16" s="61">
        <v>53</v>
      </c>
      <c r="R16" s="60">
        <v>1</v>
      </c>
      <c r="S16" s="60" t="s">
        <v>1000</v>
      </c>
      <c r="T16" s="61">
        <v>0</v>
      </c>
      <c r="U16" s="61">
        <v>7.95</v>
      </c>
      <c r="V16" s="61">
        <v>45.05</v>
      </c>
      <c r="W16" s="58" t="s">
        <v>73</v>
      </c>
      <c r="X16" s="58" t="s">
        <v>73</v>
      </c>
      <c r="Y16" s="58" t="s">
        <v>73</v>
      </c>
      <c r="Z16" s="58" t="s">
        <v>79</v>
      </c>
      <c r="AA16" s="61">
        <v>0</v>
      </c>
      <c r="AB16" s="61">
        <v>158</v>
      </c>
      <c r="AC16" s="58" t="s">
        <v>69</v>
      </c>
      <c r="AD16" s="63">
        <f t="shared" si="0"/>
        <v>0.15</v>
      </c>
      <c r="AE16" s="62">
        <f t="shared" si="9"/>
        <v>45.05</v>
      </c>
      <c r="AH16" s="60" t="s">
        <v>1041</v>
      </c>
      <c r="AI16" s="24">
        <f t="shared" si="2"/>
        <v>46242</v>
      </c>
      <c r="AJ16" s="64">
        <f t="shared" si="5"/>
        <v>0</v>
      </c>
      <c r="AK16" s="19">
        <f t="shared" si="6"/>
        <v>53</v>
      </c>
      <c r="AL16" s="75"/>
      <c r="AQ16" s="69">
        <f t="shared" si="7"/>
        <v>53</v>
      </c>
      <c r="AR16" s="70">
        <f t="shared" si="8"/>
        <v>7.9499999999999993</v>
      </c>
      <c r="AS16" s="70"/>
      <c r="AT16" s="71">
        <f t="shared" si="3"/>
        <v>45.05</v>
      </c>
      <c r="AU16" s="71"/>
      <c r="AV16" s="72"/>
      <c r="AW16" s="70">
        <f t="shared" si="4"/>
        <v>45.05</v>
      </c>
    </row>
    <row r="17" spans="1:54" hidden="1" x14ac:dyDescent="0.25">
      <c r="A17" s="57">
        <v>46227</v>
      </c>
      <c r="B17" s="58" t="s">
        <v>1040</v>
      </c>
      <c r="C17" s="59">
        <v>34</v>
      </c>
      <c r="D17" s="58" t="s">
        <v>982</v>
      </c>
      <c r="E17" s="58" t="s">
        <v>1041</v>
      </c>
      <c r="F17" s="58" t="s">
        <v>984</v>
      </c>
      <c r="G17" s="58" t="s">
        <v>1050</v>
      </c>
      <c r="H17" s="59">
        <v>1030101124</v>
      </c>
      <c r="I17" s="59">
        <v>215039</v>
      </c>
      <c r="J17" s="60" t="s">
        <v>1051</v>
      </c>
      <c r="K17" s="60" t="s">
        <v>1052</v>
      </c>
      <c r="L17" s="58" t="s">
        <v>988</v>
      </c>
      <c r="M17" s="58" t="s">
        <v>989</v>
      </c>
      <c r="N17" s="60" t="s">
        <v>1039</v>
      </c>
      <c r="O17" s="61">
        <v>35</v>
      </c>
      <c r="P17" s="61">
        <v>35</v>
      </c>
      <c r="Q17" s="61">
        <v>35</v>
      </c>
      <c r="R17" s="60">
        <v>1</v>
      </c>
      <c r="S17" s="60" t="s">
        <v>1000</v>
      </c>
      <c r="T17" s="61">
        <v>0</v>
      </c>
      <c r="U17" s="61">
        <v>5.25</v>
      </c>
      <c r="V17" s="61">
        <v>29.75</v>
      </c>
      <c r="W17" s="58" t="s">
        <v>73</v>
      </c>
      <c r="X17" s="58" t="s">
        <v>73</v>
      </c>
      <c r="Y17" s="58" t="s">
        <v>73</v>
      </c>
      <c r="Z17" s="58" t="s">
        <v>79</v>
      </c>
      <c r="AA17" s="61">
        <v>0</v>
      </c>
      <c r="AB17" s="61">
        <v>158</v>
      </c>
      <c r="AC17" s="58" t="s">
        <v>69</v>
      </c>
      <c r="AD17" s="63">
        <f t="shared" si="0"/>
        <v>0.15</v>
      </c>
      <c r="AE17" s="62">
        <f t="shared" si="9"/>
        <v>29.75</v>
      </c>
      <c r="AH17" s="60" t="s">
        <v>1041</v>
      </c>
      <c r="AI17" s="24">
        <f t="shared" si="2"/>
        <v>46242</v>
      </c>
      <c r="AJ17" s="64">
        <f t="shared" si="5"/>
        <v>0</v>
      </c>
      <c r="AK17" s="19">
        <f t="shared" si="6"/>
        <v>35</v>
      </c>
      <c r="AL17" s="75"/>
      <c r="AQ17" s="69">
        <f t="shared" si="7"/>
        <v>35</v>
      </c>
      <c r="AR17" s="70">
        <f t="shared" si="8"/>
        <v>5.25</v>
      </c>
      <c r="AS17" s="70"/>
      <c r="AT17" s="71">
        <f t="shared" si="3"/>
        <v>29.75</v>
      </c>
      <c r="AU17" s="71"/>
      <c r="AV17" s="72"/>
      <c r="AW17" s="70">
        <f t="shared" si="4"/>
        <v>29.75</v>
      </c>
    </row>
    <row r="18" spans="1:54" x14ac:dyDescent="0.25">
      <c r="A18" s="57">
        <v>46227</v>
      </c>
      <c r="B18" s="58" t="s">
        <v>1053</v>
      </c>
      <c r="C18" s="59">
        <v>34</v>
      </c>
      <c r="D18" s="58" t="s">
        <v>982</v>
      </c>
      <c r="E18" s="58" t="s">
        <v>1054</v>
      </c>
      <c r="F18" s="58" t="s">
        <v>984</v>
      </c>
      <c r="G18" s="58" t="s">
        <v>1055</v>
      </c>
      <c r="H18" s="59">
        <v>1030110412</v>
      </c>
      <c r="I18" s="59">
        <v>219335</v>
      </c>
      <c r="J18" s="60" t="s">
        <v>1056</v>
      </c>
      <c r="K18" s="60" t="s">
        <v>1057</v>
      </c>
      <c r="L18" s="58" t="s">
        <v>988</v>
      </c>
      <c r="M18" s="58" t="s">
        <v>989</v>
      </c>
      <c r="N18" s="60" t="s">
        <v>990</v>
      </c>
      <c r="O18" s="61">
        <v>199</v>
      </c>
      <c r="P18" s="61">
        <v>199</v>
      </c>
      <c r="Q18" s="61">
        <v>199</v>
      </c>
      <c r="R18" s="60">
        <v>1</v>
      </c>
      <c r="S18" s="60" t="s">
        <v>1000</v>
      </c>
      <c r="T18" s="61">
        <v>0</v>
      </c>
      <c r="U18" s="61">
        <v>29.85</v>
      </c>
      <c r="V18" s="61">
        <v>169.15</v>
      </c>
      <c r="W18" s="58" t="s">
        <v>992</v>
      </c>
      <c r="X18" s="58" t="s">
        <v>993</v>
      </c>
      <c r="Y18" s="62">
        <v>15</v>
      </c>
      <c r="Z18" s="58" t="s">
        <v>79</v>
      </c>
      <c r="AA18" s="61">
        <v>0</v>
      </c>
      <c r="AB18" s="61">
        <v>199</v>
      </c>
      <c r="AC18" s="58" t="s">
        <v>69</v>
      </c>
      <c r="AD18" s="63">
        <f t="shared" si="0"/>
        <v>0.15</v>
      </c>
      <c r="AE18" s="62">
        <f t="shared" si="9"/>
        <v>169.15</v>
      </c>
      <c r="AH18" s="74" t="s">
        <v>1054</v>
      </c>
      <c r="AI18" s="24">
        <f t="shared" si="2"/>
        <v>46242</v>
      </c>
      <c r="AJ18" s="64">
        <f>O18-AK18</f>
        <v>0</v>
      </c>
      <c r="AK18" s="19" cm="1">
        <f t="array" ref="AK18:AP18">_xlfn.XLOOKUP(H18,'[1]Discount RM '!U:U,'[1]Discount RM '!N:S, "NA",0)</f>
        <v>199</v>
      </c>
      <c r="AL18" s="75" t="str">
        <v>316.00</v>
      </c>
      <c r="AM18" t="str">
        <v>-</v>
      </c>
      <c r="AN18">
        <v>2</v>
      </c>
      <c r="AO18">
        <v>29.849999999999998</v>
      </c>
      <c r="AP18">
        <v>19.900000000000002</v>
      </c>
      <c r="AQ18" s="69">
        <f>+AK18</f>
        <v>199</v>
      </c>
      <c r="AR18" s="70"/>
      <c r="AS18" s="70">
        <f>$AS$1*AQ18</f>
        <v>19.900000000000002</v>
      </c>
      <c r="AT18" s="71">
        <f t="shared" si="3"/>
        <v>179.1</v>
      </c>
      <c r="AU18" s="71"/>
      <c r="AV18" s="76"/>
      <c r="AW18" s="70">
        <f t="shared" si="4"/>
        <v>179.1</v>
      </c>
    </row>
    <row r="19" spans="1:54" hidden="1" x14ac:dyDescent="0.25">
      <c r="A19" s="57">
        <v>46228</v>
      </c>
      <c r="B19" s="58" t="s">
        <v>1058</v>
      </c>
      <c r="C19" s="59">
        <v>34</v>
      </c>
      <c r="D19" s="58" t="s">
        <v>982</v>
      </c>
      <c r="E19" s="58" t="s">
        <v>1059</v>
      </c>
      <c r="F19" s="58" t="s">
        <v>984</v>
      </c>
      <c r="G19" s="58" t="s">
        <v>1060</v>
      </c>
      <c r="H19" s="59">
        <v>1030102887</v>
      </c>
      <c r="I19" s="59">
        <v>219291</v>
      </c>
      <c r="J19" s="60" t="s">
        <v>1061</v>
      </c>
      <c r="K19" s="60" t="s">
        <v>1062</v>
      </c>
      <c r="L19" s="58" t="s">
        <v>988</v>
      </c>
      <c r="M19" s="58" t="s">
        <v>989</v>
      </c>
      <c r="N19" s="60" t="s">
        <v>1039</v>
      </c>
      <c r="O19" s="61">
        <v>100</v>
      </c>
      <c r="P19" s="61">
        <v>100</v>
      </c>
      <c r="Q19" s="61">
        <v>100</v>
      </c>
      <c r="R19" s="60">
        <v>1</v>
      </c>
      <c r="S19" s="60" t="s">
        <v>1000</v>
      </c>
      <c r="T19" s="61">
        <v>0</v>
      </c>
      <c r="U19" s="61">
        <v>15</v>
      </c>
      <c r="V19" s="61">
        <v>85</v>
      </c>
      <c r="W19" s="58" t="s">
        <v>992</v>
      </c>
      <c r="X19" s="58" t="s">
        <v>993</v>
      </c>
      <c r="Y19" s="62">
        <v>15</v>
      </c>
      <c r="Z19" s="58" t="s">
        <v>79</v>
      </c>
      <c r="AA19" s="61">
        <v>0</v>
      </c>
      <c r="AB19" s="61">
        <v>112</v>
      </c>
      <c r="AC19" s="58" t="s">
        <v>69</v>
      </c>
      <c r="AD19" s="63">
        <f t="shared" si="0"/>
        <v>0.15</v>
      </c>
      <c r="AE19" s="62">
        <f t="shared" si="9"/>
        <v>85</v>
      </c>
      <c r="AH19" s="60" t="s">
        <v>1059</v>
      </c>
      <c r="AI19" s="24">
        <f t="shared" si="2"/>
        <v>46243</v>
      </c>
      <c r="AJ19" s="64">
        <f>AK19-O19</f>
        <v>0</v>
      </c>
      <c r="AK19" s="19">
        <f>O19</f>
        <v>100</v>
      </c>
      <c r="AL19" s="75"/>
      <c r="AQ19" s="69">
        <f>IF(R19=1,AK19,IF(R19=2,AL19,0))</f>
        <v>100</v>
      </c>
      <c r="AR19" s="70">
        <f>+AQ19*$AR$1</f>
        <v>15</v>
      </c>
      <c r="AS19" s="70"/>
      <c r="AT19" s="71">
        <f t="shared" si="3"/>
        <v>85</v>
      </c>
      <c r="AU19" s="71"/>
      <c r="AV19" s="72"/>
      <c r="AW19" s="70">
        <f t="shared" si="4"/>
        <v>85</v>
      </c>
    </row>
    <row r="20" spans="1:54" hidden="1" x14ac:dyDescent="0.25">
      <c r="A20" s="57">
        <v>46229</v>
      </c>
      <c r="B20" s="58" t="s">
        <v>1063</v>
      </c>
      <c r="C20" s="59">
        <v>34</v>
      </c>
      <c r="D20" s="58" t="s">
        <v>982</v>
      </c>
      <c r="E20" s="58" t="s">
        <v>1064</v>
      </c>
      <c r="F20" s="58" t="s">
        <v>984</v>
      </c>
      <c r="G20" s="58" t="s">
        <v>1065</v>
      </c>
      <c r="H20" s="59">
        <v>1030102868</v>
      </c>
      <c r="I20" s="59">
        <v>215916</v>
      </c>
      <c r="J20" s="60" t="s">
        <v>1066</v>
      </c>
      <c r="K20" s="60" t="s">
        <v>1067</v>
      </c>
      <c r="L20" s="58" t="s">
        <v>988</v>
      </c>
      <c r="M20" s="58" t="s">
        <v>989</v>
      </c>
      <c r="N20" s="60" t="s">
        <v>990</v>
      </c>
      <c r="O20" s="61">
        <v>386</v>
      </c>
      <c r="P20" s="61">
        <v>386</v>
      </c>
      <c r="Q20" s="61">
        <v>386</v>
      </c>
      <c r="R20" s="60">
        <v>1</v>
      </c>
      <c r="S20" s="60" t="s">
        <v>1000</v>
      </c>
      <c r="T20" s="61">
        <v>0</v>
      </c>
      <c r="U20" s="61">
        <v>57.9</v>
      </c>
      <c r="V20" s="61">
        <v>328.1</v>
      </c>
      <c r="W20" s="58" t="s">
        <v>992</v>
      </c>
      <c r="X20" s="58" t="s">
        <v>993</v>
      </c>
      <c r="Y20" s="62">
        <v>15</v>
      </c>
      <c r="Z20" s="58" t="s">
        <v>79</v>
      </c>
      <c r="AA20" s="61">
        <v>0</v>
      </c>
      <c r="AB20" s="61">
        <v>386</v>
      </c>
      <c r="AC20" s="58" t="s">
        <v>69</v>
      </c>
      <c r="AD20" s="63">
        <f t="shared" si="0"/>
        <v>0.15</v>
      </c>
      <c r="AE20" s="62">
        <f>-U20</f>
        <v>-57.9</v>
      </c>
      <c r="AH20" s="60" t="s">
        <v>1064</v>
      </c>
      <c r="AI20" s="24">
        <f t="shared" si="2"/>
        <v>46244</v>
      </c>
      <c r="AJ20" s="64">
        <f>AK20-O20</f>
        <v>0</v>
      </c>
      <c r="AK20" s="19">
        <f>O20</f>
        <v>386</v>
      </c>
      <c r="AL20" s="75"/>
      <c r="AQ20" s="69">
        <f>IF(R20=1,AK20,IF(R20=2,AL20,0))</f>
        <v>386</v>
      </c>
      <c r="AR20" s="70">
        <f>+AQ20*$AR$1</f>
        <v>57.9</v>
      </c>
      <c r="AS20" s="70"/>
      <c r="AT20" s="71">
        <f t="shared" si="3"/>
        <v>328.1</v>
      </c>
      <c r="AU20" s="71"/>
      <c r="AV20" s="72"/>
      <c r="AW20" s="70">
        <f t="shared" si="4"/>
        <v>328.1</v>
      </c>
    </row>
    <row r="21" spans="1:54" hidden="1" x14ac:dyDescent="0.25">
      <c r="A21" s="57">
        <v>46229</v>
      </c>
      <c r="B21" s="58" t="s">
        <v>1068</v>
      </c>
      <c r="C21" s="59">
        <v>34</v>
      </c>
      <c r="D21" s="58" t="s">
        <v>982</v>
      </c>
      <c r="E21" s="58" t="s">
        <v>1069</v>
      </c>
      <c r="F21" s="58" t="s">
        <v>984</v>
      </c>
      <c r="G21" s="58" t="s">
        <v>1070</v>
      </c>
      <c r="H21" s="59">
        <v>1030100937</v>
      </c>
      <c r="I21" s="59">
        <v>215733</v>
      </c>
      <c r="J21" s="60" t="s">
        <v>1061</v>
      </c>
      <c r="K21" s="60" t="s">
        <v>1071</v>
      </c>
      <c r="L21" s="58" t="s">
        <v>988</v>
      </c>
      <c r="M21" s="58" t="s">
        <v>989</v>
      </c>
      <c r="N21" s="60" t="s">
        <v>1039</v>
      </c>
      <c r="O21" s="61">
        <v>227</v>
      </c>
      <c r="P21" s="61">
        <v>227</v>
      </c>
      <c r="Q21" s="61">
        <v>227</v>
      </c>
      <c r="R21" s="60">
        <v>1</v>
      </c>
      <c r="S21" s="60" t="s">
        <v>1000</v>
      </c>
      <c r="T21" s="61">
        <v>0</v>
      </c>
      <c r="U21" s="61">
        <v>34.049999999999997</v>
      </c>
      <c r="V21" s="61">
        <v>192.95</v>
      </c>
      <c r="W21" s="58" t="s">
        <v>992</v>
      </c>
      <c r="X21" s="58" t="s">
        <v>993</v>
      </c>
      <c r="Y21" s="62">
        <v>15</v>
      </c>
      <c r="Z21" s="58" t="s">
        <v>86</v>
      </c>
      <c r="AA21" s="61">
        <v>0</v>
      </c>
      <c r="AB21" s="61">
        <v>227</v>
      </c>
      <c r="AC21" s="58" t="s">
        <v>69</v>
      </c>
      <c r="AD21" s="63">
        <f t="shared" si="0"/>
        <v>0.15</v>
      </c>
      <c r="AE21" s="62">
        <f t="shared" ref="AE21:AE26" si="10">+O21-U21</f>
        <v>192.95</v>
      </c>
      <c r="AH21" s="60" t="s">
        <v>1069</v>
      </c>
      <c r="AI21" s="24">
        <f t="shared" si="2"/>
        <v>46244</v>
      </c>
      <c r="AJ21" s="64">
        <f>AK21-O21</f>
        <v>0</v>
      </c>
      <c r="AK21" s="19">
        <f>O21</f>
        <v>227</v>
      </c>
      <c r="AL21" s="75"/>
      <c r="AQ21" s="69">
        <f>IF(R21=1,AK21,IF(R21=2,AL21,0))</f>
        <v>227</v>
      </c>
      <c r="AR21" s="70">
        <f>+AQ21*$AR$1</f>
        <v>34.049999999999997</v>
      </c>
      <c r="AS21" s="70"/>
      <c r="AT21" s="71">
        <f t="shared" si="3"/>
        <v>192.95</v>
      </c>
      <c r="AU21" s="71"/>
      <c r="AV21" s="72"/>
      <c r="AW21" s="70">
        <f t="shared" si="4"/>
        <v>192.95</v>
      </c>
    </row>
    <row r="22" spans="1:54" hidden="1" x14ac:dyDescent="0.25">
      <c r="A22" s="57">
        <v>46230</v>
      </c>
      <c r="B22" s="58" t="s">
        <v>1072</v>
      </c>
      <c r="C22" s="59">
        <v>34</v>
      </c>
      <c r="D22" s="58" t="s">
        <v>982</v>
      </c>
      <c r="E22" s="58" t="s">
        <v>1073</v>
      </c>
      <c r="F22" s="58" t="s">
        <v>984</v>
      </c>
      <c r="G22" s="58" t="s">
        <v>1074</v>
      </c>
      <c r="H22" s="59">
        <v>1030103690</v>
      </c>
      <c r="I22" s="59">
        <v>215033</v>
      </c>
      <c r="J22" s="60" t="s">
        <v>1075</v>
      </c>
      <c r="K22" s="60" t="s">
        <v>1076</v>
      </c>
      <c r="L22" s="58" t="s">
        <v>988</v>
      </c>
      <c r="M22" s="58" t="s">
        <v>989</v>
      </c>
      <c r="N22" s="60" t="s">
        <v>1039</v>
      </c>
      <c r="O22" s="61">
        <v>72</v>
      </c>
      <c r="P22" s="61">
        <v>72</v>
      </c>
      <c r="Q22" s="61">
        <v>72</v>
      </c>
      <c r="R22" s="60">
        <v>1</v>
      </c>
      <c r="S22" s="60" t="s">
        <v>1000</v>
      </c>
      <c r="T22" s="61">
        <v>0</v>
      </c>
      <c r="U22" s="61">
        <v>10.8</v>
      </c>
      <c r="V22" s="61">
        <v>61.2</v>
      </c>
      <c r="W22" s="58" t="s">
        <v>992</v>
      </c>
      <c r="X22" s="58" t="s">
        <v>993</v>
      </c>
      <c r="Y22" s="62">
        <v>15</v>
      </c>
      <c r="Z22" s="58" t="s">
        <v>92</v>
      </c>
      <c r="AA22" s="61">
        <v>186</v>
      </c>
      <c r="AB22" s="61">
        <v>0</v>
      </c>
      <c r="AC22" s="58" t="s">
        <v>69</v>
      </c>
      <c r="AD22" s="63">
        <f t="shared" si="0"/>
        <v>0.15000000000000002</v>
      </c>
      <c r="AE22" s="62">
        <f t="shared" si="10"/>
        <v>61.2</v>
      </c>
      <c r="AH22" s="60" t="s">
        <v>1073</v>
      </c>
      <c r="AI22" s="24">
        <f t="shared" si="2"/>
        <v>46245</v>
      </c>
      <c r="AJ22" s="64">
        <f>AK22-O22</f>
        <v>0</v>
      </c>
      <c r="AK22" s="19">
        <f>O22</f>
        <v>72</v>
      </c>
      <c r="AL22" s="75"/>
      <c r="AQ22" s="69">
        <f>IF(R22=1,AK22,IF(R22=2,AL22,0))</f>
        <v>72</v>
      </c>
      <c r="AR22" s="70">
        <f>+AQ22*$AR$1</f>
        <v>10.799999999999999</v>
      </c>
      <c r="AS22" s="70"/>
      <c r="AT22" s="71">
        <f t="shared" si="3"/>
        <v>61.2</v>
      </c>
      <c r="AU22" s="71"/>
      <c r="AV22" s="72"/>
      <c r="AW22" s="70">
        <f t="shared" si="4"/>
        <v>61.2</v>
      </c>
    </row>
    <row r="23" spans="1:54" hidden="1" x14ac:dyDescent="0.25">
      <c r="A23" s="57">
        <v>46230</v>
      </c>
      <c r="B23" s="58" t="s">
        <v>1072</v>
      </c>
      <c r="C23" s="59">
        <v>34</v>
      </c>
      <c r="D23" s="58" t="s">
        <v>982</v>
      </c>
      <c r="E23" s="58" t="s">
        <v>1073</v>
      </c>
      <c r="F23" s="58" t="s">
        <v>984</v>
      </c>
      <c r="G23" s="58" t="s">
        <v>1077</v>
      </c>
      <c r="H23" s="59">
        <v>1030100093</v>
      </c>
      <c r="I23" s="59">
        <v>215052</v>
      </c>
      <c r="J23" s="60" t="s">
        <v>1061</v>
      </c>
      <c r="K23" s="60" t="s">
        <v>1078</v>
      </c>
      <c r="L23" s="58" t="s">
        <v>988</v>
      </c>
      <c r="M23" s="58" t="s">
        <v>989</v>
      </c>
      <c r="N23" s="60" t="s">
        <v>1039</v>
      </c>
      <c r="O23" s="61">
        <v>114</v>
      </c>
      <c r="P23" s="61">
        <v>114</v>
      </c>
      <c r="Q23" s="61">
        <v>114</v>
      </c>
      <c r="R23" s="60">
        <v>1</v>
      </c>
      <c r="S23" s="60" t="s">
        <v>1000</v>
      </c>
      <c r="T23" s="61">
        <v>0</v>
      </c>
      <c r="U23" s="61">
        <v>17.100000000000001</v>
      </c>
      <c r="V23" s="61">
        <v>96.9</v>
      </c>
      <c r="W23" s="58" t="s">
        <v>73</v>
      </c>
      <c r="X23" s="58" t="s">
        <v>73</v>
      </c>
      <c r="Y23" s="58" t="s">
        <v>73</v>
      </c>
      <c r="Z23" s="58" t="s">
        <v>92</v>
      </c>
      <c r="AA23" s="61">
        <v>186</v>
      </c>
      <c r="AB23" s="61">
        <v>0</v>
      </c>
      <c r="AC23" s="58" t="s">
        <v>69</v>
      </c>
      <c r="AD23" s="63">
        <f t="shared" si="0"/>
        <v>0.15000000000000002</v>
      </c>
      <c r="AE23" s="62">
        <f t="shared" si="10"/>
        <v>96.9</v>
      </c>
      <c r="AH23" s="60" t="s">
        <v>1073</v>
      </c>
      <c r="AI23" s="24">
        <f t="shared" si="2"/>
        <v>46245</v>
      </c>
      <c r="AJ23" s="64">
        <f>AK23-O23</f>
        <v>0</v>
      </c>
      <c r="AK23" s="19">
        <f>O23</f>
        <v>114</v>
      </c>
      <c r="AL23" s="75"/>
      <c r="AQ23" s="69">
        <f>IF(R23=1,AK23,IF(R23=2,AL23,0))</f>
        <v>114</v>
      </c>
      <c r="AR23" s="70">
        <f>+AQ23*$AR$1</f>
        <v>17.099999999999998</v>
      </c>
      <c r="AS23" s="70"/>
      <c r="AT23" s="71">
        <f t="shared" si="3"/>
        <v>96.9</v>
      </c>
      <c r="AU23" s="71"/>
      <c r="AV23" s="72"/>
      <c r="AW23" s="70">
        <f t="shared" si="4"/>
        <v>96.9</v>
      </c>
      <c r="BB23" s="19"/>
    </row>
    <row r="24" spans="1:54" x14ac:dyDescent="0.25">
      <c r="A24" s="57">
        <v>46230</v>
      </c>
      <c r="B24" s="58" t="s">
        <v>1079</v>
      </c>
      <c r="C24" s="59">
        <v>34</v>
      </c>
      <c r="D24" s="58" t="s">
        <v>982</v>
      </c>
      <c r="E24" s="58" t="s">
        <v>1080</v>
      </c>
      <c r="F24" s="58" t="s">
        <v>984</v>
      </c>
      <c r="G24" s="58" t="s">
        <v>1081</v>
      </c>
      <c r="H24" s="59">
        <v>1030109521</v>
      </c>
      <c r="I24" s="59">
        <v>215965</v>
      </c>
      <c r="J24" s="60" t="s">
        <v>998</v>
      </c>
      <c r="K24" s="60" t="s">
        <v>1082</v>
      </c>
      <c r="L24" s="58" t="s">
        <v>988</v>
      </c>
      <c r="M24" s="58" t="s">
        <v>989</v>
      </c>
      <c r="N24" s="60" t="s">
        <v>990</v>
      </c>
      <c r="O24" s="61">
        <v>425</v>
      </c>
      <c r="P24" s="61">
        <v>425</v>
      </c>
      <c r="Q24" s="61">
        <v>425</v>
      </c>
      <c r="R24" s="60">
        <v>1</v>
      </c>
      <c r="S24" s="60" t="s">
        <v>1000</v>
      </c>
      <c r="T24" s="61">
        <v>0</v>
      </c>
      <c r="U24" s="61">
        <v>63.75</v>
      </c>
      <c r="V24" s="61">
        <v>361.25</v>
      </c>
      <c r="W24" s="58" t="s">
        <v>992</v>
      </c>
      <c r="X24" s="58" t="s">
        <v>993</v>
      </c>
      <c r="Y24" s="62">
        <v>15</v>
      </c>
      <c r="Z24" s="58" t="s">
        <v>79</v>
      </c>
      <c r="AA24" s="61">
        <v>0</v>
      </c>
      <c r="AB24" s="61">
        <v>425</v>
      </c>
      <c r="AC24" s="58" t="s">
        <v>69</v>
      </c>
      <c r="AD24" s="63">
        <f t="shared" si="0"/>
        <v>0.15</v>
      </c>
      <c r="AE24" s="62">
        <f t="shared" si="10"/>
        <v>361.25</v>
      </c>
      <c r="AH24" s="74" t="s">
        <v>1080</v>
      </c>
      <c r="AI24" s="24">
        <f t="shared" si="2"/>
        <v>46245</v>
      </c>
      <c r="AJ24" s="64">
        <f>O24-AK24</f>
        <v>0</v>
      </c>
      <c r="AK24" s="19" cm="1">
        <f t="array" ref="AK24:AP24">_xlfn.XLOOKUP(H24,'[1]Discount RM '!U:U,'[1]Discount RM '!N:S, "NA",0)</f>
        <v>425</v>
      </c>
      <c r="AL24" s="75" t="str">
        <v>570.00</v>
      </c>
      <c r="AM24" t="str">
        <v>-</v>
      </c>
      <c r="AN24">
        <v>2</v>
      </c>
      <c r="AO24">
        <v>63.75</v>
      </c>
      <c r="AP24">
        <v>42.5</v>
      </c>
      <c r="AQ24" s="69">
        <f>+AK24</f>
        <v>425</v>
      </c>
      <c r="AR24" s="70"/>
      <c r="AS24" s="70">
        <f>$AS$1*AQ24</f>
        <v>42.5</v>
      </c>
      <c r="AT24" s="71">
        <f t="shared" si="3"/>
        <v>382.5</v>
      </c>
      <c r="AU24" s="71"/>
      <c r="AV24" s="76"/>
      <c r="AW24" s="70">
        <f t="shared" si="4"/>
        <v>382.5</v>
      </c>
    </row>
    <row r="25" spans="1:54" x14ac:dyDescent="0.25">
      <c r="A25" s="57">
        <v>46231</v>
      </c>
      <c r="B25" s="58" t="s">
        <v>1083</v>
      </c>
      <c r="C25" s="59">
        <v>34</v>
      </c>
      <c r="D25" s="58" t="s">
        <v>982</v>
      </c>
      <c r="E25" s="58" t="s">
        <v>1084</v>
      </c>
      <c r="F25" s="58" t="s">
        <v>984</v>
      </c>
      <c r="G25" s="58" t="s">
        <v>1085</v>
      </c>
      <c r="H25" s="59">
        <v>1030103030</v>
      </c>
      <c r="I25" s="59">
        <v>214769</v>
      </c>
      <c r="J25" s="60" t="s">
        <v>1056</v>
      </c>
      <c r="K25" s="60" t="s">
        <v>1086</v>
      </c>
      <c r="L25" s="58" t="s">
        <v>988</v>
      </c>
      <c r="M25" s="58" t="s">
        <v>989</v>
      </c>
      <c r="N25" s="60" t="s">
        <v>990</v>
      </c>
      <c r="O25" s="61">
        <v>185</v>
      </c>
      <c r="P25" s="61">
        <v>185</v>
      </c>
      <c r="Q25" s="61">
        <v>185</v>
      </c>
      <c r="R25" s="60">
        <v>1</v>
      </c>
      <c r="S25" s="60" t="s">
        <v>1000</v>
      </c>
      <c r="T25" s="61">
        <v>0</v>
      </c>
      <c r="U25" s="61">
        <v>27.75</v>
      </c>
      <c r="V25" s="61">
        <v>157.25</v>
      </c>
      <c r="W25" s="58" t="s">
        <v>992</v>
      </c>
      <c r="X25" s="58" t="s">
        <v>993</v>
      </c>
      <c r="Y25" s="62">
        <v>15</v>
      </c>
      <c r="Z25" s="58" t="s">
        <v>71</v>
      </c>
      <c r="AA25" s="61">
        <v>2</v>
      </c>
      <c r="AB25" s="61">
        <v>183</v>
      </c>
      <c r="AC25" s="58" t="s">
        <v>69</v>
      </c>
      <c r="AD25" s="63">
        <f t="shared" si="0"/>
        <v>0.15</v>
      </c>
      <c r="AE25" s="62">
        <f t="shared" si="10"/>
        <v>157.25</v>
      </c>
      <c r="AH25" s="74" t="s">
        <v>1084</v>
      </c>
      <c r="AI25" s="24">
        <f t="shared" si="2"/>
        <v>46246</v>
      </c>
      <c r="AJ25" s="64">
        <f>O25-AK25</f>
        <v>0</v>
      </c>
      <c r="AK25" s="19" cm="1">
        <f t="array" ref="AK25:AP25">_xlfn.XLOOKUP(H25,'[1]Discount RM '!U:U,'[1]Discount RM '!N:S, "NA",0)</f>
        <v>185</v>
      </c>
      <c r="AL25" s="75" t="str">
        <v>320.00</v>
      </c>
      <c r="AM25" t="str">
        <v>-</v>
      </c>
      <c r="AN25">
        <v>2</v>
      </c>
      <c r="AO25">
        <v>27.75</v>
      </c>
      <c r="AP25">
        <v>18.5</v>
      </c>
      <c r="AQ25" s="69">
        <f>+AK25</f>
        <v>185</v>
      </c>
      <c r="AR25" s="70"/>
      <c r="AS25" s="70">
        <f>$AS$1*AQ25</f>
        <v>18.5</v>
      </c>
      <c r="AT25" s="71">
        <f t="shared" si="3"/>
        <v>166.5</v>
      </c>
      <c r="AU25" s="71"/>
      <c r="AV25" s="76"/>
      <c r="AW25" s="70">
        <f t="shared" si="4"/>
        <v>166.5</v>
      </c>
    </row>
    <row r="26" spans="1:54" hidden="1" x14ac:dyDescent="0.25">
      <c r="A26" s="57">
        <v>46233</v>
      </c>
      <c r="B26" s="58" t="s">
        <v>1087</v>
      </c>
      <c r="C26" s="59">
        <v>34</v>
      </c>
      <c r="D26" s="58" t="s">
        <v>982</v>
      </c>
      <c r="E26" s="58" t="s">
        <v>1088</v>
      </c>
      <c r="F26" s="58" t="s">
        <v>984</v>
      </c>
      <c r="G26" s="58" t="s">
        <v>1089</v>
      </c>
      <c r="H26" s="59">
        <v>1030110706</v>
      </c>
      <c r="I26" s="59">
        <v>214997</v>
      </c>
      <c r="J26" s="60" t="s">
        <v>1090</v>
      </c>
      <c r="K26" s="60" t="s">
        <v>1091</v>
      </c>
      <c r="L26" s="58" t="s">
        <v>988</v>
      </c>
      <c r="M26" s="58" t="s">
        <v>989</v>
      </c>
      <c r="N26" s="60" t="s">
        <v>1039</v>
      </c>
      <c r="O26" s="61">
        <v>108</v>
      </c>
      <c r="P26" s="61">
        <v>108</v>
      </c>
      <c r="Q26" s="61">
        <v>108</v>
      </c>
      <c r="R26" s="60">
        <v>1</v>
      </c>
      <c r="S26" s="60" t="s">
        <v>1000</v>
      </c>
      <c r="T26" s="61">
        <v>0</v>
      </c>
      <c r="U26" s="61">
        <v>16.2</v>
      </c>
      <c r="V26" s="61">
        <v>91.8</v>
      </c>
      <c r="W26" s="58" t="s">
        <v>992</v>
      </c>
      <c r="X26" s="58" t="s">
        <v>993</v>
      </c>
      <c r="Y26" s="62">
        <v>15</v>
      </c>
      <c r="Z26" s="58" t="s">
        <v>246</v>
      </c>
      <c r="AA26" s="61">
        <v>0</v>
      </c>
      <c r="AB26" s="61">
        <v>108</v>
      </c>
      <c r="AC26" s="58" t="s">
        <v>69</v>
      </c>
      <c r="AD26" s="63">
        <f t="shared" si="0"/>
        <v>0.15</v>
      </c>
      <c r="AE26" s="62">
        <f t="shared" si="10"/>
        <v>91.8</v>
      </c>
      <c r="AH26" s="60" t="s">
        <v>1088</v>
      </c>
      <c r="AI26" s="24">
        <f t="shared" si="2"/>
        <v>46248</v>
      </c>
      <c r="AJ26" s="64">
        <f>AK26-O26</f>
        <v>0</v>
      </c>
      <c r="AK26" s="19">
        <f>O26</f>
        <v>108</v>
      </c>
      <c r="AL26" s="75"/>
      <c r="AQ26" s="69">
        <f>IF(R26=1,AK26,IF(R26=2,AL26,0))</f>
        <v>108</v>
      </c>
      <c r="AR26" s="70">
        <f>+AQ26*$AR$1</f>
        <v>16.2</v>
      </c>
      <c r="AS26" s="70"/>
      <c r="AT26" s="71">
        <f t="shared" si="3"/>
        <v>91.8</v>
      </c>
      <c r="AU26" s="71"/>
      <c r="AV26" s="72"/>
      <c r="AW26" s="70">
        <f t="shared" si="4"/>
        <v>91.8</v>
      </c>
    </row>
    <row r="27" spans="1:54" hidden="1" x14ac:dyDescent="0.25">
      <c r="A27" s="77">
        <v>46233</v>
      </c>
      <c r="B27" s="78" t="s">
        <v>1092</v>
      </c>
      <c r="C27" s="79">
        <v>34</v>
      </c>
      <c r="D27" s="78" t="s">
        <v>982</v>
      </c>
      <c r="E27" s="78" t="s">
        <v>1093</v>
      </c>
      <c r="F27" s="78" t="s">
        <v>984</v>
      </c>
      <c r="G27" s="78" t="s">
        <v>1094</v>
      </c>
      <c r="H27" s="79">
        <v>1030106266</v>
      </c>
      <c r="I27" s="79">
        <v>215062</v>
      </c>
      <c r="J27" s="80" t="s">
        <v>1095</v>
      </c>
      <c r="K27" s="80" t="s">
        <v>1096</v>
      </c>
      <c r="L27" s="78" t="s">
        <v>988</v>
      </c>
      <c r="M27" s="78" t="s">
        <v>989</v>
      </c>
      <c r="N27" s="80" t="s">
        <v>1039</v>
      </c>
      <c r="O27" s="81">
        <v>168</v>
      </c>
      <c r="P27" s="81">
        <v>0</v>
      </c>
      <c r="Q27" s="81">
        <v>168</v>
      </c>
      <c r="R27" s="80">
        <v>1</v>
      </c>
      <c r="S27" s="80" t="s">
        <v>1000</v>
      </c>
      <c r="T27" s="81">
        <v>0</v>
      </c>
      <c r="U27" s="81">
        <v>25.2</v>
      </c>
      <c r="V27" s="81">
        <v>142.80000000000001</v>
      </c>
      <c r="W27" s="78" t="s">
        <v>992</v>
      </c>
      <c r="X27" s="78" t="s">
        <v>993</v>
      </c>
      <c r="Y27" s="82">
        <v>15</v>
      </c>
      <c r="Z27" s="78" t="s">
        <v>92</v>
      </c>
      <c r="AA27" s="81">
        <v>178</v>
      </c>
      <c r="AB27" s="81">
        <v>0</v>
      </c>
      <c r="AC27" s="78" t="s">
        <v>994</v>
      </c>
      <c r="AD27" s="83">
        <f t="shared" si="0"/>
        <v>0.15</v>
      </c>
      <c r="AE27" s="82">
        <f>+O27-U27-V27</f>
        <v>0</v>
      </c>
      <c r="AF27" s="84"/>
      <c r="AG27" s="84"/>
      <c r="AH27" s="85" t="s">
        <v>1093</v>
      </c>
      <c r="AI27" s="86">
        <f t="shared" si="2"/>
        <v>46248</v>
      </c>
      <c r="AJ27" s="87"/>
      <c r="AK27" s="88"/>
      <c r="AL27" s="89"/>
      <c r="AM27" s="40"/>
      <c r="AN27" s="40"/>
      <c r="AO27" s="40"/>
      <c r="AP27" s="40"/>
      <c r="AQ27" s="90"/>
      <c r="AR27" s="88"/>
      <c r="AS27" s="88"/>
      <c r="AT27" s="91"/>
      <c r="AU27" s="91"/>
      <c r="AV27" s="92"/>
      <c r="AW27" s="93"/>
    </row>
    <row r="28" spans="1:54" hidden="1" x14ac:dyDescent="0.25">
      <c r="A28" s="57">
        <v>46236</v>
      </c>
      <c r="B28" s="58" t="s">
        <v>1097</v>
      </c>
      <c r="C28" s="59">
        <v>34</v>
      </c>
      <c r="D28" s="58" t="s">
        <v>982</v>
      </c>
      <c r="E28" s="58" t="s">
        <v>1098</v>
      </c>
      <c r="F28" s="58" t="s">
        <v>984</v>
      </c>
      <c r="G28" s="58" t="s">
        <v>1099</v>
      </c>
      <c r="H28" s="59">
        <v>1030103689</v>
      </c>
      <c r="I28" s="59">
        <v>215077</v>
      </c>
      <c r="J28" s="60" t="s">
        <v>1075</v>
      </c>
      <c r="K28" s="60" t="s">
        <v>1100</v>
      </c>
      <c r="L28" s="58" t="s">
        <v>988</v>
      </c>
      <c r="M28" s="58" t="s">
        <v>989</v>
      </c>
      <c r="N28" s="60" t="s">
        <v>1039</v>
      </c>
      <c r="O28" s="61">
        <v>93</v>
      </c>
      <c r="P28" s="61">
        <v>93</v>
      </c>
      <c r="Q28" s="61">
        <v>93</v>
      </c>
      <c r="R28" s="60">
        <v>1</v>
      </c>
      <c r="S28" s="60" t="s">
        <v>1000</v>
      </c>
      <c r="T28" s="61">
        <v>0</v>
      </c>
      <c r="U28" s="61">
        <v>13.95</v>
      </c>
      <c r="V28" s="61">
        <v>79.05</v>
      </c>
      <c r="W28" s="58" t="s">
        <v>992</v>
      </c>
      <c r="X28" s="58" t="s">
        <v>993</v>
      </c>
      <c r="Y28" s="62">
        <v>15</v>
      </c>
      <c r="Z28" s="58" t="s">
        <v>169</v>
      </c>
      <c r="AA28" s="61">
        <v>2</v>
      </c>
      <c r="AB28" s="61">
        <v>327</v>
      </c>
      <c r="AC28" s="58" t="s">
        <v>69</v>
      </c>
      <c r="AD28" s="63">
        <f t="shared" si="0"/>
        <v>0.15</v>
      </c>
      <c r="AE28" s="62">
        <f t="shared" ref="AE28:AE42" si="11">+O28-U28</f>
        <v>79.05</v>
      </c>
      <c r="AH28" s="60" t="s">
        <v>1098</v>
      </c>
      <c r="AI28" s="24">
        <f t="shared" si="2"/>
        <v>46251</v>
      </c>
      <c r="AJ28" s="64">
        <f>AK28-O28</f>
        <v>0</v>
      </c>
      <c r="AK28" s="19">
        <f>O28</f>
        <v>93</v>
      </c>
      <c r="AL28" s="75"/>
      <c r="AQ28" s="69">
        <f>IF(R28=1,AK28,IF(R28=2,AL28,0))</f>
        <v>93</v>
      </c>
      <c r="AR28" s="70">
        <f>+AQ28*$AR$1</f>
        <v>13.95</v>
      </c>
      <c r="AS28" s="70"/>
      <c r="AT28" s="71">
        <f t="shared" ref="AT28:AT76" si="12">+AQ28-AR28-AS28</f>
        <v>79.05</v>
      </c>
      <c r="AU28" s="71"/>
      <c r="AV28" s="72"/>
      <c r="AW28" s="70">
        <f t="shared" ref="AW28:AW33" si="13">+AT28</f>
        <v>79.05</v>
      </c>
    </row>
    <row r="29" spans="1:54" hidden="1" x14ac:dyDescent="0.25">
      <c r="A29" s="57">
        <v>46236</v>
      </c>
      <c r="B29" s="58" t="s">
        <v>1097</v>
      </c>
      <c r="C29" s="59">
        <v>34</v>
      </c>
      <c r="D29" s="58" t="s">
        <v>982</v>
      </c>
      <c r="E29" s="58" t="s">
        <v>1098</v>
      </c>
      <c r="F29" s="58" t="s">
        <v>984</v>
      </c>
      <c r="G29" s="58" t="s">
        <v>1101</v>
      </c>
      <c r="H29" s="59">
        <v>1030101757</v>
      </c>
      <c r="I29" s="59">
        <v>215042</v>
      </c>
      <c r="J29" s="60" t="s">
        <v>1102</v>
      </c>
      <c r="K29" s="60" t="s">
        <v>1103</v>
      </c>
      <c r="L29" s="58" t="s">
        <v>988</v>
      </c>
      <c r="M29" s="58" t="s">
        <v>989</v>
      </c>
      <c r="N29" s="60" t="s">
        <v>1039</v>
      </c>
      <c r="O29" s="61">
        <v>236</v>
      </c>
      <c r="P29" s="61">
        <v>236</v>
      </c>
      <c r="Q29" s="61">
        <v>236</v>
      </c>
      <c r="R29" s="60">
        <v>1</v>
      </c>
      <c r="S29" s="60" t="s">
        <v>1000</v>
      </c>
      <c r="T29" s="61">
        <v>0</v>
      </c>
      <c r="U29" s="61">
        <v>35.4</v>
      </c>
      <c r="V29" s="61">
        <v>200.6</v>
      </c>
      <c r="W29" s="58" t="s">
        <v>73</v>
      </c>
      <c r="X29" s="58" t="s">
        <v>73</v>
      </c>
      <c r="Y29" s="58" t="s">
        <v>73</v>
      </c>
      <c r="Z29" s="58" t="s">
        <v>169</v>
      </c>
      <c r="AA29" s="61">
        <v>2</v>
      </c>
      <c r="AB29" s="61">
        <v>327</v>
      </c>
      <c r="AC29" s="58" t="s">
        <v>69</v>
      </c>
      <c r="AD29" s="63">
        <f t="shared" si="0"/>
        <v>0.15</v>
      </c>
      <c r="AE29" s="62">
        <f t="shared" si="11"/>
        <v>200.6</v>
      </c>
      <c r="AH29" s="60" t="s">
        <v>1098</v>
      </c>
      <c r="AI29" s="24">
        <f t="shared" si="2"/>
        <v>46251</v>
      </c>
      <c r="AJ29" s="64">
        <f>AK29-O29</f>
        <v>0</v>
      </c>
      <c r="AK29" s="19">
        <f>O29</f>
        <v>236</v>
      </c>
      <c r="AL29" s="75"/>
      <c r="AQ29" s="69">
        <f>IF(R29=1,AK29,IF(R29=2,AL29,0))</f>
        <v>236</v>
      </c>
      <c r="AR29" s="70">
        <f>+AQ29*$AR$1</f>
        <v>35.4</v>
      </c>
      <c r="AS29" s="70"/>
      <c r="AT29" s="71">
        <f t="shared" si="12"/>
        <v>200.6</v>
      </c>
      <c r="AU29" s="71"/>
      <c r="AV29" s="72"/>
      <c r="AW29" s="70">
        <f t="shared" si="13"/>
        <v>200.6</v>
      </c>
    </row>
    <row r="30" spans="1:54" x14ac:dyDescent="0.25">
      <c r="A30" s="57">
        <v>46238</v>
      </c>
      <c r="B30" s="58" t="s">
        <v>1104</v>
      </c>
      <c r="C30" s="59">
        <v>34</v>
      </c>
      <c r="D30" s="58" t="s">
        <v>982</v>
      </c>
      <c r="E30" s="58" t="s">
        <v>1105</v>
      </c>
      <c r="F30" s="58" t="s">
        <v>984</v>
      </c>
      <c r="G30" s="58" t="s">
        <v>1081</v>
      </c>
      <c r="H30" s="59">
        <v>1030109521</v>
      </c>
      <c r="I30" s="59">
        <v>215965</v>
      </c>
      <c r="J30" s="60" t="s">
        <v>998</v>
      </c>
      <c r="K30" s="60" t="s">
        <v>1082</v>
      </c>
      <c r="L30" s="58" t="s">
        <v>988</v>
      </c>
      <c r="M30" s="58" t="s">
        <v>989</v>
      </c>
      <c r="N30" s="60" t="s">
        <v>990</v>
      </c>
      <c r="O30" s="61">
        <v>425</v>
      </c>
      <c r="P30" s="61">
        <v>425</v>
      </c>
      <c r="Q30" s="61">
        <v>425</v>
      </c>
      <c r="R30" s="60">
        <v>1</v>
      </c>
      <c r="S30" s="60" t="s">
        <v>1000</v>
      </c>
      <c r="T30" s="61">
        <v>0</v>
      </c>
      <c r="U30" s="61">
        <v>63.75</v>
      </c>
      <c r="V30" s="61">
        <v>361.25</v>
      </c>
      <c r="W30" s="58" t="s">
        <v>992</v>
      </c>
      <c r="X30" s="58" t="s">
        <v>993</v>
      </c>
      <c r="Y30" s="62">
        <v>15</v>
      </c>
      <c r="Z30" s="58" t="s">
        <v>79</v>
      </c>
      <c r="AA30" s="61">
        <v>0</v>
      </c>
      <c r="AB30" s="61">
        <v>425</v>
      </c>
      <c r="AC30" s="58" t="s">
        <v>69</v>
      </c>
      <c r="AD30" s="63">
        <f t="shared" si="0"/>
        <v>0.15</v>
      </c>
      <c r="AE30" s="62">
        <f t="shared" si="11"/>
        <v>361.25</v>
      </c>
      <c r="AH30" s="74" t="s">
        <v>1105</v>
      </c>
      <c r="AI30" s="24">
        <f t="shared" si="2"/>
        <v>46253</v>
      </c>
      <c r="AJ30" s="64">
        <f>O30-AK30</f>
        <v>0</v>
      </c>
      <c r="AK30" s="19" cm="1">
        <f t="array" ref="AK30:AP30">_xlfn.XLOOKUP(H30,'[1]Discount RM '!U:U,'[1]Discount RM '!N:S, "NA",0)</f>
        <v>425</v>
      </c>
      <c r="AL30" s="75" t="str">
        <v>570.00</v>
      </c>
      <c r="AM30" t="str">
        <v>-</v>
      </c>
      <c r="AN30">
        <v>2</v>
      </c>
      <c r="AO30">
        <v>63.75</v>
      </c>
      <c r="AP30">
        <v>42.5</v>
      </c>
      <c r="AQ30" s="69">
        <f>+AK30</f>
        <v>425</v>
      </c>
      <c r="AR30" s="70"/>
      <c r="AS30" s="70">
        <f>$AS$1*AQ30</f>
        <v>42.5</v>
      </c>
      <c r="AT30" s="71">
        <f t="shared" si="12"/>
        <v>382.5</v>
      </c>
      <c r="AU30" s="71"/>
      <c r="AV30" s="76"/>
      <c r="AW30" s="70">
        <f t="shared" si="13"/>
        <v>382.5</v>
      </c>
    </row>
    <row r="31" spans="1:54" hidden="1" x14ac:dyDescent="0.25">
      <c r="A31" s="57">
        <v>46238</v>
      </c>
      <c r="B31" s="58" t="s">
        <v>1106</v>
      </c>
      <c r="C31" s="59">
        <v>34</v>
      </c>
      <c r="D31" s="58" t="s">
        <v>982</v>
      </c>
      <c r="E31" s="58" t="s">
        <v>1107</v>
      </c>
      <c r="F31" s="58" t="s">
        <v>984</v>
      </c>
      <c r="G31" s="58" t="s">
        <v>1108</v>
      </c>
      <c r="H31" s="59">
        <v>1030101247</v>
      </c>
      <c r="I31" s="59">
        <v>215048</v>
      </c>
      <c r="J31" s="60" t="s">
        <v>1018</v>
      </c>
      <c r="K31" s="60" t="s">
        <v>1109</v>
      </c>
      <c r="L31" s="58" t="s">
        <v>988</v>
      </c>
      <c r="M31" s="58" t="s">
        <v>989</v>
      </c>
      <c r="N31" s="60" t="s">
        <v>1039</v>
      </c>
      <c r="O31" s="61">
        <v>69</v>
      </c>
      <c r="P31" s="61">
        <v>69</v>
      </c>
      <c r="Q31" s="61">
        <v>69</v>
      </c>
      <c r="R31" s="60">
        <v>1</v>
      </c>
      <c r="S31" s="60" t="s">
        <v>1000</v>
      </c>
      <c r="T31" s="61">
        <v>0</v>
      </c>
      <c r="U31" s="61">
        <v>10.35</v>
      </c>
      <c r="V31" s="61">
        <v>58.65</v>
      </c>
      <c r="W31" s="58" t="s">
        <v>992</v>
      </c>
      <c r="X31" s="58" t="s">
        <v>993</v>
      </c>
      <c r="Y31" s="62">
        <v>15</v>
      </c>
      <c r="Z31" s="58" t="s">
        <v>86</v>
      </c>
      <c r="AA31" s="61">
        <v>0</v>
      </c>
      <c r="AB31" s="61">
        <v>198</v>
      </c>
      <c r="AC31" s="58" t="s">
        <v>69</v>
      </c>
      <c r="AD31" s="63">
        <f t="shared" si="0"/>
        <v>0.15</v>
      </c>
      <c r="AE31" s="62">
        <f t="shared" si="11"/>
        <v>58.65</v>
      </c>
      <c r="AH31" s="60" t="s">
        <v>1107</v>
      </c>
      <c r="AI31" s="24">
        <f t="shared" si="2"/>
        <v>46253</v>
      </c>
      <c r="AJ31" s="64">
        <f>AK31-O31</f>
        <v>0</v>
      </c>
      <c r="AK31" s="19">
        <f>O31</f>
        <v>69</v>
      </c>
      <c r="AL31" s="75"/>
      <c r="AQ31" s="69">
        <f>IF(R31=1,AK31,IF(R31=2,AL31,0))</f>
        <v>69</v>
      </c>
      <c r="AR31" s="70">
        <f>+AQ31*$AR$1</f>
        <v>10.35</v>
      </c>
      <c r="AS31" s="70"/>
      <c r="AT31" s="71">
        <f t="shared" si="12"/>
        <v>58.65</v>
      </c>
      <c r="AU31" s="71"/>
      <c r="AV31" s="72"/>
      <c r="AW31" s="70">
        <f t="shared" si="13"/>
        <v>58.65</v>
      </c>
    </row>
    <row r="32" spans="1:54" hidden="1" x14ac:dyDescent="0.25">
      <c r="A32" s="57">
        <v>46238</v>
      </c>
      <c r="B32" s="58" t="s">
        <v>1106</v>
      </c>
      <c r="C32" s="59">
        <v>34</v>
      </c>
      <c r="D32" s="58" t="s">
        <v>982</v>
      </c>
      <c r="E32" s="58" t="s">
        <v>1107</v>
      </c>
      <c r="F32" s="58" t="s">
        <v>984</v>
      </c>
      <c r="G32" s="58" t="s">
        <v>1110</v>
      </c>
      <c r="H32" s="59">
        <v>1030103141</v>
      </c>
      <c r="I32" s="59">
        <v>214797</v>
      </c>
      <c r="J32" s="60" t="s">
        <v>1018</v>
      </c>
      <c r="K32" s="60" t="s">
        <v>1111</v>
      </c>
      <c r="L32" s="58" t="s">
        <v>988</v>
      </c>
      <c r="M32" s="58" t="s">
        <v>989</v>
      </c>
      <c r="N32" s="60" t="s">
        <v>1039</v>
      </c>
      <c r="O32" s="61">
        <v>129</v>
      </c>
      <c r="P32" s="61">
        <v>129</v>
      </c>
      <c r="Q32" s="61">
        <v>129</v>
      </c>
      <c r="R32" s="60">
        <v>1</v>
      </c>
      <c r="S32" s="60" t="s">
        <v>1000</v>
      </c>
      <c r="T32" s="61">
        <v>0</v>
      </c>
      <c r="U32" s="61">
        <v>19.350000000000001</v>
      </c>
      <c r="V32" s="61">
        <v>109.65</v>
      </c>
      <c r="W32" s="58" t="s">
        <v>73</v>
      </c>
      <c r="X32" s="58" t="s">
        <v>73</v>
      </c>
      <c r="Y32" s="58" t="s">
        <v>73</v>
      </c>
      <c r="Z32" s="58" t="s">
        <v>86</v>
      </c>
      <c r="AA32" s="61">
        <v>0</v>
      </c>
      <c r="AB32" s="61">
        <v>198</v>
      </c>
      <c r="AC32" s="58" t="s">
        <v>69</v>
      </c>
      <c r="AD32" s="63">
        <f t="shared" si="0"/>
        <v>0.15000000000000002</v>
      </c>
      <c r="AE32" s="62">
        <f t="shared" si="11"/>
        <v>109.65</v>
      </c>
      <c r="AH32" s="60" t="s">
        <v>1107</v>
      </c>
      <c r="AI32" s="24">
        <f t="shared" si="2"/>
        <v>46253</v>
      </c>
      <c r="AJ32" s="64">
        <f>AK32-O32</f>
        <v>0</v>
      </c>
      <c r="AK32" s="19">
        <f>O32</f>
        <v>129</v>
      </c>
      <c r="AL32" s="75"/>
      <c r="AQ32" s="69">
        <f>IF(R32=1,AK32,IF(R32=2,AL32,0))</f>
        <v>129</v>
      </c>
      <c r="AR32" s="70">
        <f>+AQ32*$AR$1</f>
        <v>19.349999999999998</v>
      </c>
      <c r="AS32" s="70"/>
      <c r="AT32" s="71">
        <f t="shared" si="12"/>
        <v>109.65</v>
      </c>
      <c r="AU32" s="71"/>
      <c r="AV32" s="72"/>
      <c r="AW32" s="70">
        <f t="shared" si="13"/>
        <v>109.65</v>
      </c>
    </row>
    <row r="33" spans="1:49" hidden="1" x14ac:dyDescent="0.25">
      <c r="A33" s="57">
        <v>46238</v>
      </c>
      <c r="B33" s="58" t="s">
        <v>1112</v>
      </c>
      <c r="C33" s="59">
        <v>34</v>
      </c>
      <c r="D33" s="58" t="s">
        <v>982</v>
      </c>
      <c r="E33" s="58" t="s">
        <v>1113</v>
      </c>
      <c r="F33" s="58" t="s">
        <v>984</v>
      </c>
      <c r="G33" s="58" t="s">
        <v>1114</v>
      </c>
      <c r="H33" s="59">
        <v>1030109652</v>
      </c>
      <c r="I33" s="59">
        <v>214886</v>
      </c>
      <c r="J33" s="60" t="s">
        <v>1115</v>
      </c>
      <c r="K33" s="60" t="s">
        <v>1116</v>
      </c>
      <c r="L33" s="58" t="s">
        <v>988</v>
      </c>
      <c r="M33" s="58" t="s">
        <v>989</v>
      </c>
      <c r="N33" s="60" t="s">
        <v>990</v>
      </c>
      <c r="O33" s="61">
        <v>293</v>
      </c>
      <c r="P33" s="61">
        <v>293</v>
      </c>
      <c r="Q33" s="61">
        <v>293</v>
      </c>
      <c r="R33" s="60">
        <v>1</v>
      </c>
      <c r="S33" s="60" t="s">
        <v>1000</v>
      </c>
      <c r="T33" s="61">
        <v>0</v>
      </c>
      <c r="U33" s="61">
        <v>43.95</v>
      </c>
      <c r="V33" s="61">
        <v>249.05</v>
      </c>
      <c r="W33" s="58" t="s">
        <v>992</v>
      </c>
      <c r="X33" s="58" t="s">
        <v>993</v>
      </c>
      <c r="Y33" s="62">
        <v>15</v>
      </c>
      <c r="Z33" s="58" t="s">
        <v>246</v>
      </c>
      <c r="AA33" s="61">
        <v>0</v>
      </c>
      <c r="AB33" s="61">
        <v>293</v>
      </c>
      <c r="AC33" s="58" t="s">
        <v>69</v>
      </c>
      <c r="AD33" s="63">
        <f t="shared" si="0"/>
        <v>0.15000000000000002</v>
      </c>
      <c r="AE33" s="62">
        <f t="shared" si="11"/>
        <v>249.05</v>
      </c>
      <c r="AH33" s="60" t="s">
        <v>1113</v>
      </c>
      <c r="AI33" s="24">
        <f t="shared" si="2"/>
        <v>46253</v>
      </c>
      <c r="AJ33" s="64">
        <f>AK33-O33</f>
        <v>0</v>
      </c>
      <c r="AK33" s="19">
        <f>O33</f>
        <v>293</v>
      </c>
      <c r="AL33" s="75"/>
      <c r="AQ33" s="69">
        <f>IF(R33=1,AK33,IF(R33=2,AL33,0))</f>
        <v>293</v>
      </c>
      <c r="AR33" s="70">
        <f>+AQ33*$AR$1</f>
        <v>43.949999999999996</v>
      </c>
      <c r="AS33" s="70"/>
      <c r="AT33" s="71">
        <f t="shared" si="12"/>
        <v>249.05</v>
      </c>
      <c r="AU33" s="71"/>
      <c r="AV33" s="72"/>
      <c r="AW33" s="70">
        <f t="shared" si="13"/>
        <v>249.05</v>
      </c>
    </row>
    <row r="34" spans="1:49" hidden="1" x14ac:dyDescent="0.25">
      <c r="A34" s="57">
        <v>46239</v>
      </c>
      <c r="B34" s="58" t="s">
        <v>1117</v>
      </c>
      <c r="C34" s="59">
        <v>34</v>
      </c>
      <c r="D34" s="58" t="s">
        <v>982</v>
      </c>
      <c r="E34" s="58" t="s">
        <v>1118</v>
      </c>
      <c r="F34" s="58" t="s">
        <v>984</v>
      </c>
      <c r="G34" s="58" t="s">
        <v>1089</v>
      </c>
      <c r="H34" s="59">
        <v>1030110706</v>
      </c>
      <c r="I34" s="59">
        <v>214997</v>
      </c>
      <c r="J34" s="60" t="s">
        <v>1090</v>
      </c>
      <c r="K34" s="60" t="s">
        <v>1091</v>
      </c>
      <c r="L34" s="58" t="s">
        <v>988</v>
      </c>
      <c r="M34" s="58" t="s">
        <v>989</v>
      </c>
      <c r="N34" s="60" t="s">
        <v>1039</v>
      </c>
      <c r="O34" s="61">
        <v>108</v>
      </c>
      <c r="P34" s="61">
        <v>0</v>
      </c>
      <c r="Q34" s="61">
        <v>108</v>
      </c>
      <c r="R34" s="60">
        <v>1</v>
      </c>
      <c r="S34" s="60" t="s">
        <v>1000</v>
      </c>
      <c r="T34" s="61">
        <v>0</v>
      </c>
      <c r="U34" s="61">
        <v>16.2</v>
      </c>
      <c r="V34" s="61">
        <v>91.8</v>
      </c>
      <c r="W34" s="58" t="s">
        <v>992</v>
      </c>
      <c r="X34" s="58" t="s">
        <v>993</v>
      </c>
      <c r="Y34" s="62">
        <v>15</v>
      </c>
      <c r="Z34" s="58" t="s">
        <v>86</v>
      </c>
      <c r="AA34" s="61">
        <v>0</v>
      </c>
      <c r="AB34" s="61">
        <v>108</v>
      </c>
      <c r="AC34" s="94" t="s">
        <v>1119</v>
      </c>
      <c r="AD34" s="63">
        <f t="shared" si="0"/>
        <v>0.15</v>
      </c>
      <c r="AE34" s="62">
        <f t="shared" si="11"/>
        <v>91.8</v>
      </c>
      <c r="AH34" s="60" t="s">
        <v>1118</v>
      </c>
      <c r="AI34" s="24">
        <f t="shared" si="2"/>
        <v>46254</v>
      </c>
      <c r="AJ34" s="64">
        <f>AK34-O34</f>
        <v>0</v>
      </c>
      <c r="AK34" s="19">
        <f>O34</f>
        <v>108</v>
      </c>
      <c r="AL34" s="75"/>
      <c r="AQ34" s="95">
        <f>IF(R34=1,AK34,IF(R34=2,AL34,0))</f>
        <v>108</v>
      </c>
      <c r="AR34" s="96">
        <f>+AQ34*$AR$1</f>
        <v>16.2</v>
      </c>
      <c r="AS34" s="96"/>
      <c r="AT34" s="97">
        <f t="shared" si="12"/>
        <v>91.8</v>
      </c>
      <c r="AU34" s="97"/>
      <c r="AV34" s="98">
        <v>-108</v>
      </c>
      <c r="AW34" s="96">
        <f>+AT34+AV34</f>
        <v>-16.200000000000003</v>
      </c>
    </row>
    <row r="35" spans="1:49" x14ac:dyDescent="0.25">
      <c r="A35" s="57">
        <v>46239</v>
      </c>
      <c r="B35" s="58" t="s">
        <v>1040</v>
      </c>
      <c r="C35" s="59">
        <v>34</v>
      </c>
      <c r="D35" s="58" t="s">
        <v>982</v>
      </c>
      <c r="E35" s="58" t="s">
        <v>1120</v>
      </c>
      <c r="F35" s="58" t="s">
        <v>984</v>
      </c>
      <c r="G35" s="58" t="s">
        <v>1121</v>
      </c>
      <c r="H35" s="59">
        <v>1030105520</v>
      </c>
      <c r="I35" s="59">
        <v>214788</v>
      </c>
      <c r="J35" s="60" t="s">
        <v>1122</v>
      </c>
      <c r="K35" s="60" t="s">
        <v>1123</v>
      </c>
      <c r="L35" s="58" t="s">
        <v>988</v>
      </c>
      <c r="M35" s="58" t="s">
        <v>989</v>
      </c>
      <c r="N35" s="60" t="s">
        <v>1039</v>
      </c>
      <c r="O35" s="61">
        <v>497.8</v>
      </c>
      <c r="P35" s="61">
        <v>497.8</v>
      </c>
      <c r="Q35" s="61">
        <v>248.9</v>
      </c>
      <c r="R35" s="60">
        <v>2</v>
      </c>
      <c r="S35" s="60" t="s">
        <v>1000</v>
      </c>
      <c r="T35" s="61">
        <v>0</v>
      </c>
      <c r="U35" s="61">
        <v>74.67</v>
      </c>
      <c r="V35" s="61">
        <v>423.13</v>
      </c>
      <c r="W35" s="58" t="s">
        <v>992</v>
      </c>
      <c r="X35" s="58" t="s">
        <v>993</v>
      </c>
      <c r="Y35" s="62">
        <v>15</v>
      </c>
      <c r="Z35" s="58" t="s">
        <v>86</v>
      </c>
      <c r="AA35" s="61">
        <v>0</v>
      </c>
      <c r="AB35" s="61">
        <v>2226.9</v>
      </c>
      <c r="AC35" s="58" t="s">
        <v>69</v>
      </c>
      <c r="AD35" s="63">
        <f t="shared" si="0"/>
        <v>0.15</v>
      </c>
      <c r="AE35" s="62">
        <f t="shared" si="11"/>
        <v>423.13</v>
      </c>
      <c r="AH35" s="74" t="s">
        <v>1120</v>
      </c>
      <c r="AI35" s="24">
        <f t="shared" si="2"/>
        <v>46254</v>
      </c>
      <c r="AJ35" s="64">
        <f>(O35/2)-AK35</f>
        <v>-9.9999999999994316E-2</v>
      </c>
      <c r="AK35" s="19" cm="1">
        <f t="array" ref="AK35:AP35">_xlfn.XLOOKUP(H35,'[1]Discount RM '!U:U,'[1]Discount RM '!N:S, "NA",0)</f>
        <v>249</v>
      </c>
      <c r="AL35" s="75" t="str">
        <v>450.00</v>
      </c>
      <c r="AM35" t="str">
        <v>-</v>
      </c>
      <c r="AN35">
        <v>2</v>
      </c>
      <c r="AO35">
        <v>37.35</v>
      </c>
      <c r="AP35">
        <v>24.900000000000002</v>
      </c>
      <c r="AQ35" s="69">
        <f>+AK35*R35</f>
        <v>498</v>
      </c>
      <c r="AR35" s="70"/>
      <c r="AS35" s="70">
        <f>$AS$1*AQ35</f>
        <v>49.800000000000004</v>
      </c>
      <c r="AT35" s="71">
        <f t="shared" si="12"/>
        <v>448.2</v>
      </c>
      <c r="AU35" s="71"/>
      <c r="AV35" s="76"/>
      <c r="AW35" s="70">
        <f t="shared" ref="AW35:AW76" si="14">+AT35</f>
        <v>448.2</v>
      </c>
    </row>
    <row r="36" spans="1:49" x14ac:dyDescent="0.25">
      <c r="A36" s="57">
        <v>46239</v>
      </c>
      <c r="B36" s="58" t="s">
        <v>1040</v>
      </c>
      <c r="C36" s="59">
        <v>34</v>
      </c>
      <c r="D36" s="58" t="s">
        <v>982</v>
      </c>
      <c r="E36" s="58" t="s">
        <v>1120</v>
      </c>
      <c r="F36" s="58" t="s">
        <v>984</v>
      </c>
      <c r="G36" s="58" t="s">
        <v>1055</v>
      </c>
      <c r="H36" s="59">
        <v>1030110412</v>
      </c>
      <c r="I36" s="59">
        <v>219335</v>
      </c>
      <c r="J36" s="60" t="s">
        <v>1056</v>
      </c>
      <c r="K36" s="60" t="s">
        <v>1057</v>
      </c>
      <c r="L36" s="58" t="s">
        <v>988</v>
      </c>
      <c r="M36" s="58" t="s">
        <v>989</v>
      </c>
      <c r="N36" s="60" t="s">
        <v>990</v>
      </c>
      <c r="O36" s="61">
        <v>397.8</v>
      </c>
      <c r="P36" s="61">
        <v>397.8</v>
      </c>
      <c r="Q36" s="61">
        <v>198.9</v>
      </c>
      <c r="R36" s="60">
        <v>2</v>
      </c>
      <c r="S36" s="60" t="s">
        <v>1000</v>
      </c>
      <c r="T36" s="61">
        <v>0</v>
      </c>
      <c r="U36" s="61">
        <v>59.67</v>
      </c>
      <c r="V36" s="61">
        <v>338.13</v>
      </c>
      <c r="W36" s="58" t="s">
        <v>73</v>
      </c>
      <c r="X36" s="58" t="s">
        <v>73</v>
      </c>
      <c r="Y36" s="58" t="s">
        <v>73</v>
      </c>
      <c r="Z36" s="58" t="s">
        <v>86</v>
      </c>
      <c r="AA36" s="61">
        <v>0</v>
      </c>
      <c r="AB36" s="61">
        <v>2226.9</v>
      </c>
      <c r="AC36" s="58" t="s">
        <v>69</v>
      </c>
      <c r="AD36" s="63">
        <f t="shared" si="0"/>
        <v>0.15</v>
      </c>
      <c r="AE36" s="62">
        <f t="shared" si="11"/>
        <v>338.13</v>
      </c>
      <c r="AH36" s="74" t="s">
        <v>1120</v>
      </c>
      <c r="AI36" s="24">
        <f t="shared" si="2"/>
        <v>46254</v>
      </c>
      <c r="AJ36" s="64">
        <f>(O36/2)-AK36</f>
        <v>-9.9999999999994316E-2</v>
      </c>
      <c r="AK36" s="19" cm="1">
        <f t="array" ref="AK36:AP36">_xlfn.XLOOKUP(H36,'[1]Discount RM '!U:U,'[1]Discount RM '!N:S, "NA",0)</f>
        <v>199</v>
      </c>
      <c r="AL36" s="75" t="str">
        <v>316.00</v>
      </c>
      <c r="AM36" t="str">
        <v>-</v>
      </c>
      <c r="AN36">
        <v>2</v>
      </c>
      <c r="AO36">
        <v>29.849999999999998</v>
      </c>
      <c r="AP36">
        <v>19.900000000000002</v>
      </c>
      <c r="AQ36" s="69">
        <f>+AK36*R36</f>
        <v>398</v>
      </c>
      <c r="AR36" s="70"/>
      <c r="AS36" s="70">
        <f>$AS$1*AQ36</f>
        <v>39.800000000000004</v>
      </c>
      <c r="AT36" s="71">
        <f t="shared" si="12"/>
        <v>358.2</v>
      </c>
      <c r="AU36" s="71"/>
      <c r="AV36" s="76"/>
      <c r="AW36" s="70">
        <f t="shared" si="14"/>
        <v>358.2</v>
      </c>
    </row>
    <row r="37" spans="1:49" hidden="1" x14ac:dyDescent="0.25">
      <c r="A37" s="57">
        <v>46239</v>
      </c>
      <c r="B37" s="58" t="s">
        <v>1040</v>
      </c>
      <c r="C37" s="59">
        <v>34</v>
      </c>
      <c r="D37" s="58" t="s">
        <v>982</v>
      </c>
      <c r="E37" s="58" t="s">
        <v>1120</v>
      </c>
      <c r="F37" s="58" t="s">
        <v>984</v>
      </c>
      <c r="G37" s="58" t="s">
        <v>1124</v>
      </c>
      <c r="H37" s="59">
        <v>1030110280</v>
      </c>
      <c r="I37" s="59">
        <v>335485</v>
      </c>
      <c r="J37" s="60" t="s">
        <v>1125</v>
      </c>
      <c r="K37" s="60" t="s">
        <v>1126</v>
      </c>
      <c r="L37" s="58" t="s">
        <v>988</v>
      </c>
      <c r="M37" s="58" t="s">
        <v>989</v>
      </c>
      <c r="N37" s="60" t="s">
        <v>1039</v>
      </c>
      <c r="O37" s="61">
        <v>66.900000000000006</v>
      </c>
      <c r="P37" s="61">
        <v>66.900000000000006</v>
      </c>
      <c r="Q37" s="61">
        <v>66.900000000000006</v>
      </c>
      <c r="R37" s="60">
        <v>1</v>
      </c>
      <c r="S37" s="60" t="s">
        <v>1000</v>
      </c>
      <c r="T37" s="61">
        <v>0</v>
      </c>
      <c r="U37" s="61">
        <v>10.039999999999999</v>
      </c>
      <c r="V37" s="61">
        <v>56.87</v>
      </c>
      <c r="W37" s="58" t="s">
        <v>73</v>
      </c>
      <c r="X37" s="58" t="s">
        <v>73</v>
      </c>
      <c r="Y37" s="58" t="s">
        <v>73</v>
      </c>
      <c r="Z37" s="58" t="s">
        <v>86</v>
      </c>
      <c r="AA37" s="61">
        <v>0</v>
      </c>
      <c r="AB37" s="61">
        <v>2226.9</v>
      </c>
      <c r="AC37" s="58" t="s">
        <v>69</v>
      </c>
      <c r="AD37" s="63">
        <f t="shared" si="0"/>
        <v>0.15007473841554556</v>
      </c>
      <c r="AE37" s="62">
        <f t="shared" si="11"/>
        <v>56.860000000000007</v>
      </c>
      <c r="AH37" s="60" t="s">
        <v>1120</v>
      </c>
      <c r="AI37" s="24">
        <f t="shared" si="2"/>
        <v>46254</v>
      </c>
      <c r="AJ37" s="64">
        <f>AK37-O37</f>
        <v>0</v>
      </c>
      <c r="AK37" s="19">
        <f>O37</f>
        <v>66.900000000000006</v>
      </c>
      <c r="AL37" s="75"/>
      <c r="AQ37" s="69">
        <f>IF(R37=1,AK37,IF(R37=2,AL37,0))</f>
        <v>66.900000000000006</v>
      </c>
      <c r="AR37" s="70">
        <f>+AQ37*$AR$1</f>
        <v>10.035</v>
      </c>
      <c r="AS37" s="70"/>
      <c r="AT37" s="71">
        <f t="shared" si="12"/>
        <v>56.865000000000009</v>
      </c>
      <c r="AU37" s="71"/>
      <c r="AV37" s="72"/>
      <c r="AW37" s="70">
        <f t="shared" si="14"/>
        <v>56.865000000000009</v>
      </c>
    </row>
    <row r="38" spans="1:49" ht="18.75" x14ac:dyDescent="0.3">
      <c r="A38" s="57">
        <v>46239</v>
      </c>
      <c r="B38" s="58" t="s">
        <v>1040</v>
      </c>
      <c r="C38" s="59">
        <v>34</v>
      </c>
      <c r="D38" s="58" t="s">
        <v>982</v>
      </c>
      <c r="E38" s="58" t="s">
        <v>1120</v>
      </c>
      <c r="F38" s="58" t="s">
        <v>984</v>
      </c>
      <c r="G38" s="58" t="s">
        <v>1127</v>
      </c>
      <c r="H38" s="59">
        <v>1030108935</v>
      </c>
      <c r="I38" s="59">
        <v>215081</v>
      </c>
      <c r="J38" s="60" t="s">
        <v>1128</v>
      </c>
      <c r="K38" s="60" t="s">
        <v>1129</v>
      </c>
      <c r="L38" s="58" t="s">
        <v>988</v>
      </c>
      <c r="M38" s="58" t="s">
        <v>989</v>
      </c>
      <c r="N38" s="60" t="s">
        <v>990</v>
      </c>
      <c r="O38" s="99">
        <v>279.89999999999998</v>
      </c>
      <c r="P38" s="61">
        <v>279.89999999999998</v>
      </c>
      <c r="Q38" s="61">
        <v>279.89999999999998</v>
      </c>
      <c r="R38" s="60">
        <v>1</v>
      </c>
      <c r="S38" s="60" t="s">
        <v>1000</v>
      </c>
      <c r="T38" s="61">
        <v>0</v>
      </c>
      <c r="U38" s="61">
        <v>41.98</v>
      </c>
      <c r="V38" s="61">
        <v>237.91</v>
      </c>
      <c r="W38" s="58" t="s">
        <v>73</v>
      </c>
      <c r="X38" s="58" t="s">
        <v>73</v>
      </c>
      <c r="Y38" s="58" t="s">
        <v>73</v>
      </c>
      <c r="Z38" s="58" t="s">
        <v>86</v>
      </c>
      <c r="AA38" s="61">
        <v>0</v>
      </c>
      <c r="AB38" s="61">
        <v>2226.9</v>
      </c>
      <c r="AC38" s="58" t="s">
        <v>69</v>
      </c>
      <c r="AD38" s="63">
        <f t="shared" si="0"/>
        <v>0.14998213647731332</v>
      </c>
      <c r="AE38" s="62">
        <f t="shared" si="11"/>
        <v>237.92</v>
      </c>
      <c r="AH38" s="74" t="s">
        <v>1120</v>
      </c>
      <c r="AI38" s="24">
        <f t="shared" si="2"/>
        <v>46254</v>
      </c>
      <c r="AJ38" s="100">
        <f>O38-AK38</f>
        <v>20.899999999999977</v>
      </c>
      <c r="AK38" s="19" cm="1">
        <f t="array" ref="AK38:AP38">_xlfn.XLOOKUP(H38,'[1]Discount RM '!U:U,'[1]Discount RM '!N:S, "NA",0)</f>
        <v>259</v>
      </c>
      <c r="AL38" s="75" t="str">
        <v>490.00</v>
      </c>
      <c r="AM38" t="str">
        <v>-</v>
      </c>
      <c r="AN38">
        <v>2</v>
      </c>
      <c r="AO38">
        <v>38.85</v>
      </c>
      <c r="AP38">
        <v>25.900000000000002</v>
      </c>
      <c r="AQ38" s="69">
        <f>+AK38+AJ38</f>
        <v>279.89999999999998</v>
      </c>
      <c r="AR38" s="70"/>
      <c r="AS38" s="70">
        <f>$AS$1*AQ38</f>
        <v>27.99</v>
      </c>
      <c r="AT38" s="71">
        <f t="shared" si="12"/>
        <v>251.90999999999997</v>
      </c>
      <c r="AU38" s="71"/>
      <c r="AV38" s="76"/>
      <c r="AW38" s="70">
        <f t="shared" si="14"/>
        <v>251.90999999999997</v>
      </c>
    </row>
    <row r="39" spans="1:49" hidden="1" x14ac:dyDescent="0.25">
      <c r="A39" s="57">
        <v>46239</v>
      </c>
      <c r="B39" s="58" t="s">
        <v>1040</v>
      </c>
      <c r="C39" s="59">
        <v>34</v>
      </c>
      <c r="D39" s="58" t="s">
        <v>982</v>
      </c>
      <c r="E39" s="58" t="s">
        <v>1120</v>
      </c>
      <c r="F39" s="58" t="s">
        <v>984</v>
      </c>
      <c r="G39" s="58" t="s">
        <v>1130</v>
      </c>
      <c r="H39" s="59">
        <v>1030105483</v>
      </c>
      <c r="I39" s="59">
        <v>335459</v>
      </c>
      <c r="J39" s="60" t="s">
        <v>1131</v>
      </c>
      <c r="K39" s="60" t="s">
        <v>1132</v>
      </c>
      <c r="L39" s="58" t="s">
        <v>988</v>
      </c>
      <c r="M39" s="58" t="s">
        <v>989</v>
      </c>
      <c r="N39" s="60" t="s">
        <v>1039</v>
      </c>
      <c r="O39" s="61">
        <v>182.9</v>
      </c>
      <c r="P39" s="61">
        <v>182.9</v>
      </c>
      <c r="Q39" s="61">
        <v>182.9</v>
      </c>
      <c r="R39" s="60">
        <v>1</v>
      </c>
      <c r="S39" s="60" t="s">
        <v>1000</v>
      </c>
      <c r="T39" s="61">
        <v>0</v>
      </c>
      <c r="U39" s="61">
        <v>27.43</v>
      </c>
      <c r="V39" s="61">
        <v>155.47</v>
      </c>
      <c r="W39" s="58" t="s">
        <v>73</v>
      </c>
      <c r="X39" s="58" t="s">
        <v>73</v>
      </c>
      <c r="Y39" s="58" t="s">
        <v>73</v>
      </c>
      <c r="Z39" s="58" t="s">
        <v>86</v>
      </c>
      <c r="AA39" s="61">
        <v>0</v>
      </c>
      <c r="AB39" s="61">
        <v>2226.9</v>
      </c>
      <c r="AC39" s="58" t="s">
        <v>69</v>
      </c>
      <c r="AD39" s="63">
        <f t="shared" si="0"/>
        <v>0.14997266265718973</v>
      </c>
      <c r="AE39" s="62">
        <f t="shared" si="11"/>
        <v>155.47</v>
      </c>
      <c r="AH39" s="60" t="s">
        <v>1120</v>
      </c>
      <c r="AI39" s="24">
        <f t="shared" si="2"/>
        <v>46254</v>
      </c>
      <c r="AJ39" s="100">
        <f>AK39-O39</f>
        <v>0</v>
      </c>
      <c r="AK39" s="19">
        <f>O39</f>
        <v>182.9</v>
      </c>
      <c r="AL39" s="75"/>
      <c r="AQ39" s="69">
        <f>IF(R39=1,AK39,IF(R39=2,AL39,0))</f>
        <v>182.9</v>
      </c>
      <c r="AR39" s="70">
        <f>+AQ39*$AR$1</f>
        <v>27.434999999999999</v>
      </c>
      <c r="AS39" s="70"/>
      <c r="AT39" s="71">
        <f t="shared" si="12"/>
        <v>155.465</v>
      </c>
      <c r="AU39" s="71"/>
      <c r="AV39" s="72"/>
      <c r="AW39" s="70">
        <f t="shared" si="14"/>
        <v>155.465</v>
      </c>
    </row>
    <row r="40" spans="1:49" hidden="1" x14ac:dyDescent="0.25">
      <c r="A40" s="57">
        <v>46239</v>
      </c>
      <c r="B40" s="58" t="s">
        <v>1040</v>
      </c>
      <c r="C40" s="59">
        <v>34</v>
      </c>
      <c r="D40" s="58" t="s">
        <v>982</v>
      </c>
      <c r="E40" s="58" t="s">
        <v>1120</v>
      </c>
      <c r="F40" s="58" t="s">
        <v>984</v>
      </c>
      <c r="G40" s="58" t="s">
        <v>1133</v>
      </c>
      <c r="H40" s="59">
        <v>1030106715</v>
      </c>
      <c r="I40" s="59">
        <v>214896</v>
      </c>
      <c r="J40" s="60" t="s">
        <v>1134</v>
      </c>
      <c r="K40" s="60" t="s">
        <v>1135</v>
      </c>
      <c r="L40" s="58" t="s">
        <v>988</v>
      </c>
      <c r="M40" s="58" t="s">
        <v>989</v>
      </c>
      <c r="N40" s="60" t="s">
        <v>1039</v>
      </c>
      <c r="O40" s="61">
        <v>142.9</v>
      </c>
      <c r="P40" s="61">
        <v>142.9</v>
      </c>
      <c r="Q40" s="61">
        <v>142.9</v>
      </c>
      <c r="R40" s="60">
        <v>1</v>
      </c>
      <c r="S40" s="60" t="s">
        <v>1000</v>
      </c>
      <c r="T40" s="61">
        <v>0</v>
      </c>
      <c r="U40" s="61">
        <v>21.43</v>
      </c>
      <c r="V40" s="61">
        <v>121.47</v>
      </c>
      <c r="W40" s="58" t="s">
        <v>73</v>
      </c>
      <c r="X40" s="58" t="s">
        <v>73</v>
      </c>
      <c r="Y40" s="58" t="s">
        <v>73</v>
      </c>
      <c r="Z40" s="58" t="s">
        <v>86</v>
      </c>
      <c r="AA40" s="61">
        <v>0</v>
      </c>
      <c r="AB40" s="61">
        <v>2226.9</v>
      </c>
      <c r="AC40" s="58" t="s">
        <v>69</v>
      </c>
      <c r="AD40" s="63">
        <f t="shared" si="0"/>
        <v>0.14996501049685093</v>
      </c>
      <c r="AE40" s="62">
        <f t="shared" si="11"/>
        <v>121.47</v>
      </c>
      <c r="AH40" s="60" t="s">
        <v>1120</v>
      </c>
      <c r="AI40" s="24">
        <f t="shared" si="2"/>
        <v>46254</v>
      </c>
      <c r="AJ40" s="100">
        <f>AK40-O40</f>
        <v>0</v>
      </c>
      <c r="AK40" s="19">
        <f>O40</f>
        <v>142.9</v>
      </c>
      <c r="AL40" s="75"/>
      <c r="AQ40" s="69">
        <f>IF(R40=1,AK40,IF(R40=2,AL40,0))</f>
        <v>142.9</v>
      </c>
      <c r="AR40" s="70">
        <f>+AQ40*$AR$1</f>
        <v>21.434999999999999</v>
      </c>
      <c r="AS40" s="70"/>
      <c r="AT40" s="71">
        <f t="shared" si="12"/>
        <v>121.465</v>
      </c>
      <c r="AU40" s="71"/>
      <c r="AV40" s="72"/>
      <c r="AW40" s="70">
        <f t="shared" si="14"/>
        <v>121.465</v>
      </c>
    </row>
    <row r="41" spans="1:49" hidden="1" x14ac:dyDescent="0.25">
      <c r="A41" s="57">
        <v>46239</v>
      </c>
      <c r="B41" s="58" t="s">
        <v>1040</v>
      </c>
      <c r="C41" s="59">
        <v>34</v>
      </c>
      <c r="D41" s="58" t="s">
        <v>982</v>
      </c>
      <c r="E41" s="58" t="s">
        <v>1120</v>
      </c>
      <c r="F41" s="58" t="s">
        <v>984</v>
      </c>
      <c r="G41" s="58" t="s">
        <v>1136</v>
      </c>
      <c r="H41" s="59">
        <v>1030109356</v>
      </c>
      <c r="I41" s="59">
        <v>335415</v>
      </c>
      <c r="J41" s="60" t="s">
        <v>998</v>
      </c>
      <c r="K41" s="60" t="s">
        <v>1137</v>
      </c>
      <c r="L41" s="58" t="s">
        <v>988</v>
      </c>
      <c r="M41" s="58" t="s">
        <v>989</v>
      </c>
      <c r="N41" s="60" t="s">
        <v>990</v>
      </c>
      <c r="O41" s="61">
        <v>381.9</v>
      </c>
      <c r="P41" s="61">
        <v>381.9</v>
      </c>
      <c r="Q41" s="61">
        <v>381.9</v>
      </c>
      <c r="R41" s="60">
        <v>1</v>
      </c>
      <c r="S41" s="60" t="s">
        <v>1000</v>
      </c>
      <c r="T41" s="61">
        <v>0</v>
      </c>
      <c r="U41" s="61">
        <v>57.28</v>
      </c>
      <c r="V41" s="61">
        <v>324.62</v>
      </c>
      <c r="W41" s="58" t="s">
        <v>73</v>
      </c>
      <c r="X41" s="58" t="s">
        <v>73</v>
      </c>
      <c r="Y41" s="58" t="s">
        <v>73</v>
      </c>
      <c r="Z41" s="58" t="s">
        <v>86</v>
      </c>
      <c r="AA41" s="61">
        <v>0</v>
      </c>
      <c r="AB41" s="61">
        <v>2226.9</v>
      </c>
      <c r="AC41" s="58" t="s">
        <v>69</v>
      </c>
      <c r="AD41" s="63">
        <f t="shared" si="0"/>
        <v>0.14998690756742605</v>
      </c>
      <c r="AE41" s="62">
        <f t="shared" si="11"/>
        <v>324.62</v>
      </c>
      <c r="AH41" s="60" t="s">
        <v>1120</v>
      </c>
      <c r="AI41" s="24">
        <f t="shared" si="2"/>
        <v>46254</v>
      </c>
      <c r="AJ41" s="100">
        <f>AK41-O41</f>
        <v>0</v>
      </c>
      <c r="AK41" s="19">
        <f>O41</f>
        <v>381.9</v>
      </c>
      <c r="AL41" s="75"/>
      <c r="AQ41" s="69">
        <f>IF(R41=1,AK41,IF(R41=2,AL41,0))</f>
        <v>381.9</v>
      </c>
      <c r="AR41" s="70">
        <f>+AQ41*$AR$1</f>
        <v>57.284999999999997</v>
      </c>
      <c r="AS41" s="70"/>
      <c r="AT41" s="71">
        <f t="shared" si="12"/>
        <v>324.61500000000001</v>
      </c>
      <c r="AU41" s="71"/>
      <c r="AV41" s="72"/>
      <c r="AW41" s="70">
        <f t="shared" si="14"/>
        <v>324.61500000000001</v>
      </c>
    </row>
    <row r="42" spans="1:49" x14ac:dyDescent="0.25">
      <c r="A42" s="57">
        <v>46239</v>
      </c>
      <c r="B42" s="58" t="s">
        <v>1040</v>
      </c>
      <c r="C42" s="59">
        <v>34</v>
      </c>
      <c r="D42" s="58" t="s">
        <v>982</v>
      </c>
      <c r="E42" s="58" t="s">
        <v>1120</v>
      </c>
      <c r="F42" s="58" t="s">
        <v>984</v>
      </c>
      <c r="G42" s="58" t="s">
        <v>1085</v>
      </c>
      <c r="H42" s="59">
        <v>1030103030</v>
      </c>
      <c r="I42" s="59">
        <v>214769</v>
      </c>
      <c r="J42" s="60" t="s">
        <v>1056</v>
      </c>
      <c r="K42" s="60" t="s">
        <v>1086</v>
      </c>
      <c r="L42" s="58" t="s">
        <v>988</v>
      </c>
      <c r="M42" s="58" t="s">
        <v>989</v>
      </c>
      <c r="N42" s="60" t="s">
        <v>990</v>
      </c>
      <c r="O42" s="61">
        <v>184.9</v>
      </c>
      <c r="P42" s="61">
        <v>184.9</v>
      </c>
      <c r="Q42" s="61">
        <v>184.9</v>
      </c>
      <c r="R42" s="60">
        <v>1</v>
      </c>
      <c r="S42" s="60" t="s">
        <v>1000</v>
      </c>
      <c r="T42" s="61">
        <v>0</v>
      </c>
      <c r="U42" s="61">
        <v>27.73</v>
      </c>
      <c r="V42" s="61">
        <v>157.16999999999999</v>
      </c>
      <c r="W42" s="58" t="s">
        <v>73</v>
      </c>
      <c r="X42" s="58" t="s">
        <v>73</v>
      </c>
      <c r="Y42" s="58" t="s">
        <v>73</v>
      </c>
      <c r="Z42" s="58" t="s">
        <v>86</v>
      </c>
      <c r="AA42" s="61">
        <v>0</v>
      </c>
      <c r="AB42" s="61">
        <v>2226.9</v>
      </c>
      <c r="AC42" s="58" t="s">
        <v>69</v>
      </c>
      <c r="AD42" s="63">
        <f t="shared" si="0"/>
        <v>0.14997295835586805</v>
      </c>
      <c r="AE42" s="62">
        <f t="shared" si="11"/>
        <v>157.17000000000002</v>
      </c>
      <c r="AH42" s="74" t="s">
        <v>1120</v>
      </c>
      <c r="AI42" s="24">
        <f t="shared" si="2"/>
        <v>46254</v>
      </c>
      <c r="AJ42" s="100">
        <f>O42-AK42</f>
        <v>-9.9999999999994316E-2</v>
      </c>
      <c r="AK42" s="19" cm="1">
        <f t="array" ref="AK42:AP42">_xlfn.XLOOKUP(H42,'[1]Discount RM '!U:U,'[1]Discount RM '!N:S, "NA",0)</f>
        <v>185</v>
      </c>
      <c r="AL42" s="75" t="str">
        <v>320.00</v>
      </c>
      <c r="AM42" t="str">
        <v>-</v>
      </c>
      <c r="AN42">
        <v>2</v>
      </c>
      <c r="AO42">
        <v>27.75</v>
      </c>
      <c r="AP42">
        <v>18.5</v>
      </c>
      <c r="AQ42" s="69">
        <f>+AK42</f>
        <v>185</v>
      </c>
      <c r="AR42" s="70"/>
      <c r="AS42" s="70">
        <f>$AS$1*AQ42</f>
        <v>18.5</v>
      </c>
      <c r="AT42" s="71">
        <f t="shared" si="12"/>
        <v>166.5</v>
      </c>
      <c r="AU42" s="71"/>
      <c r="AV42" s="76"/>
      <c r="AW42" s="70">
        <f t="shared" si="14"/>
        <v>166.5</v>
      </c>
    </row>
    <row r="43" spans="1:49" hidden="1" x14ac:dyDescent="0.25">
      <c r="A43" s="57">
        <v>46239</v>
      </c>
      <c r="B43" s="58" t="s">
        <v>1040</v>
      </c>
      <c r="C43" s="59">
        <v>34</v>
      </c>
      <c r="D43" s="58" t="s">
        <v>982</v>
      </c>
      <c r="E43" s="58" t="s">
        <v>1120</v>
      </c>
      <c r="F43" s="58" t="s">
        <v>984</v>
      </c>
      <c r="G43" s="58" t="s">
        <v>1138</v>
      </c>
      <c r="H43" s="59">
        <v>1030103794</v>
      </c>
      <c r="I43" s="59">
        <v>214973</v>
      </c>
      <c r="J43" s="60" t="s">
        <v>1139</v>
      </c>
      <c r="K43" s="60" t="s">
        <v>1140</v>
      </c>
      <c r="L43" s="58" t="s">
        <v>988</v>
      </c>
      <c r="M43" s="58" t="s">
        <v>989</v>
      </c>
      <c r="N43" s="60" t="s">
        <v>1039</v>
      </c>
      <c r="O43" s="61">
        <v>91.9</v>
      </c>
      <c r="P43" s="61">
        <v>91.9</v>
      </c>
      <c r="Q43" s="61">
        <v>91.9</v>
      </c>
      <c r="R43" s="60">
        <v>1</v>
      </c>
      <c r="S43" s="60" t="s">
        <v>1000</v>
      </c>
      <c r="T43" s="61">
        <v>0</v>
      </c>
      <c r="U43" s="61">
        <v>13.79</v>
      </c>
      <c r="V43" s="61">
        <v>78.12</v>
      </c>
      <c r="W43" s="58" t="s">
        <v>73</v>
      </c>
      <c r="X43" s="58" t="s">
        <v>73</v>
      </c>
      <c r="Y43" s="58" t="s">
        <v>73</v>
      </c>
      <c r="Z43" s="58" t="s">
        <v>86</v>
      </c>
      <c r="AA43" s="61">
        <v>0</v>
      </c>
      <c r="AB43" s="61">
        <v>2226.9</v>
      </c>
      <c r="AC43" s="58" t="s">
        <v>69</v>
      </c>
      <c r="AD43" s="63">
        <f t="shared" si="0"/>
        <v>0.15005440696409139</v>
      </c>
      <c r="AE43" s="62">
        <f>-U43</f>
        <v>-13.79</v>
      </c>
      <c r="AH43" s="60" t="s">
        <v>1120</v>
      </c>
      <c r="AI43" s="24">
        <f t="shared" si="2"/>
        <v>46254</v>
      </c>
      <c r="AJ43" s="100">
        <f>AK43-O43</f>
        <v>0</v>
      </c>
      <c r="AK43" s="19">
        <f>O43</f>
        <v>91.9</v>
      </c>
      <c r="AL43" s="75"/>
      <c r="AQ43" s="69">
        <f>IF(R43=1,AK43,IF(R43=2,AL43,0))</f>
        <v>91.9</v>
      </c>
      <c r="AR43" s="70">
        <f>+AQ43*$AR$1</f>
        <v>13.785</v>
      </c>
      <c r="AS43" s="70"/>
      <c r="AT43" s="71">
        <f t="shared" si="12"/>
        <v>78.115000000000009</v>
      </c>
      <c r="AU43" s="71"/>
      <c r="AV43" s="72"/>
      <c r="AW43" s="70">
        <f t="shared" si="14"/>
        <v>78.115000000000009</v>
      </c>
    </row>
    <row r="44" spans="1:49" ht="18.75" x14ac:dyDescent="0.3">
      <c r="A44" s="57">
        <v>46241</v>
      </c>
      <c r="B44" s="58" t="s">
        <v>1141</v>
      </c>
      <c r="C44" s="59">
        <v>34</v>
      </c>
      <c r="D44" s="58" t="s">
        <v>982</v>
      </c>
      <c r="E44" s="58" t="s">
        <v>1142</v>
      </c>
      <c r="F44" s="58" t="s">
        <v>984</v>
      </c>
      <c r="G44" s="58" t="s">
        <v>1143</v>
      </c>
      <c r="H44" s="59">
        <v>1030101940</v>
      </c>
      <c r="I44" s="59">
        <v>215000</v>
      </c>
      <c r="J44" s="60" t="s">
        <v>1144</v>
      </c>
      <c r="K44" s="60" t="s">
        <v>1145</v>
      </c>
      <c r="L44" s="58" t="s">
        <v>988</v>
      </c>
      <c r="M44" s="58" t="s">
        <v>989</v>
      </c>
      <c r="N44" s="60" t="s">
        <v>1039</v>
      </c>
      <c r="O44" s="101">
        <v>164.9</v>
      </c>
      <c r="P44" s="61">
        <v>164.9</v>
      </c>
      <c r="Q44" s="61">
        <v>164.9</v>
      </c>
      <c r="R44" s="60">
        <v>1</v>
      </c>
      <c r="S44" s="60" t="s">
        <v>1000</v>
      </c>
      <c r="T44" s="61">
        <v>0</v>
      </c>
      <c r="U44" s="61">
        <v>24.73</v>
      </c>
      <c r="V44" s="61">
        <v>140.16999999999999</v>
      </c>
      <c r="W44" s="58" t="s">
        <v>992</v>
      </c>
      <c r="X44" s="58" t="s">
        <v>993</v>
      </c>
      <c r="Y44" s="62">
        <v>15</v>
      </c>
      <c r="Z44" s="58" t="s">
        <v>79</v>
      </c>
      <c r="AA44" s="61">
        <v>0</v>
      </c>
      <c r="AB44" s="61">
        <v>164.9</v>
      </c>
      <c r="AC44" s="58" t="s">
        <v>69</v>
      </c>
      <c r="AD44" s="63">
        <f t="shared" si="0"/>
        <v>0.14996967859308671</v>
      </c>
      <c r="AE44" s="62">
        <f>+O44-U44</f>
        <v>140.17000000000002</v>
      </c>
      <c r="AH44" s="74" t="s">
        <v>1142</v>
      </c>
      <c r="AI44" s="24">
        <f t="shared" si="2"/>
        <v>46256</v>
      </c>
      <c r="AJ44" s="100">
        <f>O44-AK44</f>
        <v>4.9000000000000057</v>
      </c>
      <c r="AK44" s="19" cm="1">
        <f t="array" ref="AK44:AP44">_xlfn.XLOOKUP(H44,'[1]Discount RM '!U:U,'[1]Discount RM '!N:S, "NA",0)</f>
        <v>160</v>
      </c>
      <c r="AL44" s="75" t="str">
        <v>290.00</v>
      </c>
      <c r="AM44" t="str">
        <v>-</v>
      </c>
      <c r="AN44">
        <v>2</v>
      </c>
      <c r="AO44">
        <v>24</v>
      </c>
      <c r="AP44">
        <v>16</v>
      </c>
      <c r="AQ44" s="69">
        <f>+AK44+AJ44</f>
        <v>164.9</v>
      </c>
      <c r="AR44" s="70"/>
      <c r="AS44" s="70">
        <f>$AS$1*AQ44</f>
        <v>16.490000000000002</v>
      </c>
      <c r="AT44" s="71">
        <f t="shared" si="12"/>
        <v>148.41</v>
      </c>
      <c r="AU44" s="71"/>
      <c r="AV44" s="76"/>
      <c r="AW44" s="70">
        <f t="shared" si="14"/>
        <v>148.41</v>
      </c>
    </row>
    <row r="45" spans="1:49" ht="18.75" x14ac:dyDescent="0.3">
      <c r="A45" s="57">
        <v>46243</v>
      </c>
      <c r="B45" s="58" t="s">
        <v>1146</v>
      </c>
      <c r="C45" s="59">
        <v>34</v>
      </c>
      <c r="D45" s="58" t="s">
        <v>982</v>
      </c>
      <c r="E45" s="58" t="s">
        <v>1147</v>
      </c>
      <c r="F45" s="58" t="s">
        <v>984</v>
      </c>
      <c r="G45" s="58" t="s">
        <v>1148</v>
      </c>
      <c r="H45" s="59">
        <v>1030102362</v>
      </c>
      <c r="I45" s="59">
        <v>215914</v>
      </c>
      <c r="J45" s="60" t="s">
        <v>1149</v>
      </c>
      <c r="K45" s="60" t="s">
        <v>1150</v>
      </c>
      <c r="L45" s="58" t="s">
        <v>988</v>
      </c>
      <c r="M45" s="58" t="s">
        <v>989</v>
      </c>
      <c r="N45" s="60" t="s">
        <v>990</v>
      </c>
      <c r="O45" s="101">
        <v>279.89999999999998</v>
      </c>
      <c r="P45" s="61">
        <v>279.89999999999998</v>
      </c>
      <c r="Q45" s="61">
        <v>279.89999999999998</v>
      </c>
      <c r="R45" s="60">
        <v>1</v>
      </c>
      <c r="S45" s="60" t="s">
        <v>1000</v>
      </c>
      <c r="T45" s="61">
        <v>0</v>
      </c>
      <c r="U45" s="61">
        <v>41.98</v>
      </c>
      <c r="V45" s="61">
        <v>237.91</v>
      </c>
      <c r="W45" s="58" t="s">
        <v>992</v>
      </c>
      <c r="X45" s="58" t="s">
        <v>993</v>
      </c>
      <c r="Y45" s="62">
        <v>15</v>
      </c>
      <c r="Z45" s="58" t="s">
        <v>86</v>
      </c>
      <c r="AA45" s="61">
        <v>0</v>
      </c>
      <c r="AB45" s="61">
        <v>519.79999999999995</v>
      </c>
      <c r="AC45" s="58" t="s">
        <v>69</v>
      </c>
      <c r="AD45" s="63">
        <f t="shared" si="0"/>
        <v>0.14998213647731332</v>
      </c>
      <c r="AE45" s="62">
        <f>+O45-U45</f>
        <v>237.92</v>
      </c>
      <c r="AH45" s="74" t="s">
        <v>1147</v>
      </c>
      <c r="AI45" s="24">
        <f t="shared" si="2"/>
        <v>46258</v>
      </c>
      <c r="AJ45" s="100">
        <f>O45-AK45</f>
        <v>14.899999999999977</v>
      </c>
      <c r="AK45" s="19" cm="1">
        <f t="array" ref="AK45:AP45">_xlfn.XLOOKUP(H45,'[1]Discount RM '!U:U,'[1]Discount RM '!N:S, "NA",0)</f>
        <v>265</v>
      </c>
      <c r="AL45" s="75" t="str">
        <v>491.00</v>
      </c>
      <c r="AM45" t="str">
        <v>-</v>
      </c>
      <c r="AN45">
        <v>2</v>
      </c>
      <c r="AO45">
        <v>39.75</v>
      </c>
      <c r="AP45">
        <v>26.5</v>
      </c>
      <c r="AQ45" s="69">
        <f>+AK45+AJ45</f>
        <v>279.89999999999998</v>
      </c>
      <c r="AR45" s="70"/>
      <c r="AS45" s="70">
        <f>$AS$1*AQ45</f>
        <v>27.99</v>
      </c>
      <c r="AT45" s="71">
        <f t="shared" si="12"/>
        <v>251.90999999999997</v>
      </c>
      <c r="AU45" s="71"/>
      <c r="AV45" s="76"/>
      <c r="AW45" s="70">
        <f t="shared" si="14"/>
        <v>251.90999999999997</v>
      </c>
    </row>
    <row r="46" spans="1:49" hidden="1" x14ac:dyDescent="0.25">
      <c r="A46" s="57">
        <v>46243</v>
      </c>
      <c r="B46" s="58" t="s">
        <v>1146</v>
      </c>
      <c r="C46" s="59">
        <v>34</v>
      </c>
      <c r="D46" s="58" t="s">
        <v>982</v>
      </c>
      <c r="E46" s="58" t="s">
        <v>1147</v>
      </c>
      <c r="F46" s="58" t="s">
        <v>984</v>
      </c>
      <c r="G46" s="58" t="s">
        <v>1151</v>
      </c>
      <c r="H46" s="59">
        <v>1030110402</v>
      </c>
      <c r="I46" s="59">
        <v>335504</v>
      </c>
      <c r="J46" s="60" t="s">
        <v>1009</v>
      </c>
      <c r="K46" s="60" t="s">
        <v>1152</v>
      </c>
      <c r="L46" s="58" t="s">
        <v>988</v>
      </c>
      <c r="M46" s="58" t="s">
        <v>989</v>
      </c>
      <c r="N46" s="60" t="s">
        <v>990</v>
      </c>
      <c r="O46" s="61">
        <v>239.9</v>
      </c>
      <c r="P46" s="61">
        <v>239.9</v>
      </c>
      <c r="Q46" s="61">
        <v>239.9</v>
      </c>
      <c r="R46" s="60">
        <v>1</v>
      </c>
      <c r="S46" s="60" t="s">
        <v>1000</v>
      </c>
      <c r="T46" s="61">
        <v>0</v>
      </c>
      <c r="U46" s="61">
        <v>35.979999999999997</v>
      </c>
      <c r="V46" s="61">
        <v>203.92</v>
      </c>
      <c r="W46" s="58" t="s">
        <v>73</v>
      </c>
      <c r="X46" s="58" t="s">
        <v>73</v>
      </c>
      <c r="Y46" s="58" t="s">
        <v>73</v>
      </c>
      <c r="Z46" s="58" t="s">
        <v>86</v>
      </c>
      <c r="AA46" s="61">
        <v>0</v>
      </c>
      <c r="AB46" s="61">
        <v>519.79999999999995</v>
      </c>
      <c r="AC46" s="58" t="s">
        <v>69</v>
      </c>
      <c r="AD46" s="63">
        <f t="shared" si="0"/>
        <v>0.1499791579824927</v>
      </c>
      <c r="AE46" s="62">
        <f>+O46-U46</f>
        <v>203.92000000000002</v>
      </c>
      <c r="AH46" s="60" t="s">
        <v>1147</v>
      </c>
      <c r="AI46" s="24">
        <f t="shared" si="2"/>
        <v>46258</v>
      </c>
      <c r="AJ46" s="100">
        <f>AK46-O46</f>
        <v>0</v>
      </c>
      <c r="AK46" s="19">
        <f>O46</f>
        <v>239.9</v>
      </c>
      <c r="AL46" s="75"/>
      <c r="AQ46" s="69">
        <f>IF(R46=1,AK46,IF(R46=2,AL46,0))</f>
        <v>239.9</v>
      </c>
      <c r="AR46" s="70">
        <f>+AQ46*$AR$1</f>
        <v>35.984999999999999</v>
      </c>
      <c r="AS46" s="70"/>
      <c r="AT46" s="71">
        <f t="shared" si="12"/>
        <v>203.91500000000002</v>
      </c>
      <c r="AU46" s="71"/>
      <c r="AV46" s="72"/>
      <c r="AW46" s="70">
        <f t="shared" si="14"/>
        <v>203.91500000000002</v>
      </c>
    </row>
    <row r="47" spans="1:49" hidden="1" x14ac:dyDescent="0.25">
      <c r="A47" s="57">
        <v>46243</v>
      </c>
      <c r="B47" s="58" t="s">
        <v>1153</v>
      </c>
      <c r="C47" s="59">
        <v>34</v>
      </c>
      <c r="D47" s="58" t="s">
        <v>982</v>
      </c>
      <c r="E47" s="58" t="s">
        <v>1154</v>
      </c>
      <c r="F47" s="58" t="s">
        <v>984</v>
      </c>
      <c r="G47" s="58" t="s">
        <v>1155</v>
      </c>
      <c r="H47" s="59">
        <v>1030108968</v>
      </c>
      <c r="I47" s="59">
        <v>214805</v>
      </c>
      <c r="J47" s="60" t="s">
        <v>1156</v>
      </c>
      <c r="K47" s="60" t="s">
        <v>1157</v>
      </c>
      <c r="L47" s="58" t="s">
        <v>988</v>
      </c>
      <c r="M47" s="58" t="s">
        <v>989</v>
      </c>
      <c r="N47" s="60" t="s">
        <v>990</v>
      </c>
      <c r="O47" s="61">
        <v>134.9</v>
      </c>
      <c r="P47" s="61">
        <v>134.9</v>
      </c>
      <c r="Q47" s="61">
        <v>134.9</v>
      </c>
      <c r="R47" s="60">
        <v>1</v>
      </c>
      <c r="S47" s="60" t="s">
        <v>1000</v>
      </c>
      <c r="T47" s="61">
        <v>0</v>
      </c>
      <c r="U47" s="61">
        <v>20.23</v>
      </c>
      <c r="V47" s="61">
        <v>114.67</v>
      </c>
      <c r="W47" s="58" t="s">
        <v>992</v>
      </c>
      <c r="X47" s="58" t="s">
        <v>993</v>
      </c>
      <c r="Y47" s="62">
        <v>15</v>
      </c>
      <c r="Z47" s="58" t="s">
        <v>79</v>
      </c>
      <c r="AA47" s="61">
        <v>0</v>
      </c>
      <c r="AB47" s="61">
        <v>134.9</v>
      </c>
      <c r="AC47" s="58" t="s">
        <v>69</v>
      </c>
      <c r="AD47" s="63">
        <f t="shared" si="0"/>
        <v>0.14996293550778353</v>
      </c>
      <c r="AE47" s="62">
        <f>+O47-U47</f>
        <v>114.67</v>
      </c>
      <c r="AH47" s="60" t="s">
        <v>1154</v>
      </c>
      <c r="AI47" s="24">
        <f t="shared" si="2"/>
        <v>46258</v>
      </c>
      <c r="AJ47" s="100">
        <f>AK47-O47</f>
        <v>0</v>
      </c>
      <c r="AK47" s="19">
        <f>O47</f>
        <v>134.9</v>
      </c>
      <c r="AL47" s="75"/>
      <c r="AQ47" s="69">
        <f>IF(R47=1,AK47,IF(R47=2,AL47,0))</f>
        <v>134.9</v>
      </c>
      <c r="AR47" s="70">
        <f>+AQ47*$AR$1</f>
        <v>20.234999999999999</v>
      </c>
      <c r="AS47" s="70"/>
      <c r="AT47" s="71">
        <f t="shared" si="12"/>
        <v>114.66500000000001</v>
      </c>
      <c r="AU47" s="71"/>
      <c r="AV47" s="72"/>
      <c r="AW47" s="70">
        <f t="shared" si="14"/>
        <v>114.66500000000001</v>
      </c>
    </row>
    <row r="48" spans="1:49" hidden="1" x14ac:dyDescent="0.25">
      <c r="A48" s="57">
        <v>46243</v>
      </c>
      <c r="B48" s="58" t="s">
        <v>1158</v>
      </c>
      <c r="C48" s="59">
        <v>34</v>
      </c>
      <c r="D48" s="58" t="s">
        <v>982</v>
      </c>
      <c r="E48" s="58" t="s">
        <v>1159</v>
      </c>
      <c r="F48" s="58" t="s">
        <v>984</v>
      </c>
      <c r="G48" s="58" t="s">
        <v>1160</v>
      </c>
      <c r="H48" s="59">
        <v>1030105930</v>
      </c>
      <c r="I48" s="59">
        <v>335539</v>
      </c>
      <c r="J48" s="60" t="s">
        <v>1134</v>
      </c>
      <c r="K48" s="60" t="s">
        <v>1161</v>
      </c>
      <c r="L48" s="58" t="s">
        <v>988</v>
      </c>
      <c r="M48" s="58" t="s">
        <v>989</v>
      </c>
      <c r="N48" s="60" t="s">
        <v>990</v>
      </c>
      <c r="O48" s="61">
        <v>239.8</v>
      </c>
      <c r="P48" s="61">
        <v>239.8</v>
      </c>
      <c r="Q48" s="61">
        <v>119.9</v>
      </c>
      <c r="R48" s="60">
        <v>2</v>
      </c>
      <c r="S48" s="60" t="s">
        <v>1000</v>
      </c>
      <c r="T48" s="61">
        <v>0</v>
      </c>
      <c r="U48" s="61">
        <v>35.97</v>
      </c>
      <c r="V48" s="61">
        <v>203.83</v>
      </c>
      <c r="W48" s="58" t="s">
        <v>992</v>
      </c>
      <c r="X48" s="58" t="s">
        <v>993</v>
      </c>
      <c r="Y48" s="62">
        <v>15</v>
      </c>
      <c r="Z48" s="58" t="s">
        <v>92</v>
      </c>
      <c r="AA48" s="61">
        <v>467.6</v>
      </c>
      <c r="AB48" s="61">
        <v>0</v>
      </c>
      <c r="AC48" s="58" t="s">
        <v>69</v>
      </c>
      <c r="AD48" s="63">
        <f t="shared" si="0"/>
        <v>0.15</v>
      </c>
      <c r="AE48" s="62">
        <f>+O48-U48-V48</f>
        <v>0</v>
      </c>
      <c r="AH48" s="60" t="s">
        <v>1159</v>
      </c>
      <c r="AI48" s="24">
        <f t="shared" si="2"/>
        <v>46258</v>
      </c>
      <c r="AJ48" s="100">
        <f>AK48-O48</f>
        <v>0</v>
      </c>
      <c r="AK48" s="19">
        <f>O48</f>
        <v>239.8</v>
      </c>
      <c r="AL48" s="75"/>
      <c r="AQ48" s="69">
        <f>+O48</f>
        <v>239.8</v>
      </c>
      <c r="AR48" s="70">
        <f>+AQ48*$AR$1</f>
        <v>35.97</v>
      </c>
      <c r="AS48" s="70"/>
      <c r="AT48" s="71">
        <f t="shared" si="12"/>
        <v>203.83</v>
      </c>
      <c r="AU48" s="71"/>
      <c r="AV48" s="72"/>
      <c r="AW48" s="70">
        <f t="shared" si="14"/>
        <v>203.83</v>
      </c>
    </row>
    <row r="49" spans="1:49" x14ac:dyDescent="0.25">
      <c r="A49" s="57">
        <v>46243</v>
      </c>
      <c r="B49" s="58" t="s">
        <v>1158</v>
      </c>
      <c r="C49" s="59">
        <v>34</v>
      </c>
      <c r="D49" s="58" t="s">
        <v>982</v>
      </c>
      <c r="E49" s="58" t="s">
        <v>1159</v>
      </c>
      <c r="F49" s="58" t="s">
        <v>984</v>
      </c>
      <c r="G49" s="58" t="s">
        <v>1162</v>
      </c>
      <c r="H49" s="59">
        <v>1030105267</v>
      </c>
      <c r="I49" s="59">
        <v>215747</v>
      </c>
      <c r="J49" s="60" t="s">
        <v>1134</v>
      </c>
      <c r="K49" s="60" t="s">
        <v>1163</v>
      </c>
      <c r="L49" s="58" t="s">
        <v>988</v>
      </c>
      <c r="M49" s="58" t="s">
        <v>989</v>
      </c>
      <c r="N49" s="60" t="s">
        <v>990</v>
      </c>
      <c r="O49" s="61">
        <v>114.9</v>
      </c>
      <c r="P49" s="61">
        <v>114.9</v>
      </c>
      <c r="Q49" s="61">
        <v>114.9</v>
      </c>
      <c r="R49" s="60">
        <v>1</v>
      </c>
      <c r="S49" s="60" t="s">
        <v>1000</v>
      </c>
      <c r="T49" s="61">
        <v>0</v>
      </c>
      <c r="U49" s="61">
        <v>17.23</v>
      </c>
      <c r="V49" s="61">
        <v>97.67</v>
      </c>
      <c r="W49" s="58" t="s">
        <v>73</v>
      </c>
      <c r="X49" s="58" t="s">
        <v>73</v>
      </c>
      <c r="Y49" s="58" t="s">
        <v>73</v>
      </c>
      <c r="Z49" s="58" t="s">
        <v>92</v>
      </c>
      <c r="AA49" s="61">
        <v>467.6</v>
      </c>
      <c r="AB49" s="61">
        <v>0</v>
      </c>
      <c r="AC49" s="58" t="s">
        <v>69</v>
      </c>
      <c r="AD49" s="63">
        <f t="shared" si="0"/>
        <v>0.14995648389904265</v>
      </c>
      <c r="AE49" s="62">
        <f t="shared" ref="AE49:AE57" si="15">+O49-U49</f>
        <v>97.67</v>
      </c>
      <c r="AH49" s="74" t="s">
        <v>1159</v>
      </c>
      <c r="AI49" s="24">
        <f t="shared" si="2"/>
        <v>46258</v>
      </c>
      <c r="AJ49" s="100">
        <f>O49-AK49</f>
        <v>1.9000000000000057</v>
      </c>
      <c r="AK49" s="19" cm="1">
        <f t="array" ref="AK49:AP49">_xlfn.XLOOKUP(H49,'[1]Discount RM '!U:U,'[1]Discount RM '!N:S, "NA",0)</f>
        <v>113</v>
      </c>
      <c r="AL49" s="75" t="str">
        <v>250.00</v>
      </c>
      <c r="AM49" t="str">
        <v>-</v>
      </c>
      <c r="AN49">
        <v>2</v>
      </c>
      <c r="AO49">
        <v>16.95</v>
      </c>
      <c r="AP49">
        <v>11.3</v>
      </c>
      <c r="AQ49" s="69">
        <f>+AK49+AJ49</f>
        <v>114.9</v>
      </c>
      <c r="AR49" s="70"/>
      <c r="AS49" s="70">
        <f>$AS$1*AQ49</f>
        <v>11.490000000000002</v>
      </c>
      <c r="AT49" s="71">
        <f t="shared" si="12"/>
        <v>103.41</v>
      </c>
      <c r="AU49" s="71"/>
      <c r="AV49" s="76"/>
      <c r="AW49" s="70">
        <f t="shared" si="14"/>
        <v>103.41</v>
      </c>
    </row>
    <row r="50" spans="1:49" hidden="1" x14ac:dyDescent="0.25">
      <c r="A50" s="57">
        <v>46243</v>
      </c>
      <c r="B50" s="58" t="s">
        <v>1158</v>
      </c>
      <c r="C50" s="59">
        <v>34</v>
      </c>
      <c r="D50" s="58" t="s">
        <v>982</v>
      </c>
      <c r="E50" s="58" t="s">
        <v>1159</v>
      </c>
      <c r="F50" s="58" t="s">
        <v>984</v>
      </c>
      <c r="G50" s="58" t="s">
        <v>1164</v>
      </c>
      <c r="H50" s="59">
        <v>1030106514</v>
      </c>
      <c r="I50" s="59">
        <v>215985</v>
      </c>
      <c r="J50" s="60" t="s">
        <v>1134</v>
      </c>
      <c r="K50" s="60" t="s">
        <v>1165</v>
      </c>
      <c r="L50" s="58" t="s">
        <v>988</v>
      </c>
      <c r="M50" s="58" t="s">
        <v>989</v>
      </c>
      <c r="N50" s="60" t="s">
        <v>990</v>
      </c>
      <c r="O50" s="61">
        <v>112.9</v>
      </c>
      <c r="P50" s="61">
        <v>112.9</v>
      </c>
      <c r="Q50" s="61">
        <v>112.9</v>
      </c>
      <c r="R50" s="60">
        <v>1</v>
      </c>
      <c r="S50" s="60" t="s">
        <v>1000</v>
      </c>
      <c r="T50" s="61">
        <v>0</v>
      </c>
      <c r="U50" s="61">
        <v>16.93</v>
      </c>
      <c r="V50" s="61">
        <v>95.97</v>
      </c>
      <c r="W50" s="58" t="s">
        <v>73</v>
      </c>
      <c r="X50" s="58" t="s">
        <v>73</v>
      </c>
      <c r="Y50" s="58" t="s">
        <v>73</v>
      </c>
      <c r="Z50" s="58" t="s">
        <v>92</v>
      </c>
      <c r="AA50" s="61">
        <v>467.6</v>
      </c>
      <c r="AB50" s="61">
        <v>0</v>
      </c>
      <c r="AC50" s="58" t="s">
        <v>69</v>
      </c>
      <c r="AD50" s="63">
        <f t="shared" si="0"/>
        <v>0.149955713020372</v>
      </c>
      <c r="AE50" s="62">
        <f t="shared" si="15"/>
        <v>95.97</v>
      </c>
      <c r="AH50" s="60" t="s">
        <v>1159</v>
      </c>
      <c r="AI50" s="24">
        <f t="shared" si="2"/>
        <v>46258</v>
      </c>
      <c r="AJ50" s="100">
        <f t="shared" ref="AJ50:AJ76" si="16">AK50-O50</f>
        <v>0</v>
      </c>
      <c r="AK50" s="19">
        <f t="shared" ref="AK50:AK74" si="17">O50</f>
        <v>112.9</v>
      </c>
      <c r="AL50" s="75"/>
      <c r="AQ50" s="69">
        <f>IF(R50=1,AK50,IF(R50=2,AL50,0))</f>
        <v>112.9</v>
      </c>
      <c r="AR50" s="70">
        <f t="shared" ref="AR50:AR76" si="18">+AQ50*$AR$1</f>
        <v>16.934999999999999</v>
      </c>
      <c r="AS50" s="70"/>
      <c r="AT50" s="71">
        <f t="shared" si="12"/>
        <v>95.965000000000003</v>
      </c>
      <c r="AU50" s="71"/>
      <c r="AV50" s="72"/>
      <c r="AW50" s="70">
        <f t="shared" si="14"/>
        <v>95.965000000000003</v>
      </c>
    </row>
    <row r="51" spans="1:49" hidden="1" x14ac:dyDescent="0.25">
      <c r="A51" s="57">
        <v>46244</v>
      </c>
      <c r="B51" s="58" t="s">
        <v>1166</v>
      </c>
      <c r="C51" s="59">
        <v>34</v>
      </c>
      <c r="D51" s="58" t="s">
        <v>982</v>
      </c>
      <c r="E51" s="58" t="s">
        <v>1167</v>
      </c>
      <c r="F51" s="58" t="s">
        <v>984</v>
      </c>
      <c r="G51" s="58" t="s">
        <v>1168</v>
      </c>
      <c r="H51" s="59">
        <v>1030104433</v>
      </c>
      <c r="I51" s="59">
        <v>335328</v>
      </c>
      <c r="J51" s="60" t="s">
        <v>1043</v>
      </c>
      <c r="K51" s="60" t="s">
        <v>1169</v>
      </c>
      <c r="L51" s="58" t="s">
        <v>988</v>
      </c>
      <c r="M51" s="58" t="s">
        <v>989</v>
      </c>
      <c r="N51" s="60" t="s">
        <v>1039</v>
      </c>
      <c r="O51" s="61">
        <v>38.9</v>
      </c>
      <c r="P51" s="61">
        <v>38.9</v>
      </c>
      <c r="Q51" s="61">
        <v>38.9</v>
      </c>
      <c r="R51" s="60">
        <v>1</v>
      </c>
      <c r="S51" s="60" t="s">
        <v>1000</v>
      </c>
      <c r="T51" s="61">
        <v>0</v>
      </c>
      <c r="U51" s="61">
        <v>5.83</v>
      </c>
      <c r="V51" s="61">
        <v>33.06</v>
      </c>
      <c r="W51" s="58" t="s">
        <v>992</v>
      </c>
      <c r="X51" s="58" t="s">
        <v>993</v>
      </c>
      <c r="Y51" s="62">
        <v>15</v>
      </c>
      <c r="Z51" s="58" t="s">
        <v>92</v>
      </c>
      <c r="AA51" s="61">
        <v>88.8</v>
      </c>
      <c r="AB51" s="61">
        <v>0</v>
      </c>
      <c r="AC51" s="58" t="s">
        <v>69</v>
      </c>
      <c r="AD51" s="63">
        <f t="shared" si="0"/>
        <v>0.14987146529562984</v>
      </c>
      <c r="AE51" s="62">
        <f t="shared" si="15"/>
        <v>33.07</v>
      </c>
      <c r="AH51" s="60" t="s">
        <v>1167</v>
      </c>
      <c r="AI51" s="24">
        <f t="shared" si="2"/>
        <v>46259</v>
      </c>
      <c r="AJ51" s="64">
        <f t="shared" si="16"/>
        <v>0</v>
      </c>
      <c r="AK51" s="19">
        <f t="shared" si="17"/>
        <v>38.9</v>
      </c>
      <c r="AL51" s="75"/>
      <c r="AQ51" s="69">
        <f>IF(R51=1,AK51,IF(R51=2,AL51,0))</f>
        <v>38.9</v>
      </c>
      <c r="AR51" s="70">
        <f t="shared" si="18"/>
        <v>5.835</v>
      </c>
      <c r="AS51" s="70"/>
      <c r="AT51" s="71">
        <f t="shared" si="12"/>
        <v>33.064999999999998</v>
      </c>
      <c r="AU51" s="71"/>
      <c r="AV51" s="72"/>
      <c r="AW51" s="70">
        <f t="shared" si="14"/>
        <v>33.064999999999998</v>
      </c>
    </row>
    <row r="52" spans="1:49" hidden="1" x14ac:dyDescent="0.25">
      <c r="A52" s="57">
        <v>46244</v>
      </c>
      <c r="B52" s="58" t="s">
        <v>1166</v>
      </c>
      <c r="C52" s="59">
        <v>34</v>
      </c>
      <c r="D52" s="58" t="s">
        <v>982</v>
      </c>
      <c r="E52" s="58" t="s">
        <v>1167</v>
      </c>
      <c r="F52" s="58" t="s">
        <v>984</v>
      </c>
      <c r="G52" s="58" t="s">
        <v>1042</v>
      </c>
      <c r="H52" s="59">
        <v>1030101336</v>
      </c>
      <c r="I52" s="59">
        <v>219287</v>
      </c>
      <c r="J52" s="60" t="s">
        <v>1043</v>
      </c>
      <c r="K52" s="60" t="s">
        <v>1044</v>
      </c>
      <c r="L52" s="58" t="s">
        <v>988</v>
      </c>
      <c r="M52" s="58" t="s">
        <v>989</v>
      </c>
      <c r="N52" s="60" t="s">
        <v>1039</v>
      </c>
      <c r="O52" s="61">
        <v>37.9</v>
      </c>
      <c r="P52" s="61">
        <v>37.9</v>
      </c>
      <c r="Q52" s="61">
        <v>37.9</v>
      </c>
      <c r="R52" s="60">
        <v>1</v>
      </c>
      <c r="S52" s="60" t="s">
        <v>1000</v>
      </c>
      <c r="T52" s="61">
        <v>0</v>
      </c>
      <c r="U52" s="61">
        <v>5.68</v>
      </c>
      <c r="V52" s="61">
        <v>32.21</v>
      </c>
      <c r="W52" s="58" t="s">
        <v>73</v>
      </c>
      <c r="X52" s="58" t="s">
        <v>73</v>
      </c>
      <c r="Y52" s="58" t="s">
        <v>73</v>
      </c>
      <c r="Z52" s="58" t="s">
        <v>92</v>
      </c>
      <c r="AA52" s="61">
        <v>88.8</v>
      </c>
      <c r="AB52" s="61">
        <v>0</v>
      </c>
      <c r="AC52" s="58" t="s">
        <v>69</v>
      </c>
      <c r="AD52" s="63">
        <f t="shared" si="0"/>
        <v>0.14986807387862797</v>
      </c>
      <c r="AE52" s="62">
        <f t="shared" si="15"/>
        <v>32.22</v>
      </c>
      <c r="AH52" s="60" t="s">
        <v>1167</v>
      </c>
      <c r="AI52" s="24">
        <f t="shared" si="2"/>
        <v>46259</v>
      </c>
      <c r="AJ52" s="64">
        <f t="shared" si="16"/>
        <v>0</v>
      </c>
      <c r="AK52" s="19">
        <f t="shared" si="17"/>
        <v>37.9</v>
      </c>
      <c r="AL52" s="75"/>
      <c r="AQ52" s="69">
        <f>IF(R52=1,AK52,IF(R52=2,AL52,0))</f>
        <v>37.9</v>
      </c>
      <c r="AR52" s="70">
        <f t="shared" si="18"/>
        <v>5.6849999999999996</v>
      </c>
      <c r="AS52" s="70"/>
      <c r="AT52" s="71">
        <f t="shared" si="12"/>
        <v>32.214999999999996</v>
      </c>
      <c r="AU52" s="71"/>
      <c r="AV52" s="72"/>
      <c r="AW52" s="70">
        <f t="shared" si="14"/>
        <v>32.214999999999996</v>
      </c>
    </row>
    <row r="53" spans="1:49" hidden="1" x14ac:dyDescent="0.25">
      <c r="A53" s="57">
        <v>46244</v>
      </c>
      <c r="B53" s="58" t="s">
        <v>1040</v>
      </c>
      <c r="C53" s="59">
        <v>34</v>
      </c>
      <c r="D53" s="58" t="s">
        <v>982</v>
      </c>
      <c r="E53" s="58" t="s">
        <v>1170</v>
      </c>
      <c r="F53" s="58" t="s">
        <v>984</v>
      </c>
      <c r="G53" s="58" t="s">
        <v>1171</v>
      </c>
      <c r="H53" s="59">
        <v>1030108771</v>
      </c>
      <c r="I53" s="59">
        <v>214971</v>
      </c>
      <c r="J53" s="60" t="s">
        <v>1172</v>
      </c>
      <c r="K53" s="60" t="s">
        <v>1173</v>
      </c>
      <c r="L53" s="58" t="s">
        <v>988</v>
      </c>
      <c r="M53" s="58" t="s">
        <v>989</v>
      </c>
      <c r="N53" s="60" t="s">
        <v>1039</v>
      </c>
      <c r="O53" s="61">
        <v>133.80000000000001</v>
      </c>
      <c r="P53" s="61">
        <v>133.80000000000001</v>
      </c>
      <c r="Q53" s="61">
        <v>66.900000000000006</v>
      </c>
      <c r="R53" s="60">
        <v>2</v>
      </c>
      <c r="S53" s="60" t="s">
        <v>1000</v>
      </c>
      <c r="T53" s="61">
        <v>0</v>
      </c>
      <c r="U53" s="61">
        <v>20.07</v>
      </c>
      <c r="V53" s="61">
        <v>113.73</v>
      </c>
      <c r="W53" s="58" t="s">
        <v>992</v>
      </c>
      <c r="X53" s="58" t="s">
        <v>993</v>
      </c>
      <c r="Y53" s="62">
        <v>15</v>
      </c>
      <c r="Z53" s="58" t="s">
        <v>92</v>
      </c>
      <c r="AA53" s="61">
        <v>133.80000000000001</v>
      </c>
      <c r="AB53" s="61">
        <v>0</v>
      </c>
      <c r="AC53" s="58" t="s">
        <v>69</v>
      </c>
      <c r="AD53" s="63">
        <f t="shared" si="0"/>
        <v>0.15</v>
      </c>
      <c r="AE53" s="62">
        <f t="shared" si="15"/>
        <v>113.73000000000002</v>
      </c>
      <c r="AH53" s="60" t="s">
        <v>1170</v>
      </c>
      <c r="AI53" s="24">
        <f t="shared" si="2"/>
        <v>46259</v>
      </c>
      <c r="AJ53" s="64">
        <f t="shared" si="16"/>
        <v>0</v>
      </c>
      <c r="AK53" s="19">
        <f t="shared" si="17"/>
        <v>133.80000000000001</v>
      </c>
      <c r="AL53" s="75"/>
      <c r="AQ53" s="69">
        <f>+O53</f>
        <v>133.80000000000001</v>
      </c>
      <c r="AR53" s="70">
        <f t="shared" si="18"/>
        <v>20.07</v>
      </c>
      <c r="AS53" s="70"/>
      <c r="AT53" s="71">
        <f t="shared" si="12"/>
        <v>113.73000000000002</v>
      </c>
      <c r="AU53" s="71"/>
      <c r="AV53" s="72"/>
      <c r="AW53" s="70">
        <f t="shared" si="14"/>
        <v>113.73000000000002</v>
      </c>
    </row>
    <row r="54" spans="1:49" hidden="1" x14ac:dyDescent="0.25">
      <c r="A54" s="57">
        <v>46244</v>
      </c>
      <c r="B54" s="58" t="s">
        <v>1174</v>
      </c>
      <c r="C54" s="59">
        <v>34</v>
      </c>
      <c r="D54" s="58" t="s">
        <v>982</v>
      </c>
      <c r="E54" s="58" t="s">
        <v>1175</v>
      </c>
      <c r="F54" s="58" t="s">
        <v>984</v>
      </c>
      <c r="G54" s="58" t="s">
        <v>1155</v>
      </c>
      <c r="H54" s="59">
        <v>1030108968</v>
      </c>
      <c r="I54" s="59">
        <v>214805</v>
      </c>
      <c r="J54" s="60" t="s">
        <v>1156</v>
      </c>
      <c r="K54" s="60" t="s">
        <v>1157</v>
      </c>
      <c r="L54" s="58" t="s">
        <v>988</v>
      </c>
      <c r="M54" s="58" t="s">
        <v>989</v>
      </c>
      <c r="N54" s="60" t="s">
        <v>990</v>
      </c>
      <c r="O54" s="61">
        <v>134.9</v>
      </c>
      <c r="P54" s="61">
        <v>134.9</v>
      </c>
      <c r="Q54" s="61">
        <v>134.9</v>
      </c>
      <c r="R54" s="60">
        <v>1</v>
      </c>
      <c r="S54" s="60" t="s">
        <v>1000</v>
      </c>
      <c r="T54" s="61">
        <v>0</v>
      </c>
      <c r="U54" s="61">
        <v>20.23</v>
      </c>
      <c r="V54" s="61">
        <v>114.67</v>
      </c>
      <c r="W54" s="58" t="s">
        <v>992</v>
      </c>
      <c r="X54" s="58" t="s">
        <v>993</v>
      </c>
      <c r="Y54" s="62">
        <v>15</v>
      </c>
      <c r="Z54" s="58" t="s">
        <v>92</v>
      </c>
      <c r="AA54" s="61">
        <v>364.8</v>
      </c>
      <c r="AB54" s="61">
        <v>0</v>
      </c>
      <c r="AC54" s="58" t="s">
        <v>69</v>
      </c>
      <c r="AD54" s="63">
        <f t="shared" si="0"/>
        <v>0.14996293550778353</v>
      </c>
      <c r="AE54" s="62">
        <f t="shared" si="15"/>
        <v>114.67</v>
      </c>
      <c r="AH54" s="60" t="s">
        <v>1175</v>
      </c>
      <c r="AI54" s="24">
        <f t="shared" si="2"/>
        <v>46259</v>
      </c>
      <c r="AJ54" s="64">
        <f t="shared" si="16"/>
        <v>0</v>
      </c>
      <c r="AK54" s="19">
        <f t="shared" si="17"/>
        <v>134.9</v>
      </c>
      <c r="AL54" s="75"/>
      <c r="AQ54" s="69">
        <f t="shared" ref="AQ54:AQ65" si="19">IF(R54=1,AK54,IF(R54=2,AL54,0))</f>
        <v>134.9</v>
      </c>
      <c r="AR54" s="70">
        <f t="shared" si="18"/>
        <v>20.234999999999999</v>
      </c>
      <c r="AS54" s="70"/>
      <c r="AT54" s="71">
        <f t="shared" si="12"/>
        <v>114.66500000000001</v>
      </c>
      <c r="AU54" s="71"/>
      <c r="AV54" s="72"/>
      <c r="AW54" s="70">
        <f t="shared" si="14"/>
        <v>114.66500000000001</v>
      </c>
    </row>
    <row r="55" spans="1:49" hidden="1" x14ac:dyDescent="0.25">
      <c r="A55" s="57">
        <v>46244</v>
      </c>
      <c r="B55" s="58" t="s">
        <v>1174</v>
      </c>
      <c r="C55" s="59">
        <v>34</v>
      </c>
      <c r="D55" s="58" t="s">
        <v>982</v>
      </c>
      <c r="E55" s="58" t="s">
        <v>1175</v>
      </c>
      <c r="F55" s="58" t="s">
        <v>984</v>
      </c>
      <c r="G55" s="58" t="s">
        <v>1176</v>
      </c>
      <c r="H55" s="59">
        <v>1030106330</v>
      </c>
      <c r="I55" s="59">
        <v>215064</v>
      </c>
      <c r="J55" s="60" t="s">
        <v>1149</v>
      </c>
      <c r="K55" s="60" t="s">
        <v>1177</v>
      </c>
      <c r="L55" s="58" t="s">
        <v>988</v>
      </c>
      <c r="M55" s="58" t="s">
        <v>989</v>
      </c>
      <c r="N55" s="60" t="s">
        <v>990</v>
      </c>
      <c r="O55" s="61">
        <v>229.9</v>
      </c>
      <c r="P55" s="61">
        <v>229.9</v>
      </c>
      <c r="Q55" s="61">
        <v>229.9</v>
      </c>
      <c r="R55" s="60">
        <v>1</v>
      </c>
      <c r="S55" s="60" t="s">
        <v>1000</v>
      </c>
      <c r="T55" s="61">
        <v>0</v>
      </c>
      <c r="U55" s="61">
        <v>34.479999999999997</v>
      </c>
      <c r="V55" s="61">
        <v>195.42</v>
      </c>
      <c r="W55" s="58" t="s">
        <v>73</v>
      </c>
      <c r="X55" s="58" t="s">
        <v>73</v>
      </c>
      <c r="Y55" s="58" t="s">
        <v>73</v>
      </c>
      <c r="Z55" s="58" t="s">
        <v>92</v>
      </c>
      <c r="AA55" s="61">
        <v>364.8</v>
      </c>
      <c r="AB55" s="61">
        <v>0</v>
      </c>
      <c r="AC55" s="58" t="s">
        <v>69</v>
      </c>
      <c r="AD55" s="63">
        <f t="shared" si="0"/>
        <v>0.14997825141365809</v>
      </c>
      <c r="AE55" s="62">
        <f t="shared" si="15"/>
        <v>195.42000000000002</v>
      </c>
      <c r="AH55" s="60" t="s">
        <v>1175</v>
      </c>
      <c r="AI55" s="24">
        <f t="shared" si="2"/>
        <v>46259</v>
      </c>
      <c r="AJ55" s="64">
        <f t="shared" si="16"/>
        <v>0</v>
      </c>
      <c r="AK55" s="19">
        <f t="shared" si="17"/>
        <v>229.9</v>
      </c>
      <c r="AL55" s="75"/>
      <c r="AQ55" s="69">
        <f t="shared" si="19"/>
        <v>229.9</v>
      </c>
      <c r="AR55" s="70">
        <f t="shared" si="18"/>
        <v>34.484999999999999</v>
      </c>
      <c r="AS55" s="70"/>
      <c r="AT55" s="71">
        <f t="shared" si="12"/>
        <v>195.41500000000002</v>
      </c>
      <c r="AU55" s="71"/>
      <c r="AV55" s="72"/>
      <c r="AW55" s="70">
        <f t="shared" si="14"/>
        <v>195.41500000000002</v>
      </c>
    </row>
    <row r="56" spans="1:49" hidden="1" x14ac:dyDescent="0.25">
      <c r="A56" s="57">
        <v>46245</v>
      </c>
      <c r="B56" s="58" t="s">
        <v>1178</v>
      </c>
      <c r="C56" s="59">
        <v>34</v>
      </c>
      <c r="D56" s="58" t="s">
        <v>982</v>
      </c>
      <c r="E56" s="58" t="s">
        <v>1179</v>
      </c>
      <c r="F56" s="58" t="s">
        <v>984</v>
      </c>
      <c r="G56" s="58" t="s">
        <v>1180</v>
      </c>
      <c r="H56" s="59">
        <v>1030105719</v>
      </c>
      <c r="I56" s="59">
        <v>335471</v>
      </c>
      <c r="J56" s="60" t="s">
        <v>1181</v>
      </c>
      <c r="K56" s="60" t="s">
        <v>1182</v>
      </c>
      <c r="L56" s="58" t="s">
        <v>988</v>
      </c>
      <c r="M56" s="58" t="s">
        <v>989</v>
      </c>
      <c r="N56" s="60" t="s">
        <v>990</v>
      </c>
      <c r="O56" s="61">
        <v>96.9</v>
      </c>
      <c r="P56" s="61">
        <v>96.9</v>
      </c>
      <c r="Q56" s="61">
        <v>96.9</v>
      </c>
      <c r="R56" s="60">
        <v>1</v>
      </c>
      <c r="S56" s="60" t="s">
        <v>1000</v>
      </c>
      <c r="T56" s="61">
        <v>0</v>
      </c>
      <c r="U56" s="61">
        <v>14.54</v>
      </c>
      <c r="V56" s="61">
        <v>82.37</v>
      </c>
      <c r="W56" s="58" t="s">
        <v>992</v>
      </c>
      <c r="X56" s="58" t="s">
        <v>993</v>
      </c>
      <c r="Y56" s="62">
        <v>15</v>
      </c>
      <c r="Z56" s="58" t="s">
        <v>92</v>
      </c>
      <c r="AA56" s="61">
        <v>468.7</v>
      </c>
      <c r="AB56" s="61">
        <v>0</v>
      </c>
      <c r="AC56" s="58" t="s">
        <v>69</v>
      </c>
      <c r="AD56" s="63">
        <f t="shared" si="0"/>
        <v>0.15005159958720329</v>
      </c>
      <c r="AE56" s="62">
        <f t="shared" si="15"/>
        <v>82.360000000000014</v>
      </c>
      <c r="AH56" s="60" t="s">
        <v>1179</v>
      </c>
      <c r="AI56" s="24">
        <f t="shared" si="2"/>
        <v>46260</v>
      </c>
      <c r="AJ56" s="64">
        <f t="shared" si="16"/>
        <v>0</v>
      </c>
      <c r="AK56" s="19">
        <f t="shared" si="17"/>
        <v>96.9</v>
      </c>
      <c r="AL56" s="75"/>
      <c r="AQ56" s="69">
        <f t="shared" si="19"/>
        <v>96.9</v>
      </c>
      <c r="AR56" s="70">
        <f t="shared" si="18"/>
        <v>14.535</v>
      </c>
      <c r="AS56" s="70"/>
      <c r="AT56" s="71">
        <f t="shared" si="12"/>
        <v>82.365000000000009</v>
      </c>
      <c r="AU56" s="71"/>
      <c r="AV56" s="72"/>
      <c r="AW56" s="70">
        <f t="shared" si="14"/>
        <v>82.365000000000009</v>
      </c>
    </row>
    <row r="57" spans="1:49" hidden="1" x14ac:dyDescent="0.25">
      <c r="A57" s="57">
        <v>46245</v>
      </c>
      <c r="B57" s="58" t="s">
        <v>1178</v>
      </c>
      <c r="C57" s="59">
        <v>34</v>
      </c>
      <c r="D57" s="58" t="s">
        <v>982</v>
      </c>
      <c r="E57" s="58" t="s">
        <v>1179</v>
      </c>
      <c r="F57" s="58" t="s">
        <v>984</v>
      </c>
      <c r="G57" s="58" t="s">
        <v>1183</v>
      </c>
      <c r="H57" s="59">
        <v>1030100391</v>
      </c>
      <c r="I57" s="59">
        <v>335388</v>
      </c>
      <c r="J57" s="60" t="s">
        <v>1184</v>
      </c>
      <c r="K57" s="60" t="s">
        <v>1185</v>
      </c>
      <c r="L57" s="58" t="s">
        <v>988</v>
      </c>
      <c r="M57" s="58" t="s">
        <v>989</v>
      </c>
      <c r="N57" s="60" t="s">
        <v>990</v>
      </c>
      <c r="O57" s="61">
        <v>126.9</v>
      </c>
      <c r="P57" s="61">
        <v>126.9</v>
      </c>
      <c r="Q57" s="61">
        <v>126.9</v>
      </c>
      <c r="R57" s="60">
        <v>1</v>
      </c>
      <c r="S57" s="60" t="s">
        <v>1000</v>
      </c>
      <c r="T57" s="61">
        <v>0</v>
      </c>
      <c r="U57" s="61">
        <v>19.04</v>
      </c>
      <c r="V57" s="61">
        <v>107.87</v>
      </c>
      <c r="W57" s="58" t="s">
        <v>73</v>
      </c>
      <c r="X57" s="58" t="s">
        <v>73</v>
      </c>
      <c r="Y57" s="58" t="s">
        <v>73</v>
      </c>
      <c r="Z57" s="58" t="s">
        <v>92</v>
      </c>
      <c r="AA57" s="61">
        <v>468.7</v>
      </c>
      <c r="AB57" s="61">
        <v>0</v>
      </c>
      <c r="AC57" s="58" t="s">
        <v>69</v>
      </c>
      <c r="AD57" s="63">
        <f t="shared" si="0"/>
        <v>0.15003940110323088</v>
      </c>
      <c r="AE57" s="62">
        <f t="shared" si="15"/>
        <v>107.86000000000001</v>
      </c>
      <c r="AH57" s="60" t="s">
        <v>1179</v>
      </c>
      <c r="AI57" s="24">
        <f t="shared" si="2"/>
        <v>46260</v>
      </c>
      <c r="AJ57" s="64">
        <f t="shared" si="16"/>
        <v>0</v>
      </c>
      <c r="AK57" s="19">
        <f t="shared" si="17"/>
        <v>126.9</v>
      </c>
      <c r="AL57" s="75"/>
      <c r="AQ57" s="69">
        <f t="shared" si="19"/>
        <v>126.9</v>
      </c>
      <c r="AR57" s="70">
        <f t="shared" si="18"/>
        <v>19.035</v>
      </c>
      <c r="AS57" s="70"/>
      <c r="AT57" s="71">
        <f t="shared" si="12"/>
        <v>107.86500000000001</v>
      </c>
      <c r="AU57" s="71"/>
      <c r="AV57" s="72"/>
      <c r="AW57" s="70">
        <f t="shared" si="14"/>
        <v>107.86500000000001</v>
      </c>
    </row>
    <row r="58" spans="1:49" hidden="1" x14ac:dyDescent="0.25">
      <c r="A58" s="57">
        <v>46245</v>
      </c>
      <c r="B58" s="58" t="s">
        <v>1178</v>
      </c>
      <c r="C58" s="59">
        <v>34</v>
      </c>
      <c r="D58" s="58" t="s">
        <v>982</v>
      </c>
      <c r="E58" s="58" t="s">
        <v>1179</v>
      </c>
      <c r="F58" s="58" t="s">
        <v>984</v>
      </c>
      <c r="G58" s="58" t="s">
        <v>1008</v>
      </c>
      <c r="H58" s="59">
        <v>1030110335</v>
      </c>
      <c r="I58" s="59">
        <v>216007</v>
      </c>
      <c r="J58" s="60" t="s">
        <v>1009</v>
      </c>
      <c r="K58" s="60" t="s">
        <v>1010</v>
      </c>
      <c r="L58" s="58" t="s">
        <v>988</v>
      </c>
      <c r="M58" s="58" t="s">
        <v>989</v>
      </c>
      <c r="N58" s="60" t="s">
        <v>990</v>
      </c>
      <c r="O58" s="61">
        <v>244.9</v>
      </c>
      <c r="P58" s="61">
        <v>244.9</v>
      </c>
      <c r="Q58" s="61">
        <v>244.9</v>
      </c>
      <c r="R58" s="60">
        <v>1</v>
      </c>
      <c r="S58" s="60" t="s">
        <v>1000</v>
      </c>
      <c r="T58" s="61">
        <v>0</v>
      </c>
      <c r="U58" s="61">
        <v>36.729999999999997</v>
      </c>
      <c r="V58" s="61">
        <v>208.17</v>
      </c>
      <c r="W58" s="58" t="s">
        <v>73</v>
      </c>
      <c r="X58" s="58" t="s">
        <v>73</v>
      </c>
      <c r="Y58" s="58" t="s">
        <v>73</v>
      </c>
      <c r="Z58" s="58" t="s">
        <v>92</v>
      </c>
      <c r="AA58" s="61">
        <v>468.7</v>
      </c>
      <c r="AB58" s="61">
        <v>0</v>
      </c>
      <c r="AC58" s="58" t="s">
        <v>69</v>
      </c>
      <c r="AD58" s="63">
        <f t="shared" si="0"/>
        <v>0.14997958350347079</v>
      </c>
      <c r="AE58" s="62">
        <f>-U58</f>
        <v>-36.729999999999997</v>
      </c>
      <c r="AH58" s="60" t="s">
        <v>1179</v>
      </c>
      <c r="AI58" s="24">
        <f t="shared" si="2"/>
        <v>46260</v>
      </c>
      <c r="AJ58" s="64">
        <f t="shared" si="16"/>
        <v>0</v>
      </c>
      <c r="AK58" s="19">
        <f t="shared" si="17"/>
        <v>244.9</v>
      </c>
      <c r="AL58" s="75"/>
      <c r="AQ58" s="69">
        <f t="shared" si="19"/>
        <v>244.9</v>
      </c>
      <c r="AR58" s="70">
        <f t="shared" si="18"/>
        <v>36.734999999999999</v>
      </c>
      <c r="AS58" s="70"/>
      <c r="AT58" s="71">
        <f t="shared" si="12"/>
        <v>208.16500000000002</v>
      </c>
      <c r="AU58" s="71"/>
      <c r="AV58" s="72"/>
      <c r="AW58" s="70">
        <f t="shared" si="14"/>
        <v>208.16500000000002</v>
      </c>
    </row>
    <row r="59" spans="1:49" hidden="1" x14ac:dyDescent="0.25">
      <c r="A59" s="57">
        <v>46245</v>
      </c>
      <c r="B59" s="58" t="s">
        <v>1186</v>
      </c>
      <c r="C59" s="59">
        <v>34</v>
      </c>
      <c r="D59" s="58" t="s">
        <v>982</v>
      </c>
      <c r="E59" s="58" t="s">
        <v>1187</v>
      </c>
      <c r="F59" s="58" t="s">
        <v>984</v>
      </c>
      <c r="G59" s="58" t="s">
        <v>1089</v>
      </c>
      <c r="H59" s="59">
        <v>1030110706</v>
      </c>
      <c r="I59" s="59">
        <v>214997</v>
      </c>
      <c r="J59" s="60" t="s">
        <v>1090</v>
      </c>
      <c r="K59" s="60" t="s">
        <v>1091</v>
      </c>
      <c r="L59" s="58" t="s">
        <v>988</v>
      </c>
      <c r="M59" s="58" t="s">
        <v>989</v>
      </c>
      <c r="N59" s="60" t="s">
        <v>1039</v>
      </c>
      <c r="O59" s="61">
        <v>107.9</v>
      </c>
      <c r="P59" s="61">
        <v>107.9</v>
      </c>
      <c r="Q59" s="61">
        <v>107.9</v>
      </c>
      <c r="R59" s="60">
        <v>1</v>
      </c>
      <c r="S59" s="60" t="s">
        <v>1000</v>
      </c>
      <c r="T59" s="61">
        <v>0</v>
      </c>
      <c r="U59" s="61">
        <v>16.18</v>
      </c>
      <c r="V59" s="61">
        <v>91.72</v>
      </c>
      <c r="W59" s="58" t="s">
        <v>992</v>
      </c>
      <c r="X59" s="58" t="s">
        <v>993</v>
      </c>
      <c r="Y59" s="62">
        <v>15</v>
      </c>
      <c r="Z59" s="58" t="s">
        <v>86</v>
      </c>
      <c r="AA59" s="61">
        <v>0</v>
      </c>
      <c r="AB59" s="61">
        <v>957.9</v>
      </c>
      <c r="AC59" s="58" t="s">
        <v>69</v>
      </c>
      <c r="AD59" s="63">
        <f t="shared" si="0"/>
        <v>0.14995366079703429</v>
      </c>
      <c r="AE59" s="62">
        <f t="shared" ref="AE59:AE69" si="20">+O59-U59</f>
        <v>91.72</v>
      </c>
      <c r="AH59" s="60" t="s">
        <v>1187</v>
      </c>
      <c r="AI59" s="24">
        <f t="shared" si="2"/>
        <v>46260</v>
      </c>
      <c r="AJ59" s="64">
        <f t="shared" si="16"/>
        <v>0</v>
      </c>
      <c r="AK59" s="19">
        <f t="shared" si="17"/>
        <v>107.9</v>
      </c>
      <c r="AL59" s="75"/>
      <c r="AQ59" s="69">
        <f t="shared" si="19"/>
        <v>107.9</v>
      </c>
      <c r="AR59" s="70">
        <f t="shared" si="18"/>
        <v>16.184999999999999</v>
      </c>
      <c r="AS59" s="70"/>
      <c r="AT59" s="71">
        <f t="shared" si="12"/>
        <v>91.715000000000003</v>
      </c>
      <c r="AU59" s="71"/>
      <c r="AV59" s="72"/>
      <c r="AW59" s="70">
        <f t="shared" si="14"/>
        <v>91.715000000000003</v>
      </c>
    </row>
    <row r="60" spans="1:49" hidden="1" x14ac:dyDescent="0.25">
      <c r="A60" s="57">
        <v>46245</v>
      </c>
      <c r="B60" s="58" t="s">
        <v>1186</v>
      </c>
      <c r="C60" s="59">
        <v>34</v>
      </c>
      <c r="D60" s="58" t="s">
        <v>982</v>
      </c>
      <c r="E60" s="58" t="s">
        <v>1187</v>
      </c>
      <c r="F60" s="58" t="s">
        <v>984</v>
      </c>
      <c r="G60" s="58" t="s">
        <v>1188</v>
      </c>
      <c r="H60" s="59">
        <v>1030100280</v>
      </c>
      <c r="I60" s="59">
        <v>335486</v>
      </c>
      <c r="J60" s="60" t="s">
        <v>1125</v>
      </c>
      <c r="K60" s="60" t="s">
        <v>1189</v>
      </c>
      <c r="L60" s="58" t="s">
        <v>988</v>
      </c>
      <c r="M60" s="58" t="s">
        <v>989</v>
      </c>
      <c r="N60" s="60" t="s">
        <v>990</v>
      </c>
      <c r="O60" s="61">
        <v>60.9</v>
      </c>
      <c r="P60" s="61">
        <v>60.9</v>
      </c>
      <c r="Q60" s="61">
        <v>60.9</v>
      </c>
      <c r="R60" s="60">
        <v>1</v>
      </c>
      <c r="S60" s="60" t="s">
        <v>1000</v>
      </c>
      <c r="T60" s="61">
        <v>0</v>
      </c>
      <c r="U60" s="61">
        <v>9.1300000000000008</v>
      </c>
      <c r="V60" s="61">
        <v>51.77</v>
      </c>
      <c r="W60" s="58" t="s">
        <v>73</v>
      </c>
      <c r="X60" s="58" t="s">
        <v>73</v>
      </c>
      <c r="Y60" s="58" t="s">
        <v>73</v>
      </c>
      <c r="Z60" s="58" t="s">
        <v>86</v>
      </c>
      <c r="AA60" s="61">
        <v>0</v>
      </c>
      <c r="AB60" s="61">
        <v>957.9</v>
      </c>
      <c r="AC60" s="58" t="s">
        <v>69</v>
      </c>
      <c r="AD60" s="63">
        <f t="shared" si="0"/>
        <v>0.14991789819376028</v>
      </c>
      <c r="AE60" s="62">
        <f t="shared" si="20"/>
        <v>51.769999999999996</v>
      </c>
      <c r="AH60" s="60" t="s">
        <v>1187</v>
      </c>
      <c r="AI60" s="24">
        <f t="shared" si="2"/>
        <v>46260</v>
      </c>
      <c r="AJ60" s="64">
        <f t="shared" si="16"/>
        <v>0</v>
      </c>
      <c r="AK60" s="19">
        <f t="shared" si="17"/>
        <v>60.9</v>
      </c>
      <c r="AL60" s="75"/>
      <c r="AQ60" s="69">
        <f t="shared" si="19"/>
        <v>60.9</v>
      </c>
      <c r="AR60" s="70">
        <f t="shared" si="18"/>
        <v>9.1349999999999998</v>
      </c>
      <c r="AS60" s="70"/>
      <c r="AT60" s="71">
        <f t="shared" si="12"/>
        <v>51.765000000000001</v>
      </c>
      <c r="AU60" s="71"/>
      <c r="AV60" s="72"/>
      <c r="AW60" s="70">
        <f t="shared" si="14"/>
        <v>51.765000000000001</v>
      </c>
    </row>
    <row r="61" spans="1:49" hidden="1" x14ac:dyDescent="0.25">
      <c r="A61" s="57">
        <v>46245</v>
      </c>
      <c r="B61" s="58" t="s">
        <v>1186</v>
      </c>
      <c r="C61" s="59">
        <v>34</v>
      </c>
      <c r="D61" s="58" t="s">
        <v>982</v>
      </c>
      <c r="E61" s="58" t="s">
        <v>1187</v>
      </c>
      <c r="F61" s="58" t="s">
        <v>984</v>
      </c>
      <c r="G61" s="58" t="s">
        <v>1190</v>
      </c>
      <c r="H61" s="59">
        <v>1030110279</v>
      </c>
      <c r="I61" s="59">
        <v>335484</v>
      </c>
      <c r="J61" s="60" t="s">
        <v>1125</v>
      </c>
      <c r="K61" s="60" t="s">
        <v>1191</v>
      </c>
      <c r="L61" s="58" t="s">
        <v>988</v>
      </c>
      <c r="M61" s="58" t="s">
        <v>989</v>
      </c>
      <c r="N61" s="60" t="s">
        <v>1039</v>
      </c>
      <c r="O61" s="61">
        <v>62.9</v>
      </c>
      <c r="P61" s="61">
        <v>62.9</v>
      </c>
      <c r="Q61" s="61">
        <v>62.9</v>
      </c>
      <c r="R61" s="60">
        <v>1</v>
      </c>
      <c r="S61" s="60" t="s">
        <v>1000</v>
      </c>
      <c r="T61" s="61">
        <v>0</v>
      </c>
      <c r="U61" s="61">
        <v>9.44</v>
      </c>
      <c r="V61" s="61">
        <v>53.46</v>
      </c>
      <c r="W61" s="58" t="s">
        <v>73</v>
      </c>
      <c r="X61" s="58" t="s">
        <v>73</v>
      </c>
      <c r="Y61" s="58" t="s">
        <v>73</v>
      </c>
      <c r="Z61" s="58" t="s">
        <v>86</v>
      </c>
      <c r="AA61" s="61">
        <v>0</v>
      </c>
      <c r="AB61" s="61">
        <v>957.9</v>
      </c>
      <c r="AC61" s="58" t="s">
        <v>69</v>
      </c>
      <c r="AD61" s="63">
        <f t="shared" si="0"/>
        <v>0.15007949125596184</v>
      </c>
      <c r="AE61" s="62">
        <f t="shared" si="20"/>
        <v>53.46</v>
      </c>
      <c r="AH61" s="60" t="s">
        <v>1187</v>
      </c>
      <c r="AI61" s="24">
        <f t="shared" si="2"/>
        <v>46260</v>
      </c>
      <c r="AJ61" s="64">
        <f t="shared" si="16"/>
        <v>0</v>
      </c>
      <c r="AK61" s="19">
        <f t="shared" si="17"/>
        <v>62.9</v>
      </c>
      <c r="AL61" s="75"/>
      <c r="AQ61" s="69">
        <f t="shared" si="19"/>
        <v>62.9</v>
      </c>
      <c r="AR61" s="70">
        <f t="shared" si="18"/>
        <v>9.4349999999999987</v>
      </c>
      <c r="AS61" s="70"/>
      <c r="AT61" s="71">
        <f t="shared" si="12"/>
        <v>53.465000000000003</v>
      </c>
      <c r="AU61" s="71"/>
      <c r="AV61" s="72"/>
      <c r="AW61" s="70">
        <f t="shared" si="14"/>
        <v>53.465000000000003</v>
      </c>
    </row>
    <row r="62" spans="1:49" hidden="1" x14ac:dyDescent="0.25">
      <c r="A62" s="57">
        <v>46245</v>
      </c>
      <c r="B62" s="58" t="s">
        <v>1186</v>
      </c>
      <c r="C62" s="59">
        <v>34</v>
      </c>
      <c r="D62" s="58" t="s">
        <v>982</v>
      </c>
      <c r="E62" s="58" t="s">
        <v>1187</v>
      </c>
      <c r="F62" s="58" t="s">
        <v>984</v>
      </c>
      <c r="G62" s="58" t="s">
        <v>1192</v>
      </c>
      <c r="H62" s="59">
        <v>1030109661</v>
      </c>
      <c r="I62" s="59">
        <v>335446</v>
      </c>
      <c r="J62" s="60" t="s">
        <v>1193</v>
      </c>
      <c r="K62" s="60" t="s">
        <v>1194</v>
      </c>
      <c r="L62" s="58" t="s">
        <v>988</v>
      </c>
      <c r="M62" s="58" t="s">
        <v>989</v>
      </c>
      <c r="N62" s="60" t="s">
        <v>990</v>
      </c>
      <c r="O62" s="61">
        <v>73.900000000000006</v>
      </c>
      <c r="P62" s="61">
        <v>73.900000000000006</v>
      </c>
      <c r="Q62" s="61">
        <v>73.900000000000006</v>
      </c>
      <c r="R62" s="60">
        <v>1</v>
      </c>
      <c r="S62" s="60" t="s">
        <v>1000</v>
      </c>
      <c r="T62" s="61">
        <v>0</v>
      </c>
      <c r="U62" s="61">
        <v>11.09</v>
      </c>
      <c r="V62" s="61">
        <v>62.82</v>
      </c>
      <c r="W62" s="58" t="s">
        <v>73</v>
      </c>
      <c r="X62" s="58" t="s">
        <v>73</v>
      </c>
      <c r="Y62" s="58" t="s">
        <v>73</v>
      </c>
      <c r="Z62" s="58" t="s">
        <v>86</v>
      </c>
      <c r="AA62" s="61">
        <v>0</v>
      </c>
      <c r="AB62" s="61">
        <v>957.9</v>
      </c>
      <c r="AC62" s="58" t="s">
        <v>69</v>
      </c>
      <c r="AD62" s="63">
        <f t="shared" si="0"/>
        <v>0.1500676589986468</v>
      </c>
      <c r="AE62" s="62">
        <f t="shared" si="20"/>
        <v>62.81</v>
      </c>
      <c r="AH62" s="60" t="s">
        <v>1187</v>
      </c>
      <c r="AI62" s="24">
        <f t="shared" si="2"/>
        <v>46260</v>
      </c>
      <c r="AJ62" s="64">
        <f t="shared" si="16"/>
        <v>0</v>
      </c>
      <c r="AK62" s="19">
        <f t="shared" si="17"/>
        <v>73.900000000000006</v>
      </c>
      <c r="AL62" s="75"/>
      <c r="AQ62" s="69">
        <f t="shared" si="19"/>
        <v>73.900000000000006</v>
      </c>
      <c r="AR62" s="70">
        <f t="shared" si="18"/>
        <v>11.085000000000001</v>
      </c>
      <c r="AS62" s="70"/>
      <c r="AT62" s="71">
        <f t="shared" si="12"/>
        <v>62.815000000000005</v>
      </c>
      <c r="AU62" s="71"/>
      <c r="AV62" s="72"/>
      <c r="AW62" s="70">
        <f t="shared" si="14"/>
        <v>62.815000000000005</v>
      </c>
    </row>
    <row r="63" spans="1:49" hidden="1" x14ac:dyDescent="0.25">
      <c r="A63" s="57">
        <v>46245</v>
      </c>
      <c r="B63" s="58" t="s">
        <v>1186</v>
      </c>
      <c r="C63" s="59">
        <v>34</v>
      </c>
      <c r="D63" s="58" t="s">
        <v>982</v>
      </c>
      <c r="E63" s="58" t="s">
        <v>1187</v>
      </c>
      <c r="F63" s="58" t="s">
        <v>984</v>
      </c>
      <c r="G63" s="58" t="s">
        <v>1195</v>
      </c>
      <c r="H63" s="59">
        <v>1030103998</v>
      </c>
      <c r="I63" s="59">
        <v>335439</v>
      </c>
      <c r="J63" s="60" t="s">
        <v>1196</v>
      </c>
      <c r="K63" s="60" t="s">
        <v>1197</v>
      </c>
      <c r="L63" s="58" t="s">
        <v>988</v>
      </c>
      <c r="M63" s="58" t="s">
        <v>989</v>
      </c>
      <c r="N63" s="60" t="s">
        <v>990</v>
      </c>
      <c r="O63" s="61">
        <v>91.9</v>
      </c>
      <c r="P63" s="61">
        <v>91.9</v>
      </c>
      <c r="Q63" s="61">
        <v>91.9</v>
      </c>
      <c r="R63" s="60">
        <v>1</v>
      </c>
      <c r="S63" s="60" t="s">
        <v>1000</v>
      </c>
      <c r="T63" s="61">
        <v>0</v>
      </c>
      <c r="U63" s="61">
        <v>13.79</v>
      </c>
      <c r="V63" s="61">
        <v>78.12</v>
      </c>
      <c r="W63" s="58" t="s">
        <v>73</v>
      </c>
      <c r="X63" s="58" t="s">
        <v>73</v>
      </c>
      <c r="Y63" s="58" t="s">
        <v>73</v>
      </c>
      <c r="Z63" s="58" t="s">
        <v>86</v>
      </c>
      <c r="AA63" s="61">
        <v>0</v>
      </c>
      <c r="AB63" s="61">
        <v>957.9</v>
      </c>
      <c r="AC63" s="58" t="s">
        <v>69</v>
      </c>
      <c r="AD63" s="63">
        <f t="shared" si="0"/>
        <v>0.15005440696409139</v>
      </c>
      <c r="AE63" s="62">
        <f t="shared" si="20"/>
        <v>78.110000000000014</v>
      </c>
      <c r="AH63" s="60" t="s">
        <v>1187</v>
      </c>
      <c r="AI63" s="24">
        <f t="shared" si="2"/>
        <v>46260</v>
      </c>
      <c r="AJ63" s="64">
        <f t="shared" si="16"/>
        <v>0</v>
      </c>
      <c r="AK63" s="19">
        <f t="shared" si="17"/>
        <v>91.9</v>
      </c>
      <c r="AL63" s="75"/>
      <c r="AQ63" s="69">
        <f t="shared" si="19"/>
        <v>91.9</v>
      </c>
      <c r="AR63" s="70">
        <f t="shared" si="18"/>
        <v>13.785</v>
      </c>
      <c r="AS63" s="70"/>
      <c r="AT63" s="71">
        <f t="shared" si="12"/>
        <v>78.115000000000009</v>
      </c>
      <c r="AU63" s="71"/>
      <c r="AV63" s="72"/>
      <c r="AW63" s="70">
        <f t="shared" si="14"/>
        <v>78.115000000000009</v>
      </c>
    </row>
    <row r="64" spans="1:49" hidden="1" x14ac:dyDescent="0.25">
      <c r="A64" s="57">
        <v>46245</v>
      </c>
      <c r="B64" s="58" t="s">
        <v>1186</v>
      </c>
      <c r="C64" s="59">
        <v>34</v>
      </c>
      <c r="D64" s="58" t="s">
        <v>982</v>
      </c>
      <c r="E64" s="58" t="s">
        <v>1187</v>
      </c>
      <c r="F64" s="58" t="s">
        <v>984</v>
      </c>
      <c r="G64" s="58" t="s">
        <v>1198</v>
      </c>
      <c r="H64" s="59">
        <v>1030110406</v>
      </c>
      <c r="I64" s="59">
        <v>335424</v>
      </c>
      <c r="J64" s="60" t="s">
        <v>1095</v>
      </c>
      <c r="K64" s="60" t="s">
        <v>1199</v>
      </c>
      <c r="L64" s="58" t="s">
        <v>988</v>
      </c>
      <c r="M64" s="58" t="s">
        <v>989</v>
      </c>
      <c r="N64" s="60" t="s">
        <v>1039</v>
      </c>
      <c r="O64" s="61">
        <v>126.9</v>
      </c>
      <c r="P64" s="61">
        <v>126.9</v>
      </c>
      <c r="Q64" s="61">
        <v>126.9</v>
      </c>
      <c r="R64" s="60">
        <v>1</v>
      </c>
      <c r="S64" s="60" t="s">
        <v>1000</v>
      </c>
      <c r="T64" s="61">
        <v>0</v>
      </c>
      <c r="U64" s="61">
        <v>19.04</v>
      </c>
      <c r="V64" s="61">
        <v>107.87</v>
      </c>
      <c r="W64" s="58" t="s">
        <v>73</v>
      </c>
      <c r="X64" s="58" t="s">
        <v>73</v>
      </c>
      <c r="Y64" s="58" t="s">
        <v>73</v>
      </c>
      <c r="Z64" s="58" t="s">
        <v>86</v>
      </c>
      <c r="AA64" s="61">
        <v>0</v>
      </c>
      <c r="AB64" s="61">
        <v>957.9</v>
      </c>
      <c r="AC64" s="58" t="s">
        <v>69</v>
      </c>
      <c r="AD64" s="63">
        <f t="shared" si="0"/>
        <v>0.15003940110323088</v>
      </c>
      <c r="AE64" s="62">
        <f t="shared" si="20"/>
        <v>107.86000000000001</v>
      </c>
      <c r="AH64" s="60" t="s">
        <v>1187</v>
      </c>
      <c r="AI64" s="24">
        <f t="shared" si="2"/>
        <v>46260</v>
      </c>
      <c r="AJ64" s="64">
        <f t="shared" si="16"/>
        <v>0</v>
      </c>
      <c r="AK64" s="19">
        <f t="shared" si="17"/>
        <v>126.9</v>
      </c>
      <c r="AL64" s="75"/>
      <c r="AQ64" s="69">
        <f t="shared" si="19"/>
        <v>126.9</v>
      </c>
      <c r="AR64" s="70">
        <f t="shared" si="18"/>
        <v>19.035</v>
      </c>
      <c r="AS64" s="70"/>
      <c r="AT64" s="71">
        <f t="shared" si="12"/>
        <v>107.86500000000001</v>
      </c>
      <c r="AU64" s="71"/>
      <c r="AV64" s="72"/>
      <c r="AW64" s="70">
        <f t="shared" si="14"/>
        <v>107.86500000000001</v>
      </c>
    </row>
    <row r="65" spans="1:49" hidden="1" x14ac:dyDescent="0.25">
      <c r="A65" s="57">
        <v>46245</v>
      </c>
      <c r="B65" s="58" t="s">
        <v>1186</v>
      </c>
      <c r="C65" s="59">
        <v>34</v>
      </c>
      <c r="D65" s="58" t="s">
        <v>982</v>
      </c>
      <c r="E65" s="58" t="s">
        <v>1187</v>
      </c>
      <c r="F65" s="58" t="s">
        <v>984</v>
      </c>
      <c r="G65" s="58" t="s">
        <v>1200</v>
      </c>
      <c r="H65" s="59">
        <v>1030104724</v>
      </c>
      <c r="I65" s="59">
        <v>335421</v>
      </c>
      <c r="J65" s="60" t="s">
        <v>1201</v>
      </c>
      <c r="K65" s="60" t="s">
        <v>1202</v>
      </c>
      <c r="L65" s="58" t="s">
        <v>988</v>
      </c>
      <c r="M65" s="58" t="s">
        <v>989</v>
      </c>
      <c r="N65" s="60" t="s">
        <v>1039</v>
      </c>
      <c r="O65" s="61">
        <v>95.9</v>
      </c>
      <c r="P65" s="61">
        <v>95.9</v>
      </c>
      <c r="Q65" s="61">
        <v>95.9</v>
      </c>
      <c r="R65" s="60">
        <v>1</v>
      </c>
      <c r="S65" s="60" t="s">
        <v>1000</v>
      </c>
      <c r="T65" s="61">
        <v>0</v>
      </c>
      <c r="U65" s="61">
        <v>14.38</v>
      </c>
      <c r="V65" s="61">
        <v>81.52</v>
      </c>
      <c r="W65" s="58" t="s">
        <v>73</v>
      </c>
      <c r="X65" s="58" t="s">
        <v>73</v>
      </c>
      <c r="Y65" s="58" t="s">
        <v>73</v>
      </c>
      <c r="Z65" s="58" t="s">
        <v>86</v>
      </c>
      <c r="AA65" s="61">
        <v>0</v>
      </c>
      <c r="AB65" s="61">
        <v>957.9</v>
      </c>
      <c r="AC65" s="58" t="s">
        <v>69</v>
      </c>
      <c r="AD65" s="63">
        <f t="shared" si="0"/>
        <v>0.14994786235662147</v>
      </c>
      <c r="AE65" s="62">
        <f t="shared" si="20"/>
        <v>81.52000000000001</v>
      </c>
      <c r="AH65" s="60" t="s">
        <v>1187</v>
      </c>
      <c r="AI65" s="24">
        <f t="shared" si="2"/>
        <v>46260</v>
      </c>
      <c r="AJ65" s="64">
        <f t="shared" si="16"/>
        <v>0</v>
      </c>
      <c r="AK65" s="19">
        <f t="shared" si="17"/>
        <v>95.9</v>
      </c>
      <c r="AL65" s="75"/>
      <c r="AQ65" s="69">
        <f t="shared" si="19"/>
        <v>95.9</v>
      </c>
      <c r="AR65" s="70">
        <f t="shared" si="18"/>
        <v>14.385</v>
      </c>
      <c r="AS65" s="70"/>
      <c r="AT65" s="71">
        <f t="shared" si="12"/>
        <v>81.515000000000001</v>
      </c>
      <c r="AU65" s="71"/>
      <c r="AV65" s="72"/>
      <c r="AW65" s="70">
        <f t="shared" si="14"/>
        <v>81.515000000000001</v>
      </c>
    </row>
    <row r="66" spans="1:49" hidden="1" x14ac:dyDescent="0.25">
      <c r="A66" s="57">
        <v>46245</v>
      </c>
      <c r="B66" s="58" t="s">
        <v>1186</v>
      </c>
      <c r="C66" s="59">
        <v>34</v>
      </c>
      <c r="D66" s="58" t="s">
        <v>982</v>
      </c>
      <c r="E66" s="58" t="s">
        <v>1187</v>
      </c>
      <c r="F66" s="58" t="s">
        <v>984</v>
      </c>
      <c r="G66" s="58" t="s">
        <v>1203</v>
      </c>
      <c r="H66" s="59">
        <v>1030109745</v>
      </c>
      <c r="I66" s="59">
        <v>335396</v>
      </c>
      <c r="J66" s="60" t="s">
        <v>1204</v>
      </c>
      <c r="K66" s="60" t="s">
        <v>1205</v>
      </c>
      <c r="L66" s="58" t="s">
        <v>988</v>
      </c>
      <c r="M66" s="58" t="s">
        <v>989</v>
      </c>
      <c r="N66" s="60" t="s">
        <v>990</v>
      </c>
      <c r="O66" s="61">
        <v>151.80000000000001</v>
      </c>
      <c r="P66" s="61">
        <v>151.80000000000001</v>
      </c>
      <c r="Q66" s="61">
        <v>75.900000000000006</v>
      </c>
      <c r="R66" s="60">
        <v>2</v>
      </c>
      <c r="S66" s="60" t="s">
        <v>1000</v>
      </c>
      <c r="T66" s="61">
        <v>0</v>
      </c>
      <c r="U66" s="61">
        <v>22.77</v>
      </c>
      <c r="V66" s="61">
        <v>129.03</v>
      </c>
      <c r="W66" s="58" t="s">
        <v>73</v>
      </c>
      <c r="X66" s="58" t="s">
        <v>73</v>
      </c>
      <c r="Y66" s="58" t="s">
        <v>73</v>
      </c>
      <c r="Z66" s="58" t="s">
        <v>86</v>
      </c>
      <c r="AA66" s="61">
        <v>0</v>
      </c>
      <c r="AB66" s="61">
        <v>957.9</v>
      </c>
      <c r="AC66" s="58" t="s">
        <v>69</v>
      </c>
      <c r="AD66" s="63">
        <f t="shared" ref="AD66:AD76" si="21">+U66/O66</f>
        <v>0.15</v>
      </c>
      <c r="AE66" s="62">
        <f t="shared" si="20"/>
        <v>129.03</v>
      </c>
      <c r="AH66" s="60" t="s">
        <v>1187</v>
      </c>
      <c r="AI66" s="24">
        <f t="shared" ref="AI66:AI76" si="22">A66+15</f>
        <v>46260</v>
      </c>
      <c r="AJ66" s="64">
        <f t="shared" si="16"/>
        <v>0</v>
      </c>
      <c r="AK66" s="19">
        <f t="shared" si="17"/>
        <v>151.80000000000001</v>
      </c>
      <c r="AL66" s="75"/>
      <c r="AQ66" s="69">
        <f>+O66</f>
        <v>151.80000000000001</v>
      </c>
      <c r="AR66" s="70">
        <f t="shared" si="18"/>
        <v>22.77</v>
      </c>
      <c r="AS66" s="70"/>
      <c r="AT66" s="71">
        <f t="shared" si="12"/>
        <v>129.03</v>
      </c>
      <c r="AU66" s="71"/>
      <c r="AV66" s="72"/>
      <c r="AW66" s="70">
        <f t="shared" si="14"/>
        <v>129.03</v>
      </c>
    </row>
    <row r="67" spans="1:49" hidden="1" x14ac:dyDescent="0.25">
      <c r="A67" s="57">
        <v>46245</v>
      </c>
      <c r="B67" s="58" t="s">
        <v>1186</v>
      </c>
      <c r="C67" s="59">
        <v>34</v>
      </c>
      <c r="D67" s="58" t="s">
        <v>982</v>
      </c>
      <c r="E67" s="58" t="s">
        <v>1187</v>
      </c>
      <c r="F67" s="58" t="s">
        <v>984</v>
      </c>
      <c r="G67" s="58" t="s">
        <v>1206</v>
      </c>
      <c r="H67" s="59">
        <v>1030100851</v>
      </c>
      <c r="I67" s="59">
        <v>335342</v>
      </c>
      <c r="J67" s="60" t="s">
        <v>1061</v>
      </c>
      <c r="K67" s="60" t="s">
        <v>1207</v>
      </c>
      <c r="L67" s="58" t="s">
        <v>988</v>
      </c>
      <c r="M67" s="58" t="s">
        <v>989</v>
      </c>
      <c r="N67" s="60" t="s">
        <v>1039</v>
      </c>
      <c r="O67" s="61">
        <v>185.8</v>
      </c>
      <c r="P67" s="61">
        <v>185.8</v>
      </c>
      <c r="Q67" s="61">
        <v>92.9</v>
      </c>
      <c r="R67" s="60">
        <v>2</v>
      </c>
      <c r="S67" s="60" t="s">
        <v>1000</v>
      </c>
      <c r="T67" s="61">
        <v>0</v>
      </c>
      <c r="U67" s="61">
        <v>27.87</v>
      </c>
      <c r="V67" s="61">
        <v>157.93</v>
      </c>
      <c r="W67" s="58" t="s">
        <v>73</v>
      </c>
      <c r="X67" s="58" t="s">
        <v>73</v>
      </c>
      <c r="Y67" s="58" t="s">
        <v>73</v>
      </c>
      <c r="Z67" s="58" t="s">
        <v>86</v>
      </c>
      <c r="AA67" s="61">
        <v>0</v>
      </c>
      <c r="AB67" s="61">
        <v>957.9</v>
      </c>
      <c r="AC67" s="58" t="s">
        <v>69</v>
      </c>
      <c r="AD67" s="63">
        <f t="shared" si="21"/>
        <v>0.15</v>
      </c>
      <c r="AE67" s="62">
        <f t="shared" si="20"/>
        <v>157.93</v>
      </c>
      <c r="AH67" s="60" t="s">
        <v>1187</v>
      </c>
      <c r="AI67" s="24">
        <f t="shared" si="22"/>
        <v>46260</v>
      </c>
      <c r="AJ67" s="64">
        <f t="shared" si="16"/>
        <v>0</v>
      </c>
      <c r="AK67" s="19">
        <f t="shared" si="17"/>
        <v>185.8</v>
      </c>
      <c r="AL67" s="75"/>
      <c r="AQ67" s="69">
        <f>+O67</f>
        <v>185.8</v>
      </c>
      <c r="AR67" s="70">
        <f t="shared" si="18"/>
        <v>27.87</v>
      </c>
      <c r="AS67" s="70"/>
      <c r="AT67" s="71">
        <f t="shared" si="12"/>
        <v>157.93</v>
      </c>
      <c r="AU67" s="71"/>
      <c r="AV67" s="72"/>
      <c r="AW67" s="70">
        <f t="shared" si="14"/>
        <v>157.93</v>
      </c>
    </row>
    <row r="68" spans="1:49" hidden="1" x14ac:dyDescent="0.25">
      <c r="A68" s="57">
        <v>46245</v>
      </c>
      <c r="B68" s="58" t="s">
        <v>1208</v>
      </c>
      <c r="C68" s="59">
        <v>34</v>
      </c>
      <c r="D68" s="58" t="s">
        <v>982</v>
      </c>
      <c r="E68" s="58" t="s">
        <v>1209</v>
      </c>
      <c r="F68" s="58" t="s">
        <v>984</v>
      </c>
      <c r="G68" s="58" t="s">
        <v>1210</v>
      </c>
      <c r="H68" s="59">
        <v>1030110203</v>
      </c>
      <c r="I68" s="59">
        <v>215931</v>
      </c>
      <c r="J68" s="60" t="s">
        <v>1144</v>
      </c>
      <c r="K68" s="60" t="s">
        <v>1211</v>
      </c>
      <c r="L68" s="58" t="s">
        <v>988</v>
      </c>
      <c r="M68" s="58" t="s">
        <v>989</v>
      </c>
      <c r="N68" s="60" t="s">
        <v>990</v>
      </c>
      <c r="O68" s="61">
        <v>430.99</v>
      </c>
      <c r="P68" s="61">
        <v>430.99</v>
      </c>
      <c r="Q68" s="61">
        <v>430.99</v>
      </c>
      <c r="R68" s="60">
        <v>1</v>
      </c>
      <c r="S68" s="60" t="s">
        <v>1000</v>
      </c>
      <c r="T68" s="61">
        <v>0</v>
      </c>
      <c r="U68" s="61">
        <v>64.650000000000006</v>
      </c>
      <c r="V68" s="61">
        <v>366.34</v>
      </c>
      <c r="W68" s="58" t="s">
        <v>992</v>
      </c>
      <c r="X68" s="58" t="s">
        <v>993</v>
      </c>
      <c r="Y68" s="62">
        <v>15</v>
      </c>
      <c r="Z68" s="58" t="s">
        <v>92</v>
      </c>
      <c r="AA68" s="61">
        <v>977.97</v>
      </c>
      <c r="AB68" s="61">
        <v>0</v>
      </c>
      <c r="AC68" s="58" t="s">
        <v>69</v>
      </c>
      <c r="AD68" s="63">
        <f t="shared" si="21"/>
        <v>0.15000348035917307</v>
      </c>
      <c r="AE68" s="62">
        <f t="shared" si="20"/>
        <v>366.34000000000003</v>
      </c>
      <c r="AH68" s="60" t="s">
        <v>1209</v>
      </c>
      <c r="AI68" s="24">
        <f t="shared" si="22"/>
        <v>46260</v>
      </c>
      <c r="AJ68" s="64">
        <f t="shared" si="16"/>
        <v>0</v>
      </c>
      <c r="AK68" s="19">
        <f t="shared" si="17"/>
        <v>430.99</v>
      </c>
      <c r="AL68" s="75"/>
      <c r="AQ68" s="69">
        <f t="shared" ref="AQ68:AQ76" si="23">IF(R68=1,AK68,IF(R68=2,AL68,0))</f>
        <v>430.99</v>
      </c>
      <c r="AR68" s="70">
        <f t="shared" si="18"/>
        <v>64.648499999999999</v>
      </c>
      <c r="AS68" s="70"/>
      <c r="AT68" s="71">
        <f t="shared" si="12"/>
        <v>366.3415</v>
      </c>
      <c r="AU68" s="71"/>
      <c r="AV68" s="72"/>
      <c r="AW68" s="70">
        <f t="shared" si="14"/>
        <v>366.3415</v>
      </c>
    </row>
    <row r="69" spans="1:49" hidden="1" x14ac:dyDescent="0.25">
      <c r="A69" s="57">
        <v>46245</v>
      </c>
      <c r="B69" s="58" t="s">
        <v>1208</v>
      </c>
      <c r="C69" s="59">
        <v>34</v>
      </c>
      <c r="D69" s="58" t="s">
        <v>982</v>
      </c>
      <c r="E69" s="58" t="s">
        <v>1209</v>
      </c>
      <c r="F69" s="58" t="s">
        <v>984</v>
      </c>
      <c r="G69" s="58" t="s">
        <v>1212</v>
      </c>
      <c r="H69" s="59">
        <v>1030110208</v>
      </c>
      <c r="I69" s="59">
        <v>335505</v>
      </c>
      <c r="J69" s="60" t="s">
        <v>1009</v>
      </c>
      <c r="K69" s="60" t="s">
        <v>1213</v>
      </c>
      <c r="L69" s="58" t="s">
        <v>988</v>
      </c>
      <c r="M69" s="58" t="s">
        <v>989</v>
      </c>
      <c r="N69" s="60" t="s">
        <v>1214</v>
      </c>
      <c r="O69" s="61">
        <v>153.99</v>
      </c>
      <c r="P69" s="61">
        <v>153.99</v>
      </c>
      <c r="Q69" s="61">
        <v>153.99</v>
      </c>
      <c r="R69" s="60">
        <v>1</v>
      </c>
      <c r="S69" s="60" t="s">
        <v>1000</v>
      </c>
      <c r="T69" s="61">
        <v>0</v>
      </c>
      <c r="U69" s="61">
        <v>23.1</v>
      </c>
      <c r="V69" s="61">
        <v>130.88999999999999</v>
      </c>
      <c r="W69" s="58" t="s">
        <v>73</v>
      </c>
      <c r="X69" s="58" t="s">
        <v>73</v>
      </c>
      <c r="Y69" s="58" t="s">
        <v>73</v>
      </c>
      <c r="Z69" s="58" t="s">
        <v>92</v>
      </c>
      <c r="AA69" s="61">
        <v>977.97</v>
      </c>
      <c r="AB69" s="61">
        <v>0</v>
      </c>
      <c r="AC69" s="58" t="s">
        <v>69</v>
      </c>
      <c r="AD69" s="63">
        <f t="shared" si="21"/>
        <v>0.15000974089226574</v>
      </c>
      <c r="AE69" s="62">
        <f t="shared" si="20"/>
        <v>130.89000000000001</v>
      </c>
      <c r="AH69" s="60" t="s">
        <v>1209</v>
      </c>
      <c r="AI69" s="24">
        <f t="shared" si="22"/>
        <v>46260</v>
      </c>
      <c r="AJ69" s="64">
        <f t="shared" si="16"/>
        <v>0</v>
      </c>
      <c r="AK69" s="19">
        <f t="shared" si="17"/>
        <v>153.99</v>
      </c>
      <c r="AL69" s="75"/>
      <c r="AQ69" s="69">
        <f t="shared" si="23"/>
        <v>153.99</v>
      </c>
      <c r="AR69" s="70">
        <f t="shared" si="18"/>
        <v>23.098500000000001</v>
      </c>
      <c r="AS69" s="70"/>
      <c r="AT69" s="71">
        <f t="shared" si="12"/>
        <v>130.89150000000001</v>
      </c>
      <c r="AU69" s="71"/>
      <c r="AV69" s="72"/>
      <c r="AW69" s="70">
        <f t="shared" si="14"/>
        <v>130.89150000000001</v>
      </c>
    </row>
    <row r="70" spans="1:49" hidden="1" x14ac:dyDescent="0.25">
      <c r="A70" s="57">
        <v>46245</v>
      </c>
      <c r="B70" s="58" t="s">
        <v>1208</v>
      </c>
      <c r="C70" s="59">
        <v>34</v>
      </c>
      <c r="D70" s="58" t="s">
        <v>982</v>
      </c>
      <c r="E70" s="58" t="s">
        <v>1209</v>
      </c>
      <c r="F70" s="58" t="s">
        <v>984</v>
      </c>
      <c r="G70" s="58" t="s">
        <v>1215</v>
      </c>
      <c r="H70" s="59">
        <v>1030109691</v>
      </c>
      <c r="I70" s="59">
        <v>215859</v>
      </c>
      <c r="J70" s="60" t="s">
        <v>1144</v>
      </c>
      <c r="K70" s="60" t="s">
        <v>1216</v>
      </c>
      <c r="L70" s="58" t="s">
        <v>988</v>
      </c>
      <c r="M70" s="58" t="s">
        <v>989</v>
      </c>
      <c r="N70" s="60" t="s">
        <v>990</v>
      </c>
      <c r="O70" s="61">
        <v>392.99</v>
      </c>
      <c r="P70" s="61">
        <v>392.99</v>
      </c>
      <c r="Q70" s="61">
        <v>392.99</v>
      </c>
      <c r="R70" s="60">
        <v>1</v>
      </c>
      <c r="S70" s="60" t="s">
        <v>1000</v>
      </c>
      <c r="T70" s="61">
        <v>0</v>
      </c>
      <c r="U70" s="61">
        <v>58.95</v>
      </c>
      <c r="V70" s="61">
        <v>334.04</v>
      </c>
      <c r="W70" s="58" t="s">
        <v>73</v>
      </c>
      <c r="X70" s="58" t="s">
        <v>73</v>
      </c>
      <c r="Y70" s="58" t="s">
        <v>73</v>
      </c>
      <c r="Z70" s="58" t="s">
        <v>92</v>
      </c>
      <c r="AA70" s="61">
        <v>977.97</v>
      </c>
      <c r="AB70" s="61">
        <v>0</v>
      </c>
      <c r="AC70" s="58" t="s">
        <v>69</v>
      </c>
      <c r="AD70" s="63">
        <f t="shared" si="21"/>
        <v>0.15000381689101505</v>
      </c>
      <c r="AE70" s="62">
        <f>+O70-U70-V70</f>
        <v>0</v>
      </c>
      <c r="AH70" s="60" t="s">
        <v>1209</v>
      </c>
      <c r="AI70" s="24">
        <f t="shared" si="22"/>
        <v>46260</v>
      </c>
      <c r="AJ70" s="64">
        <f t="shared" si="16"/>
        <v>0</v>
      </c>
      <c r="AK70" s="19">
        <f t="shared" si="17"/>
        <v>392.99</v>
      </c>
      <c r="AL70" s="75"/>
      <c r="AQ70" s="69">
        <f t="shared" si="23"/>
        <v>392.99</v>
      </c>
      <c r="AR70" s="70">
        <f t="shared" si="18"/>
        <v>58.948499999999996</v>
      </c>
      <c r="AS70" s="70"/>
      <c r="AT70" s="71">
        <f t="shared" si="12"/>
        <v>334.04150000000004</v>
      </c>
      <c r="AU70" s="71"/>
      <c r="AV70" s="72"/>
      <c r="AW70" s="70">
        <f t="shared" si="14"/>
        <v>334.04150000000004</v>
      </c>
    </row>
    <row r="71" spans="1:49" hidden="1" x14ac:dyDescent="0.25">
      <c r="A71" s="57">
        <v>46248</v>
      </c>
      <c r="B71" s="58" t="s">
        <v>1217</v>
      </c>
      <c r="C71" s="59">
        <v>34</v>
      </c>
      <c r="D71" s="58" t="s">
        <v>982</v>
      </c>
      <c r="E71" s="58" t="s">
        <v>1218</v>
      </c>
      <c r="F71" s="58" t="s">
        <v>984</v>
      </c>
      <c r="G71" s="58" t="s">
        <v>1219</v>
      </c>
      <c r="H71" s="59">
        <v>1030109729</v>
      </c>
      <c r="I71" s="59">
        <v>215001</v>
      </c>
      <c r="J71" s="60" t="s">
        <v>1220</v>
      </c>
      <c r="K71" s="60" t="s">
        <v>1221</v>
      </c>
      <c r="L71" s="58" t="s">
        <v>988</v>
      </c>
      <c r="M71" s="58" t="s">
        <v>989</v>
      </c>
      <c r="N71" s="60" t="s">
        <v>990</v>
      </c>
      <c r="O71" s="61">
        <v>236.99</v>
      </c>
      <c r="P71" s="61">
        <v>236.99</v>
      </c>
      <c r="Q71" s="61">
        <v>236.99</v>
      </c>
      <c r="R71" s="60">
        <v>1</v>
      </c>
      <c r="S71" s="60" t="s">
        <v>1000</v>
      </c>
      <c r="T71" s="61">
        <v>0</v>
      </c>
      <c r="U71" s="61">
        <v>35.549999999999997</v>
      </c>
      <c r="V71" s="61">
        <v>201.44</v>
      </c>
      <c r="W71" s="58" t="s">
        <v>992</v>
      </c>
      <c r="X71" s="58" t="s">
        <v>993</v>
      </c>
      <c r="Y71" s="62">
        <v>15</v>
      </c>
      <c r="Z71" s="58" t="s">
        <v>79</v>
      </c>
      <c r="AA71" s="61">
        <v>0</v>
      </c>
      <c r="AB71" s="61">
        <v>585.98</v>
      </c>
      <c r="AC71" s="58" t="s">
        <v>69</v>
      </c>
      <c r="AD71" s="63">
        <f t="shared" si="21"/>
        <v>0.15000632938098651</v>
      </c>
      <c r="AE71" s="62">
        <f>+O71-U71</f>
        <v>201.44</v>
      </c>
      <c r="AH71" s="60" t="s">
        <v>1218</v>
      </c>
      <c r="AI71" s="24">
        <f t="shared" si="22"/>
        <v>46263</v>
      </c>
      <c r="AJ71" s="64">
        <f t="shared" si="16"/>
        <v>0</v>
      </c>
      <c r="AK71" s="19">
        <f t="shared" si="17"/>
        <v>236.99</v>
      </c>
      <c r="AL71" s="75"/>
      <c r="AQ71" s="69">
        <f t="shared" si="23"/>
        <v>236.99</v>
      </c>
      <c r="AR71" s="70">
        <f t="shared" si="18"/>
        <v>35.548499999999997</v>
      </c>
      <c r="AS71" s="70"/>
      <c r="AT71" s="71">
        <f t="shared" si="12"/>
        <v>201.44150000000002</v>
      </c>
      <c r="AU71" s="71"/>
      <c r="AV71" s="72"/>
      <c r="AW71" s="70">
        <f t="shared" si="14"/>
        <v>201.44150000000002</v>
      </c>
    </row>
    <row r="72" spans="1:49" hidden="1" x14ac:dyDescent="0.25">
      <c r="A72" s="57">
        <v>46248</v>
      </c>
      <c r="B72" s="58" t="s">
        <v>1217</v>
      </c>
      <c r="C72" s="59">
        <v>34</v>
      </c>
      <c r="D72" s="58" t="s">
        <v>982</v>
      </c>
      <c r="E72" s="58" t="s">
        <v>1218</v>
      </c>
      <c r="F72" s="58" t="s">
        <v>984</v>
      </c>
      <c r="G72" s="58" t="s">
        <v>1222</v>
      </c>
      <c r="H72" s="59">
        <v>1030110823</v>
      </c>
      <c r="I72" s="59">
        <v>215058</v>
      </c>
      <c r="J72" s="60" t="s">
        <v>1220</v>
      </c>
      <c r="K72" s="60" t="s">
        <v>1223</v>
      </c>
      <c r="L72" s="58" t="s">
        <v>988</v>
      </c>
      <c r="M72" s="58" t="s">
        <v>989</v>
      </c>
      <c r="N72" s="60" t="s">
        <v>1031</v>
      </c>
      <c r="O72" s="61">
        <v>251.99</v>
      </c>
      <c r="P72" s="61">
        <v>251.99</v>
      </c>
      <c r="Q72" s="61">
        <v>251.99</v>
      </c>
      <c r="R72" s="60">
        <v>1</v>
      </c>
      <c r="S72" s="60" t="s">
        <v>1000</v>
      </c>
      <c r="T72" s="61">
        <v>0</v>
      </c>
      <c r="U72" s="61">
        <v>37.799999999999997</v>
      </c>
      <c r="V72" s="61">
        <v>214.19</v>
      </c>
      <c r="W72" s="58" t="s">
        <v>73</v>
      </c>
      <c r="X72" s="58" t="s">
        <v>73</v>
      </c>
      <c r="Y72" s="58" t="s">
        <v>73</v>
      </c>
      <c r="Z72" s="58" t="s">
        <v>79</v>
      </c>
      <c r="AA72" s="61">
        <v>0</v>
      </c>
      <c r="AB72" s="61">
        <v>585.98</v>
      </c>
      <c r="AC72" s="58" t="s">
        <v>69</v>
      </c>
      <c r="AD72" s="63">
        <f t="shared" si="21"/>
        <v>0.15000595261716734</v>
      </c>
      <c r="AE72" s="62">
        <f>+O72-U72</f>
        <v>214.19</v>
      </c>
      <c r="AH72" s="60" t="s">
        <v>1218</v>
      </c>
      <c r="AI72" s="24">
        <f t="shared" si="22"/>
        <v>46263</v>
      </c>
      <c r="AJ72" s="64">
        <f t="shared" si="16"/>
        <v>0</v>
      </c>
      <c r="AK72" s="19">
        <f t="shared" si="17"/>
        <v>251.99</v>
      </c>
      <c r="AL72" s="75"/>
      <c r="AQ72" s="69">
        <f t="shared" si="23"/>
        <v>251.99</v>
      </c>
      <c r="AR72" s="70">
        <f t="shared" si="18"/>
        <v>37.798499999999997</v>
      </c>
      <c r="AS72" s="70"/>
      <c r="AT72" s="71">
        <f t="shared" si="12"/>
        <v>214.19150000000002</v>
      </c>
      <c r="AU72" s="71"/>
      <c r="AV72" s="72"/>
      <c r="AW72" s="70">
        <f t="shared" si="14"/>
        <v>214.19150000000002</v>
      </c>
    </row>
    <row r="73" spans="1:49" hidden="1" x14ac:dyDescent="0.25">
      <c r="A73" s="57">
        <v>46249</v>
      </c>
      <c r="B73" s="58" t="s">
        <v>549</v>
      </c>
      <c r="C73" s="59">
        <v>34</v>
      </c>
      <c r="D73" s="58" t="s">
        <v>982</v>
      </c>
      <c r="E73" s="58" t="s">
        <v>1224</v>
      </c>
      <c r="F73" s="58" t="s">
        <v>984</v>
      </c>
      <c r="G73" s="58" t="s">
        <v>1176</v>
      </c>
      <c r="H73" s="59">
        <v>1030106330</v>
      </c>
      <c r="I73" s="59">
        <v>215064</v>
      </c>
      <c r="J73" s="60" t="s">
        <v>1149</v>
      </c>
      <c r="K73" s="60" t="s">
        <v>1177</v>
      </c>
      <c r="L73" s="58" t="s">
        <v>988</v>
      </c>
      <c r="M73" s="58" t="s">
        <v>989</v>
      </c>
      <c r="N73" s="60" t="s">
        <v>990</v>
      </c>
      <c r="O73" s="61">
        <v>241.99</v>
      </c>
      <c r="P73" s="61">
        <v>241.99</v>
      </c>
      <c r="Q73" s="61">
        <v>241.99</v>
      </c>
      <c r="R73" s="60">
        <v>1</v>
      </c>
      <c r="S73" s="60" t="s">
        <v>1000</v>
      </c>
      <c r="T73" s="61">
        <v>0</v>
      </c>
      <c r="U73" s="61">
        <v>36.299999999999997</v>
      </c>
      <c r="V73" s="61">
        <v>205.69</v>
      </c>
      <c r="W73" s="58" t="s">
        <v>992</v>
      </c>
      <c r="X73" s="58" t="s">
        <v>993</v>
      </c>
      <c r="Y73" s="62">
        <v>15</v>
      </c>
      <c r="Z73" s="58" t="s">
        <v>92</v>
      </c>
      <c r="AA73" s="61">
        <v>241.99</v>
      </c>
      <c r="AB73" s="61">
        <v>0</v>
      </c>
      <c r="AC73" s="58" t="s">
        <v>69</v>
      </c>
      <c r="AD73" s="63">
        <f t="shared" si="21"/>
        <v>0.15000619860324804</v>
      </c>
      <c r="AE73" s="62">
        <f>+O73-U73</f>
        <v>205.69</v>
      </c>
      <c r="AH73" s="60" t="s">
        <v>1224</v>
      </c>
      <c r="AI73" s="24">
        <f t="shared" si="22"/>
        <v>46264</v>
      </c>
      <c r="AJ73" s="64">
        <f t="shared" si="16"/>
        <v>0</v>
      </c>
      <c r="AK73" s="19">
        <f t="shared" si="17"/>
        <v>241.99</v>
      </c>
      <c r="AL73" s="75"/>
      <c r="AQ73" s="69">
        <f t="shared" si="23"/>
        <v>241.99</v>
      </c>
      <c r="AR73" s="70">
        <f t="shared" si="18"/>
        <v>36.298499999999997</v>
      </c>
      <c r="AS73" s="70"/>
      <c r="AT73" s="71">
        <f t="shared" si="12"/>
        <v>205.69150000000002</v>
      </c>
      <c r="AU73" s="71"/>
      <c r="AV73" s="72"/>
      <c r="AW73" s="70">
        <f t="shared" si="14"/>
        <v>205.69150000000002</v>
      </c>
    </row>
    <row r="74" spans="1:49" hidden="1" x14ac:dyDescent="0.25">
      <c r="A74" s="57">
        <v>46256</v>
      </c>
      <c r="B74" s="58" t="s">
        <v>235</v>
      </c>
      <c r="C74" s="59">
        <v>34</v>
      </c>
      <c r="D74" s="58" t="s">
        <v>982</v>
      </c>
      <c r="E74" s="58" t="s">
        <v>1225</v>
      </c>
      <c r="F74" s="58" t="s">
        <v>984</v>
      </c>
      <c r="G74" s="58" t="s">
        <v>1176</v>
      </c>
      <c r="H74" s="59">
        <v>1030106330</v>
      </c>
      <c r="I74" s="59">
        <v>215064</v>
      </c>
      <c r="J74" s="60" t="s">
        <v>1149</v>
      </c>
      <c r="K74" s="60" t="s">
        <v>1177</v>
      </c>
      <c r="L74" s="58" t="s">
        <v>988</v>
      </c>
      <c r="M74" s="58" t="s">
        <v>989</v>
      </c>
      <c r="N74" s="60" t="s">
        <v>990</v>
      </c>
      <c r="O74" s="61">
        <v>241.99</v>
      </c>
      <c r="P74" s="61">
        <v>241.99</v>
      </c>
      <c r="Q74" s="61">
        <v>241.99</v>
      </c>
      <c r="R74" s="60">
        <v>1</v>
      </c>
      <c r="S74" s="60" t="s">
        <v>1000</v>
      </c>
      <c r="T74" s="61">
        <v>0</v>
      </c>
      <c r="U74" s="61">
        <v>36.299999999999997</v>
      </c>
      <c r="V74" s="61">
        <v>205.69</v>
      </c>
      <c r="W74" s="58" t="s">
        <v>992</v>
      </c>
      <c r="X74" s="58" t="s">
        <v>993</v>
      </c>
      <c r="Y74" s="62">
        <v>15</v>
      </c>
      <c r="Z74" s="58" t="s">
        <v>92</v>
      </c>
      <c r="AA74" s="61">
        <v>241.99</v>
      </c>
      <c r="AB74" s="61">
        <v>0</v>
      </c>
      <c r="AC74" s="58" t="s">
        <v>69</v>
      </c>
      <c r="AD74" s="63">
        <f t="shared" si="21"/>
        <v>0.15000619860324804</v>
      </c>
      <c r="AE74" s="62">
        <f>+O74-U74-V74</f>
        <v>0</v>
      </c>
      <c r="AH74" s="60" t="s">
        <v>1225</v>
      </c>
      <c r="AI74" s="24">
        <f t="shared" si="22"/>
        <v>46271</v>
      </c>
      <c r="AJ74" s="64">
        <f t="shared" si="16"/>
        <v>0</v>
      </c>
      <c r="AK74" s="19">
        <f t="shared" si="17"/>
        <v>241.99</v>
      </c>
      <c r="AL74" s="75"/>
      <c r="AQ74" s="69">
        <f t="shared" si="23"/>
        <v>241.99</v>
      </c>
      <c r="AR74" s="70">
        <f t="shared" si="18"/>
        <v>36.298499999999997</v>
      </c>
      <c r="AS74" s="70"/>
      <c r="AT74" s="71">
        <f t="shared" si="12"/>
        <v>205.69150000000002</v>
      </c>
      <c r="AU74" s="71"/>
      <c r="AV74" s="72"/>
      <c r="AW74" s="70">
        <f t="shared" si="14"/>
        <v>205.69150000000002</v>
      </c>
    </row>
    <row r="75" spans="1:49" hidden="1" x14ac:dyDescent="0.25">
      <c r="A75" s="57">
        <v>46259</v>
      </c>
      <c r="B75" s="58" t="s">
        <v>1226</v>
      </c>
      <c r="C75" s="59">
        <v>34</v>
      </c>
      <c r="D75" s="58" t="s">
        <v>982</v>
      </c>
      <c r="E75" s="58" t="s">
        <v>1227</v>
      </c>
      <c r="F75" s="58" t="s">
        <v>984</v>
      </c>
      <c r="G75" s="58" t="s">
        <v>1060</v>
      </c>
      <c r="H75" s="59">
        <v>1030102887</v>
      </c>
      <c r="I75" s="59">
        <v>219291</v>
      </c>
      <c r="J75" s="60" t="s">
        <v>1061</v>
      </c>
      <c r="K75" s="60" t="s">
        <v>1062</v>
      </c>
      <c r="L75" s="58" t="s">
        <v>988</v>
      </c>
      <c r="M75" s="58" t="s">
        <v>989</v>
      </c>
      <c r="N75" s="60" t="s">
        <v>1039</v>
      </c>
      <c r="O75" s="61">
        <v>104.99</v>
      </c>
      <c r="P75" s="61">
        <v>104.99</v>
      </c>
      <c r="Q75" s="61">
        <v>104.99</v>
      </c>
      <c r="R75" s="60">
        <v>1</v>
      </c>
      <c r="S75" s="60" t="s">
        <v>1000</v>
      </c>
      <c r="T75" s="61">
        <v>0</v>
      </c>
      <c r="U75" s="61">
        <v>15.75</v>
      </c>
      <c r="V75" s="61">
        <v>89.24</v>
      </c>
      <c r="W75" s="58" t="s">
        <v>992</v>
      </c>
      <c r="X75" s="58" t="s">
        <v>993</v>
      </c>
      <c r="Y75" s="62">
        <v>15</v>
      </c>
      <c r="Z75" s="58" t="s">
        <v>79</v>
      </c>
      <c r="AA75" s="61">
        <v>0</v>
      </c>
      <c r="AB75" s="61">
        <v>624.98</v>
      </c>
      <c r="AC75" s="58" t="s">
        <v>69</v>
      </c>
      <c r="AD75" s="63">
        <f t="shared" si="21"/>
        <v>0.15001428707495953</v>
      </c>
      <c r="AE75" s="62">
        <f>+O75-U75</f>
        <v>89.24</v>
      </c>
      <c r="AH75" s="60" t="s">
        <v>1227</v>
      </c>
      <c r="AI75" s="24">
        <f t="shared" si="22"/>
        <v>46274</v>
      </c>
      <c r="AJ75" s="64">
        <f t="shared" si="16"/>
        <v>0</v>
      </c>
      <c r="AK75" s="19">
        <f>+O75</f>
        <v>104.99</v>
      </c>
      <c r="AL75" s="75"/>
      <c r="AQ75" s="69">
        <f t="shared" si="23"/>
        <v>104.99</v>
      </c>
      <c r="AR75" s="70">
        <f t="shared" si="18"/>
        <v>15.748499999999998</v>
      </c>
      <c r="AS75" s="70"/>
      <c r="AT75" s="71">
        <f t="shared" si="12"/>
        <v>89.241500000000002</v>
      </c>
      <c r="AU75" s="71"/>
      <c r="AV75" s="72"/>
      <c r="AW75" s="70">
        <f t="shared" si="14"/>
        <v>89.241500000000002</v>
      </c>
    </row>
    <row r="76" spans="1:49" hidden="1" x14ac:dyDescent="0.25">
      <c r="A76" s="57">
        <v>46259</v>
      </c>
      <c r="B76" s="58" t="s">
        <v>1226</v>
      </c>
      <c r="C76" s="59">
        <v>34</v>
      </c>
      <c r="D76" s="58" t="s">
        <v>982</v>
      </c>
      <c r="E76" s="58" t="s">
        <v>1227</v>
      </c>
      <c r="F76" s="58" t="s">
        <v>984</v>
      </c>
      <c r="G76" s="58" t="s">
        <v>1228</v>
      </c>
      <c r="H76" s="59">
        <v>1030106612</v>
      </c>
      <c r="I76" s="59">
        <v>214848</v>
      </c>
      <c r="J76" s="60" t="s">
        <v>1004</v>
      </c>
      <c r="K76" s="60" t="s">
        <v>1229</v>
      </c>
      <c r="L76" s="58" t="s">
        <v>988</v>
      </c>
      <c r="M76" s="58" t="s">
        <v>989</v>
      </c>
      <c r="N76" s="60" t="s">
        <v>1039</v>
      </c>
      <c r="O76" s="61">
        <v>519.99</v>
      </c>
      <c r="P76" s="61">
        <v>519.99</v>
      </c>
      <c r="Q76" s="61">
        <v>519.99</v>
      </c>
      <c r="R76" s="60">
        <v>1</v>
      </c>
      <c r="S76" s="60" t="s">
        <v>1000</v>
      </c>
      <c r="T76" s="61">
        <v>0</v>
      </c>
      <c r="U76" s="61">
        <v>78</v>
      </c>
      <c r="V76" s="61">
        <v>441.99</v>
      </c>
      <c r="W76" s="58" t="s">
        <v>73</v>
      </c>
      <c r="X76" s="58" t="s">
        <v>73</v>
      </c>
      <c r="Y76" s="58" t="s">
        <v>73</v>
      </c>
      <c r="Z76" s="58" t="s">
        <v>79</v>
      </c>
      <c r="AA76" s="61">
        <v>0</v>
      </c>
      <c r="AB76" s="61">
        <v>624.98</v>
      </c>
      <c r="AC76" s="58" t="s">
        <v>69</v>
      </c>
      <c r="AD76" s="63">
        <f t="shared" si="21"/>
        <v>0.15000288467085907</v>
      </c>
      <c r="AE76" s="62">
        <f>+O76-U76</f>
        <v>441.99</v>
      </c>
      <c r="AH76" s="60" t="s">
        <v>1227</v>
      </c>
      <c r="AI76" s="24">
        <f t="shared" si="22"/>
        <v>46274</v>
      </c>
      <c r="AJ76" s="64">
        <f t="shared" si="16"/>
        <v>0</v>
      </c>
      <c r="AK76" s="19">
        <f>+O76</f>
        <v>519.99</v>
      </c>
      <c r="AL76" s="75"/>
      <c r="AQ76" s="69">
        <f t="shared" si="23"/>
        <v>519.99</v>
      </c>
      <c r="AR76" s="70">
        <f t="shared" si="18"/>
        <v>77.998499999999993</v>
      </c>
      <c r="AS76" s="70"/>
      <c r="AT76" s="71">
        <f t="shared" si="12"/>
        <v>441.99150000000003</v>
      </c>
      <c r="AU76" s="71"/>
      <c r="AV76" s="72"/>
      <c r="AW76" s="70">
        <f t="shared" si="14"/>
        <v>441.99150000000003</v>
      </c>
    </row>
    <row r="77" spans="1:49" ht="40.5" customHeight="1" x14ac:dyDescent="0.25">
      <c r="AK77" s="19"/>
      <c r="AQ77" s="102">
        <f>SUM(AQ2:AQ76)</f>
        <v>16470.509999999987</v>
      </c>
      <c r="AR77" s="102">
        <f t="shared" ref="AR77:AW77" si="24">SUM(AR2:AR76)</f>
        <v>1799.5364999999997</v>
      </c>
      <c r="AS77" s="102">
        <f t="shared" si="24"/>
        <v>447.36000000000007</v>
      </c>
      <c r="AT77" s="102">
        <f t="shared" si="24"/>
        <v>14223.613500000007</v>
      </c>
      <c r="AU77" s="102">
        <f t="shared" si="24"/>
        <v>-238.85</v>
      </c>
      <c r="AV77" s="102">
        <f t="shared" si="24"/>
        <v>-108</v>
      </c>
      <c r="AW77" s="102">
        <f t="shared" si="24"/>
        <v>13876.763500000006</v>
      </c>
    </row>
    <row r="78" spans="1:49" x14ac:dyDescent="0.25">
      <c r="AQ78" s="103"/>
      <c r="AR78" s="19"/>
      <c r="AW78" s="19"/>
    </row>
    <row r="79" spans="1:49" x14ac:dyDescent="0.25">
      <c r="AQ79" s="104"/>
    </row>
    <row r="80" spans="1:49" ht="32.25" customHeight="1" x14ac:dyDescent="0.25">
      <c r="AK80" s="105" t="s">
        <v>931</v>
      </c>
      <c r="AQ80" s="106" t="s">
        <v>1230</v>
      </c>
      <c r="AR80" s="43" t="s">
        <v>1231</v>
      </c>
      <c r="AS80" s="43" t="s">
        <v>1232</v>
      </c>
      <c r="AT80" s="43" t="s">
        <v>1233</v>
      </c>
      <c r="AU80" s="43" t="s">
        <v>1234</v>
      </c>
      <c r="AV80" s="107" t="s">
        <v>1235</v>
      </c>
    </row>
    <row r="81" spans="37:49" x14ac:dyDescent="0.25">
      <c r="AK81" s="40" t="s">
        <v>1236</v>
      </c>
      <c r="AQ81" s="21">
        <v>16470.509999999998</v>
      </c>
      <c r="AR81" s="21">
        <f>+AR82+AR83</f>
        <v>2246.8964999999998</v>
      </c>
      <c r="AS81" s="21">
        <f>+AQ81-AR81</f>
        <v>14223.613499999999</v>
      </c>
      <c r="AT81">
        <v>-238.85</v>
      </c>
      <c r="AU81" s="19">
        <v>-108</v>
      </c>
      <c r="AV81" s="19">
        <f>+AS81+AT81+AU81</f>
        <v>13876.763499999999</v>
      </c>
      <c r="AW81" s="19"/>
    </row>
    <row r="82" spans="37:49" x14ac:dyDescent="0.25">
      <c r="AK82" s="40" t="s">
        <v>1237</v>
      </c>
      <c r="AQ82" s="21">
        <v>11996.91</v>
      </c>
      <c r="AR82" s="21">
        <f>+AQ82*0.15</f>
        <v>1799.5364999999999</v>
      </c>
      <c r="AS82" s="21">
        <f>+AQ82-AR82</f>
        <v>10197.3735</v>
      </c>
    </row>
    <row r="83" spans="37:49" x14ac:dyDescent="0.25">
      <c r="AK83" s="40" t="s">
        <v>1238</v>
      </c>
      <c r="AQ83" s="21">
        <v>4473.6000000000004</v>
      </c>
      <c r="AR83" s="21">
        <f>+AQ83*0.1</f>
        <v>447.36000000000007</v>
      </c>
      <c r="AS83" s="21">
        <f>+AQ83-AR83</f>
        <v>4026.2400000000002</v>
      </c>
    </row>
  </sheetData>
  <autoFilter ref="A1:AW77" xr:uid="{79429151-AD78-448E-A634-1D269C20EC2A}">
    <filterColumn colId="4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E356-F9F7-43E9-AB46-CC5292344D42}">
  <dimension ref="A1:BL200"/>
  <sheetViews>
    <sheetView topLeftCell="AG1" zoomScale="85" zoomScaleNormal="85" workbookViewId="0">
      <pane ySplit="1" topLeftCell="A115" activePane="bottomLeft" state="frozen"/>
      <selection activeCell="A148" sqref="A148:S148"/>
      <selection pane="bottomLeft" activeCell="AJ148" sqref="AJ148"/>
    </sheetView>
  </sheetViews>
  <sheetFormatPr defaultRowHeight="15" x14ac:dyDescent="0.25"/>
  <cols>
    <col min="1" max="2" width="13.42578125" style="16" customWidth="1"/>
    <col min="3" max="3" width="10.85546875" style="16" customWidth="1"/>
    <col min="4" max="4" width="24.28515625" style="17" customWidth="1"/>
    <col min="5" max="5" width="10.85546875" customWidth="1"/>
    <col min="6" max="6" width="10" style="16" customWidth="1"/>
    <col min="7" max="7" width="13.7109375" style="16" customWidth="1"/>
    <col min="8" max="8" width="10.85546875" style="16" customWidth="1"/>
    <col min="9" max="9" width="10.42578125" style="16" customWidth="1"/>
    <col min="10" max="10" width="12.140625" style="16" customWidth="1"/>
    <col min="11" max="11" width="17.5703125" style="17" customWidth="1"/>
    <col min="12" max="12" width="54" customWidth="1"/>
    <col min="13" max="13" width="36.140625" customWidth="1"/>
    <col min="14" max="14" width="8.5703125" customWidth="1"/>
    <col min="15" max="15" width="10.28515625" style="16" customWidth="1"/>
    <col min="16" max="16" width="24.28515625" customWidth="1"/>
    <col min="17" max="17" width="10.42578125" customWidth="1"/>
    <col min="18" max="18" width="12.140625" customWidth="1"/>
    <col min="19" max="19" width="15.7109375" customWidth="1"/>
    <col min="20" max="20" width="12.7109375" customWidth="1"/>
    <col min="21" max="21" width="9.5703125" customWidth="1"/>
    <col min="22" max="22" width="14.85546875" customWidth="1"/>
    <col min="23" max="23" width="9.28515625" customWidth="1"/>
    <col min="24" max="24" width="15.7109375" customWidth="1"/>
    <col min="25" max="25" width="13.28515625" style="20" customWidth="1"/>
    <col min="26" max="26" width="13.42578125" customWidth="1"/>
    <col min="27" max="27" width="18.85546875" customWidth="1"/>
    <col min="28" max="28" width="10.140625" customWidth="1"/>
    <col min="29" max="29" width="17.42578125" customWidth="1"/>
    <col min="30" max="30" width="13" customWidth="1"/>
    <col min="31" max="31" width="12.28515625" customWidth="1"/>
    <col min="32" max="32" width="12.42578125" customWidth="1"/>
    <col min="33" max="33" width="17.5703125" customWidth="1"/>
    <col min="34" max="34" width="27" customWidth="1"/>
    <col min="35" max="35" width="24.28515625" customWidth="1"/>
    <col min="36" max="36" width="17.5703125" customWidth="1"/>
    <col min="37" max="37" width="25.7109375" customWidth="1"/>
    <col min="38" max="38" width="39.140625" customWidth="1"/>
    <col min="39" max="39" width="11.85546875" customWidth="1"/>
    <col min="40" max="40" width="9.140625" style="16"/>
    <col min="41" max="41" width="10.7109375" bestFit="1" customWidth="1"/>
    <col min="42" max="42" width="12.140625" customWidth="1"/>
    <col min="43" max="43" width="13.85546875" customWidth="1"/>
    <col min="44" max="45" width="12.140625" customWidth="1"/>
    <col min="46" max="46" width="20.85546875" style="24" customWidth="1"/>
    <col min="47" max="47" width="17" style="16" customWidth="1"/>
    <col min="48" max="48" width="13.5703125" style="16" customWidth="1"/>
    <col min="49" max="49" width="14.5703125" style="16" customWidth="1"/>
    <col min="50" max="52" width="9.140625" style="16"/>
    <col min="53" max="53" width="15.28515625" style="16" customWidth="1"/>
    <col min="54" max="54" width="13.5703125" style="16" customWidth="1"/>
    <col min="55" max="55" width="15.5703125" style="16" customWidth="1"/>
    <col min="56" max="56" width="15.140625" style="16" customWidth="1"/>
    <col min="57" max="59" width="9.140625" style="16"/>
    <col min="60" max="60" width="19.140625" style="16" bestFit="1" customWidth="1"/>
    <col min="61" max="61" width="30.140625" style="16" bestFit="1" customWidth="1"/>
    <col min="62" max="62" width="21.85546875" style="16" bestFit="1" customWidth="1"/>
    <col min="63" max="63" width="28.28515625" style="16" bestFit="1" customWidth="1"/>
    <col min="64" max="64" width="33.28515625" style="16" bestFit="1" customWidth="1"/>
  </cols>
  <sheetData>
    <row r="1" spans="1:64" s="10" customFormat="1" ht="44.25" customHeight="1" x14ac:dyDescent="0.25">
      <c r="A1" s="1" t="s">
        <v>0</v>
      </c>
      <c r="B1" s="1" t="s">
        <v>1</v>
      </c>
      <c r="C1" s="1" t="s">
        <v>2</v>
      </c>
      <c r="D1" s="2" t="s">
        <v>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3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4" t="s">
        <v>36</v>
      </c>
      <c r="AN1" s="4" t="s">
        <v>37</v>
      </c>
      <c r="AO1" s="4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6" t="s">
        <v>43</v>
      </c>
      <c r="AU1" s="6" t="s">
        <v>44</v>
      </c>
      <c r="AV1" s="7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8" t="s">
        <v>52</v>
      </c>
      <c r="BD1" s="6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8" t="s">
        <v>58</v>
      </c>
      <c r="BJ1" s="9" t="s">
        <v>59</v>
      </c>
      <c r="BK1" s="9" t="s">
        <v>60</v>
      </c>
      <c r="BL1" s="9" t="s">
        <v>61</v>
      </c>
    </row>
    <row r="2" spans="1:64" x14ac:dyDescent="0.25">
      <c r="A2" s="11">
        <v>46271</v>
      </c>
      <c r="B2" s="12" t="s">
        <v>62</v>
      </c>
      <c r="C2" s="13">
        <v>71375</v>
      </c>
      <c r="D2" s="14" t="s">
        <v>63</v>
      </c>
      <c r="E2" s="15"/>
      <c r="F2" s="13">
        <v>19092</v>
      </c>
      <c r="G2" s="13">
        <v>291072289</v>
      </c>
      <c r="H2" s="16" t="s">
        <v>64</v>
      </c>
      <c r="I2" s="16" t="s">
        <v>65</v>
      </c>
      <c r="J2" s="16" t="s">
        <v>66</v>
      </c>
      <c r="K2" s="17">
        <v>4</v>
      </c>
      <c r="L2" t="s">
        <v>67</v>
      </c>
      <c r="M2" t="s">
        <v>68</v>
      </c>
      <c r="N2" t="s">
        <v>69</v>
      </c>
      <c r="O2" s="16" t="s">
        <v>70</v>
      </c>
      <c r="P2" t="s">
        <v>71</v>
      </c>
      <c r="Q2" s="18">
        <v>76</v>
      </c>
      <c r="R2" t="s">
        <v>72</v>
      </c>
      <c r="S2" s="19">
        <v>7.6</v>
      </c>
      <c r="T2" s="18">
        <v>13</v>
      </c>
      <c r="U2" s="19">
        <v>13.56</v>
      </c>
      <c r="V2" s="19">
        <v>81.400000000000006</v>
      </c>
      <c r="W2" s="19">
        <v>89</v>
      </c>
      <c r="X2" t="s">
        <v>73</v>
      </c>
      <c r="Y2" s="20">
        <v>0.05</v>
      </c>
      <c r="Z2" s="19">
        <v>3.8</v>
      </c>
      <c r="AA2" s="19">
        <v>85.2</v>
      </c>
      <c r="AB2" s="19">
        <v>3.8</v>
      </c>
      <c r="AC2" t="s">
        <v>73</v>
      </c>
      <c r="AD2" s="19">
        <v>3.12</v>
      </c>
      <c r="AE2" s="19">
        <v>0.68</v>
      </c>
      <c r="AF2" s="19">
        <v>3.8</v>
      </c>
      <c r="AG2" s="19">
        <v>20</v>
      </c>
      <c r="AH2" s="19">
        <v>61.4</v>
      </c>
      <c r="AI2" s="19">
        <v>3.8</v>
      </c>
      <c r="AJ2" t="s">
        <v>73</v>
      </c>
      <c r="AK2" s="19">
        <v>0</v>
      </c>
      <c r="AL2" s="19">
        <v>85.2</v>
      </c>
      <c r="AM2" t="b">
        <f>AV2=G2</f>
        <v>1</v>
      </c>
      <c r="AN2" s="21">
        <f>(BA2/100)-Y2</f>
        <v>0</v>
      </c>
      <c r="AO2" s="19">
        <f>Z2-BB2</f>
        <v>0</v>
      </c>
      <c r="AP2" s="22">
        <v>28</v>
      </c>
      <c r="AQ2" s="18">
        <f>T2</f>
        <v>13</v>
      </c>
      <c r="AR2" s="18">
        <f>AP2-AQ2-AS2</f>
        <v>6.9</v>
      </c>
      <c r="AS2" s="23">
        <f>BI2</f>
        <v>8.1</v>
      </c>
      <c r="AT2" s="24">
        <v>46272.012499999997</v>
      </c>
      <c r="AU2" s="16" t="s">
        <v>74</v>
      </c>
      <c r="AV2" s="16">
        <v>291072289</v>
      </c>
      <c r="AW2" s="16">
        <v>737259729</v>
      </c>
      <c r="AX2" s="16" t="s">
        <v>63</v>
      </c>
      <c r="AY2" s="16">
        <v>89</v>
      </c>
      <c r="AZ2" s="16">
        <v>76</v>
      </c>
      <c r="BA2" s="16">
        <v>5</v>
      </c>
      <c r="BB2" s="16">
        <v>3.8</v>
      </c>
      <c r="BC2" s="16">
        <v>28</v>
      </c>
      <c r="BD2" s="16">
        <v>6.9</v>
      </c>
      <c r="BE2" s="16">
        <v>12</v>
      </c>
      <c r="BF2" s="16" t="s">
        <v>69</v>
      </c>
      <c r="BG2" s="16" t="s">
        <v>75</v>
      </c>
      <c r="BH2" s="16">
        <v>15</v>
      </c>
      <c r="BI2" s="16">
        <v>8.1</v>
      </c>
      <c r="BJ2" s="16">
        <v>92.100000000000009</v>
      </c>
      <c r="BK2" s="16">
        <v>3.8</v>
      </c>
      <c r="BL2" s="16">
        <v>19.899999999999999</v>
      </c>
    </row>
    <row r="3" spans="1:64" x14ac:dyDescent="0.25">
      <c r="A3" s="24">
        <v>46271</v>
      </c>
      <c r="B3" s="16" t="s">
        <v>76</v>
      </c>
      <c r="C3" s="25">
        <v>78670</v>
      </c>
      <c r="F3" s="25">
        <v>19093</v>
      </c>
      <c r="G3" s="25">
        <v>291072796</v>
      </c>
      <c r="H3" s="16" t="s">
        <v>64</v>
      </c>
      <c r="I3" s="16" t="s">
        <v>65</v>
      </c>
      <c r="J3" s="16" t="s">
        <v>66</v>
      </c>
      <c r="K3" s="17">
        <v>91</v>
      </c>
      <c r="L3" t="s">
        <v>77</v>
      </c>
      <c r="M3" t="s">
        <v>78</v>
      </c>
      <c r="N3" t="s">
        <v>69</v>
      </c>
      <c r="O3" s="16" t="s">
        <v>70</v>
      </c>
      <c r="P3" t="s">
        <v>79</v>
      </c>
      <c r="Q3" s="19">
        <v>34</v>
      </c>
      <c r="R3" t="s">
        <v>73</v>
      </c>
      <c r="S3" s="19">
        <v>0</v>
      </c>
      <c r="T3" s="19">
        <v>17</v>
      </c>
      <c r="U3" s="19">
        <v>6.65</v>
      </c>
      <c r="V3" s="19">
        <v>51</v>
      </c>
      <c r="W3" s="19">
        <v>51</v>
      </c>
      <c r="X3" t="s">
        <v>73</v>
      </c>
      <c r="Y3" s="20">
        <v>0.05</v>
      </c>
      <c r="Z3" s="19">
        <v>1.7</v>
      </c>
      <c r="AA3" s="19">
        <v>49.3</v>
      </c>
      <c r="AB3" s="19">
        <v>1.7</v>
      </c>
      <c r="AC3" t="s">
        <v>73</v>
      </c>
      <c r="AD3" s="19">
        <v>1.37</v>
      </c>
      <c r="AE3" s="19">
        <v>0.33</v>
      </c>
      <c r="AF3" s="19">
        <v>1.7</v>
      </c>
      <c r="AG3" s="19">
        <v>0</v>
      </c>
      <c r="AH3" s="19">
        <v>51</v>
      </c>
      <c r="AI3" s="19">
        <v>1.7</v>
      </c>
      <c r="AJ3" t="s">
        <v>73</v>
      </c>
      <c r="AK3" s="19">
        <v>0</v>
      </c>
      <c r="AL3" s="19">
        <v>49.3</v>
      </c>
      <c r="AM3" t="b">
        <f t="shared" ref="AM3:AM66" si="0">AV3=G3</f>
        <v>1</v>
      </c>
      <c r="AN3" s="21">
        <f t="shared" ref="AN3:AN66" si="1">(BA3/100)-Y3</f>
        <v>0</v>
      </c>
      <c r="AO3" s="19">
        <f t="shared" ref="AO3:AO66" si="2">Z3-BB3</f>
        <v>0</v>
      </c>
      <c r="AP3" s="22">
        <v>17</v>
      </c>
      <c r="AQ3" s="18">
        <f t="shared" ref="AQ3:AQ66" si="3">T3</f>
        <v>17</v>
      </c>
      <c r="AR3" s="18">
        <f t="shared" ref="AR3:AR66" si="4">AP3-AQ3-AS3</f>
        <v>0</v>
      </c>
      <c r="AS3" s="23">
        <f t="shared" ref="AS3:AS66" si="5">BI3</f>
        <v>0</v>
      </c>
      <c r="AT3" s="24">
        <v>46272.012499999997</v>
      </c>
      <c r="AU3" s="16" t="s">
        <v>80</v>
      </c>
      <c r="AV3" s="16">
        <v>291072796</v>
      </c>
      <c r="AW3" s="16">
        <v>737262262</v>
      </c>
      <c r="AX3" s="16" t="s">
        <v>81</v>
      </c>
      <c r="AY3" s="16">
        <v>51</v>
      </c>
      <c r="AZ3" s="16">
        <v>34</v>
      </c>
      <c r="BA3" s="16">
        <v>5</v>
      </c>
      <c r="BB3" s="16">
        <v>1.7</v>
      </c>
      <c r="BC3" s="16">
        <v>17</v>
      </c>
      <c r="BD3" s="16">
        <v>0</v>
      </c>
      <c r="BE3" s="16">
        <v>16</v>
      </c>
      <c r="BF3" s="16" t="s">
        <v>69</v>
      </c>
      <c r="BG3" s="16" t="s">
        <v>82</v>
      </c>
      <c r="BH3" s="16">
        <v>0</v>
      </c>
      <c r="BI3" s="16">
        <v>0</v>
      </c>
      <c r="BJ3" s="16">
        <v>49.3</v>
      </c>
      <c r="BK3" s="16">
        <v>1.7</v>
      </c>
      <c r="BL3" s="16">
        <v>17</v>
      </c>
    </row>
    <row r="4" spans="1:64" x14ac:dyDescent="0.25">
      <c r="A4" s="24">
        <v>46271</v>
      </c>
      <c r="B4" s="16" t="s">
        <v>83</v>
      </c>
      <c r="C4" s="25">
        <v>70200</v>
      </c>
      <c r="F4" s="25">
        <v>19094</v>
      </c>
      <c r="G4" s="25">
        <v>291073381</v>
      </c>
      <c r="H4" s="16" t="s">
        <v>64</v>
      </c>
      <c r="I4" s="16" t="s">
        <v>65</v>
      </c>
      <c r="J4" s="16" t="s">
        <v>66</v>
      </c>
      <c r="K4" s="17">
        <v>54</v>
      </c>
      <c r="L4" t="s">
        <v>84</v>
      </c>
      <c r="M4" t="s">
        <v>85</v>
      </c>
      <c r="N4" t="s">
        <v>69</v>
      </c>
      <c r="O4" s="16" t="s">
        <v>70</v>
      </c>
      <c r="P4" t="s">
        <v>86</v>
      </c>
      <c r="Q4" s="19">
        <v>41</v>
      </c>
      <c r="R4" t="s">
        <v>72</v>
      </c>
      <c r="S4" s="19">
        <v>4.0999999999999996</v>
      </c>
      <c r="T4" s="19">
        <v>5</v>
      </c>
      <c r="U4" s="19">
        <v>7.31</v>
      </c>
      <c r="V4" s="19">
        <v>41.9</v>
      </c>
      <c r="W4" s="19">
        <v>46</v>
      </c>
      <c r="X4" t="s">
        <v>73</v>
      </c>
      <c r="Y4" s="20">
        <v>4.7600000000000003E-2</v>
      </c>
      <c r="Z4" s="19">
        <v>1.95</v>
      </c>
      <c r="AA4" s="19">
        <v>44.05</v>
      </c>
      <c r="AB4" s="19">
        <v>1.95</v>
      </c>
      <c r="AC4" t="s">
        <v>73</v>
      </c>
      <c r="AD4" s="19">
        <v>1.6</v>
      </c>
      <c r="AE4" s="19">
        <v>0.35</v>
      </c>
      <c r="AF4" s="19">
        <v>1.95</v>
      </c>
      <c r="AG4" s="19">
        <v>0</v>
      </c>
      <c r="AH4" s="19">
        <v>41.9</v>
      </c>
      <c r="AI4" s="19">
        <v>1.95</v>
      </c>
      <c r="AJ4" t="s">
        <v>73</v>
      </c>
      <c r="AK4" s="19">
        <v>0</v>
      </c>
      <c r="AL4" s="19">
        <v>44.05</v>
      </c>
      <c r="AM4" t="b">
        <f t="shared" si="0"/>
        <v>1</v>
      </c>
      <c r="AN4" s="21">
        <f t="shared" si="1"/>
        <v>-1.0000000000000286E-4</v>
      </c>
      <c r="AO4" s="19">
        <f t="shared" si="2"/>
        <v>2.4999999999999467E-3</v>
      </c>
      <c r="AP4" s="22">
        <v>15</v>
      </c>
      <c r="AQ4" s="18">
        <f t="shared" si="3"/>
        <v>5</v>
      </c>
      <c r="AR4" s="18">
        <f t="shared" si="4"/>
        <v>6</v>
      </c>
      <c r="AS4" s="23">
        <f t="shared" si="5"/>
        <v>4</v>
      </c>
      <c r="AT4" s="24">
        <v>46272.01666666667</v>
      </c>
      <c r="AU4" s="16" t="s">
        <v>87</v>
      </c>
      <c r="AV4" s="16">
        <v>291073381</v>
      </c>
      <c r="AW4" s="16">
        <v>737265417</v>
      </c>
      <c r="AX4" s="16" t="s">
        <v>88</v>
      </c>
      <c r="AY4" s="16">
        <v>46</v>
      </c>
      <c r="AZ4" s="16">
        <v>41</v>
      </c>
      <c r="BA4" s="16">
        <v>4.75</v>
      </c>
      <c r="BB4" s="16">
        <v>1.9475</v>
      </c>
      <c r="BC4" s="16">
        <v>15</v>
      </c>
      <c r="BD4" s="16">
        <v>6</v>
      </c>
      <c r="BE4" s="16">
        <v>4</v>
      </c>
      <c r="BF4" s="16" t="s">
        <v>69</v>
      </c>
      <c r="BG4" s="16" t="s">
        <v>89</v>
      </c>
      <c r="BH4" s="16">
        <v>10</v>
      </c>
      <c r="BI4" s="16">
        <v>4</v>
      </c>
      <c r="BJ4" s="16">
        <v>50.052500000000002</v>
      </c>
      <c r="BK4" s="16">
        <v>1.9475</v>
      </c>
      <c r="BL4" s="16">
        <v>11</v>
      </c>
    </row>
    <row r="5" spans="1:64" x14ac:dyDescent="0.25">
      <c r="A5" s="24">
        <v>46271</v>
      </c>
      <c r="B5" s="16" t="s">
        <v>90</v>
      </c>
      <c r="C5" s="25">
        <v>59709</v>
      </c>
      <c r="F5" s="25">
        <v>19095</v>
      </c>
      <c r="G5" s="25">
        <v>291073584</v>
      </c>
      <c r="H5" s="16" t="s">
        <v>64</v>
      </c>
      <c r="I5" s="16" t="s">
        <v>65</v>
      </c>
      <c r="J5" s="16" t="s">
        <v>66</v>
      </c>
      <c r="K5" s="17">
        <v>15150</v>
      </c>
      <c r="L5" t="s">
        <v>91</v>
      </c>
      <c r="M5" t="s">
        <v>73</v>
      </c>
      <c r="N5" t="s">
        <v>69</v>
      </c>
      <c r="O5" s="16" t="s">
        <v>70</v>
      </c>
      <c r="P5" t="s">
        <v>92</v>
      </c>
      <c r="Q5" s="19">
        <v>36</v>
      </c>
      <c r="R5" t="s">
        <v>73</v>
      </c>
      <c r="S5" s="19">
        <v>0</v>
      </c>
      <c r="T5" s="19">
        <v>13</v>
      </c>
      <c r="U5" s="19">
        <v>8.35</v>
      </c>
      <c r="V5" s="19">
        <v>49</v>
      </c>
      <c r="W5" s="19">
        <v>49</v>
      </c>
      <c r="X5" t="s">
        <v>73</v>
      </c>
      <c r="Y5" s="20">
        <v>0.05</v>
      </c>
      <c r="Z5" s="19">
        <v>1.8</v>
      </c>
      <c r="AA5" s="19">
        <v>47.2</v>
      </c>
      <c r="AB5" s="19">
        <v>1.8</v>
      </c>
      <c r="AC5" t="s">
        <v>73</v>
      </c>
      <c r="AD5" s="19">
        <v>1.38</v>
      </c>
      <c r="AE5" s="19">
        <v>0.42</v>
      </c>
      <c r="AF5" s="19">
        <v>1.8</v>
      </c>
      <c r="AG5" s="19">
        <v>49</v>
      </c>
      <c r="AH5" s="19">
        <v>0</v>
      </c>
      <c r="AI5" s="19">
        <v>1.8</v>
      </c>
      <c r="AJ5" t="s">
        <v>73</v>
      </c>
      <c r="AK5" s="19">
        <v>0</v>
      </c>
      <c r="AL5" s="19">
        <v>47.2</v>
      </c>
      <c r="AM5" t="b">
        <f t="shared" si="0"/>
        <v>1</v>
      </c>
      <c r="AN5" s="21">
        <f t="shared" si="1"/>
        <v>0</v>
      </c>
      <c r="AO5" s="19">
        <f t="shared" si="2"/>
        <v>0</v>
      </c>
      <c r="AP5" s="22">
        <v>28</v>
      </c>
      <c r="AQ5" s="18">
        <f t="shared" si="3"/>
        <v>13</v>
      </c>
      <c r="AR5" s="18">
        <f t="shared" si="4"/>
        <v>10</v>
      </c>
      <c r="AS5" s="23">
        <f t="shared" si="5"/>
        <v>5</v>
      </c>
      <c r="AT5" s="24">
        <v>46272.026388888888</v>
      </c>
      <c r="AU5" s="16" t="s">
        <v>93</v>
      </c>
      <c r="AV5" s="16">
        <v>291073584</v>
      </c>
      <c r="AW5" s="16">
        <v>737266319</v>
      </c>
      <c r="AX5" s="16" t="s">
        <v>94</v>
      </c>
      <c r="AY5" s="16">
        <v>49</v>
      </c>
      <c r="AZ5" s="16">
        <v>36</v>
      </c>
      <c r="BA5" s="16">
        <v>5</v>
      </c>
      <c r="BB5" s="16">
        <v>1.8</v>
      </c>
      <c r="BC5" s="16">
        <v>28</v>
      </c>
      <c r="BD5" s="16">
        <v>10</v>
      </c>
      <c r="BE5" s="16">
        <v>12</v>
      </c>
      <c r="BF5" s="16" t="s">
        <v>69</v>
      </c>
      <c r="BG5" s="16" t="s">
        <v>95</v>
      </c>
      <c r="BH5" s="16">
        <v>15</v>
      </c>
      <c r="BI5" s="16">
        <v>5</v>
      </c>
      <c r="BJ5" s="16">
        <v>57.2</v>
      </c>
      <c r="BK5" s="16">
        <v>1.8</v>
      </c>
      <c r="BL5" s="16">
        <v>23</v>
      </c>
    </row>
    <row r="6" spans="1:64" x14ac:dyDescent="0.25">
      <c r="A6" s="24">
        <v>46272</v>
      </c>
      <c r="B6" s="16" t="s">
        <v>96</v>
      </c>
      <c r="C6" s="25">
        <v>73834</v>
      </c>
      <c r="F6" s="25">
        <v>19096</v>
      </c>
      <c r="G6" s="25">
        <v>291074479</v>
      </c>
      <c r="H6" s="16" t="s">
        <v>64</v>
      </c>
      <c r="I6" s="16" t="s">
        <v>65</v>
      </c>
      <c r="J6" s="16" t="s">
        <v>66</v>
      </c>
      <c r="K6" s="17">
        <v>54</v>
      </c>
      <c r="L6" t="s">
        <v>84</v>
      </c>
      <c r="M6" t="s">
        <v>97</v>
      </c>
      <c r="N6" t="s">
        <v>69</v>
      </c>
      <c r="O6" s="16" t="s">
        <v>70</v>
      </c>
      <c r="P6" t="s">
        <v>71</v>
      </c>
      <c r="Q6" s="19">
        <v>52</v>
      </c>
      <c r="R6" t="s">
        <v>72</v>
      </c>
      <c r="S6" s="19">
        <v>5.2</v>
      </c>
      <c r="T6" s="19">
        <v>5</v>
      </c>
      <c r="U6" s="19">
        <v>8.74</v>
      </c>
      <c r="V6" s="19">
        <v>51.8</v>
      </c>
      <c r="W6" s="19">
        <v>57</v>
      </c>
      <c r="X6" t="s">
        <v>73</v>
      </c>
      <c r="Y6" s="20">
        <v>4.7500000000000001E-2</v>
      </c>
      <c r="Z6" s="19">
        <v>2.4700000000000002</v>
      </c>
      <c r="AA6" s="19">
        <v>54.53</v>
      </c>
      <c r="AB6" s="19">
        <v>2.4700000000000002</v>
      </c>
      <c r="AC6" t="s">
        <v>73</v>
      </c>
      <c r="AD6" s="19">
        <v>2.0499999999999998</v>
      </c>
      <c r="AE6" s="19">
        <v>0.42</v>
      </c>
      <c r="AF6" s="19">
        <v>2.4700000000000002</v>
      </c>
      <c r="AG6" s="19">
        <v>20</v>
      </c>
      <c r="AH6" s="19">
        <v>31.8</v>
      </c>
      <c r="AI6" s="19">
        <v>2.4700000000000002</v>
      </c>
      <c r="AJ6" t="s">
        <v>73</v>
      </c>
      <c r="AK6" s="19">
        <v>0</v>
      </c>
      <c r="AL6" s="19">
        <v>54.53</v>
      </c>
      <c r="AM6" t="b">
        <f t="shared" si="0"/>
        <v>1</v>
      </c>
      <c r="AN6" s="21">
        <f t="shared" si="1"/>
        <v>0</v>
      </c>
      <c r="AO6" s="19">
        <f t="shared" si="2"/>
        <v>0</v>
      </c>
      <c r="AP6" s="22">
        <v>15</v>
      </c>
      <c r="AQ6" s="18">
        <f t="shared" si="3"/>
        <v>5</v>
      </c>
      <c r="AR6" s="18">
        <f t="shared" si="4"/>
        <v>6</v>
      </c>
      <c r="AS6" s="23">
        <f t="shared" si="5"/>
        <v>4</v>
      </c>
      <c r="AT6" s="24">
        <v>46272.03125</v>
      </c>
      <c r="AU6" s="16" t="s">
        <v>87</v>
      </c>
      <c r="AV6" s="16">
        <v>291074479</v>
      </c>
      <c r="AW6" s="16">
        <v>737271077</v>
      </c>
      <c r="AX6" s="16" t="s">
        <v>98</v>
      </c>
      <c r="AY6" s="16">
        <v>57</v>
      </c>
      <c r="AZ6" s="16">
        <v>52</v>
      </c>
      <c r="BA6" s="16">
        <v>4.75</v>
      </c>
      <c r="BB6" s="16">
        <v>2.4700000000000002</v>
      </c>
      <c r="BC6" s="16">
        <v>15</v>
      </c>
      <c r="BD6" s="16">
        <v>6</v>
      </c>
      <c r="BE6" s="16">
        <v>4</v>
      </c>
      <c r="BF6" s="16" t="s">
        <v>69</v>
      </c>
      <c r="BG6" s="16" t="s">
        <v>99</v>
      </c>
      <c r="BH6" s="16">
        <v>10</v>
      </c>
      <c r="BI6" s="16">
        <v>4</v>
      </c>
      <c r="BJ6" s="16">
        <v>60.53</v>
      </c>
      <c r="BK6" s="16">
        <v>2.4700000000000002</v>
      </c>
      <c r="BL6" s="16">
        <v>11</v>
      </c>
    </row>
    <row r="7" spans="1:64" x14ac:dyDescent="0.25">
      <c r="A7" s="24">
        <v>46272</v>
      </c>
      <c r="B7" s="16" t="s">
        <v>100</v>
      </c>
      <c r="C7" s="25">
        <v>78986</v>
      </c>
      <c r="F7" s="25">
        <v>19098</v>
      </c>
      <c r="G7" s="25">
        <v>291074815</v>
      </c>
      <c r="H7" s="16" t="s">
        <v>64</v>
      </c>
      <c r="I7" s="16" t="s">
        <v>65</v>
      </c>
      <c r="J7" s="16" t="s">
        <v>66</v>
      </c>
      <c r="K7" s="17">
        <v>15150</v>
      </c>
      <c r="L7" t="s">
        <v>91</v>
      </c>
      <c r="M7" t="s">
        <v>101</v>
      </c>
      <c r="N7" t="s">
        <v>69</v>
      </c>
      <c r="O7" s="16" t="s">
        <v>70</v>
      </c>
      <c r="P7" t="s">
        <v>86</v>
      </c>
      <c r="Q7" s="19">
        <v>91</v>
      </c>
      <c r="R7" t="s">
        <v>73</v>
      </c>
      <c r="S7" s="19">
        <v>0</v>
      </c>
      <c r="T7" s="19">
        <v>0</v>
      </c>
      <c r="U7" s="19">
        <v>13.83</v>
      </c>
      <c r="V7" s="19">
        <v>91</v>
      </c>
      <c r="W7" s="19">
        <v>91</v>
      </c>
      <c r="X7" t="s">
        <v>73</v>
      </c>
      <c r="Y7" s="20">
        <v>0.05</v>
      </c>
      <c r="Z7" s="19">
        <v>4.55</v>
      </c>
      <c r="AA7" s="19">
        <v>86.45</v>
      </c>
      <c r="AB7" s="19">
        <v>4.55</v>
      </c>
      <c r="AC7" t="s">
        <v>73</v>
      </c>
      <c r="AD7" s="19">
        <v>3.86</v>
      </c>
      <c r="AE7" s="19">
        <v>0.69</v>
      </c>
      <c r="AF7" s="19">
        <v>4.55</v>
      </c>
      <c r="AG7" s="19">
        <v>0</v>
      </c>
      <c r="AH7" s="19">
        <v>91</v>
      </c>
      <c r="AI7" s="19">
        <v>4.55</v>
      </c>
      <c r="AJ7" t="s">
        <v>73</v>
      </c>
      <c r="AK7" s="19">
        <v>0</v>
      </c>
      <c r="AL7" s="19">
        <v>86.45</v>
      </c>
      <c r="AM7" t="b">
        <f t="shared" si="0"/>
        <v>1</v>
      </c>
      <c r="AN7" s="21">
        <f t="shared" si="1"/>
        <v>0</v>
      </c>
      <c r="AO7" s="19">
        <f t="shared" si="2"/>
        <v>0</v>
      </c>
      <c r="AP7" s="22">
        <v>15</v>
      </c>
      <c r="AQ7" s="18">
        <f t="shared" si="3"/>
        <v>0</v>
      </c>
      <c r="AR7" s="18">
        <f t="shared" si="4"/>
        <v>10</v>
      </c>
      <c r="AS7" s="23">
        <f t="shared" si="5"/>
        <v>5</v>
      </c>
      <c r="AT7" s="24">
        <v>46272.040972222225</v>
      </c>
      <c r="AU7" s="16" t="s">
        <v>93</v>
      </c>
      <c r="AV7" s="16">
        <v>291074815</v>
      </c>
      <c r="AW7" s="16">
        <v>737272276</v>
      </c>
      <c r="AX7" s="16" t="s">
        <v>102</v>
      </c>
      <c r="AY7" s="16">
        <v>91</v>
      </c>
      <c r="AZ7" s="16">
        <v>91</v>
      </c>
      <c r="BA7" s="16">
        <v>5</v>
      </c>
      <c r="BB7" s="16">
        <v>4.55</v>
      </c>
      <c r="BC7" s="16">
        <v>15</v>
      </c>
      <c r="BD7" s="16">
        <v>10</v>
      </c>
      <c r="BE7" s="16">
        <v>0</v>
      </c>
      <c r="BF7" s="16" t="s">
        <v>69</v>
      </c>
      <c r="BG7" s="16" t="s">
        <v>103</v>
      </c>
      <c r="BH7" s="16">
        <v>15</v>
      </c>
      <c r="BI7" s="16">
        <v>5</v>
      </c>
      <c r="BJ7" s="16">
        <v>96.45</v>
      </c>
      <c r="BK7" s="16">
        <v>4.55</v>
      </c>
      <c r="BL7" s="16">
        <v>10</v>
      </c>
    </row>
    <row r="8" spans="1:64" x14ac:dyDescent="0.25">
      <c r="A8" s="24">
        <v>46272</v>
      </c>
      <c r="B8" s="16" t="s">
        <v>104</v>
      </c>
      <c r="C8" s="25">
        <v>78821</v>
      </c>
      <c r="F8" s="25">
        <v>19099</v>
      </c>
      <c r="G8" s="25">
        <v>291075862</v>
      </c>
      <c r="H8" s="16" t="s">
        <v>64</v>
      </c>
      <c r="I8" s="16" t="s">
        <v>65</v>
      </c>
      <c r="J8" s="16" t="s">
        <v>66</v>
      </c>
      <c r="K8" s="17">
        <v>54</v>
      </c>
      <c r="L8" t="s">
        <v>84</v>
      </c>
      <c r="M8" t="s">
        <v>105</v>
      </c>
      <c r="N8" t="s">
        <v>69</v>
      </c>
      <c r="O8" s="16" t="s">
        <v>70</v>
      </c>
      <c r="P8" t="s">
        <v>71</v>
      </c>
      <c r="Q8" s="19">
        <v>76</v>
      </c>
      <c r="R8" t="s">
        <v>73</v>
      </c>
      <c r="S8" s="19">
        <v>0</v>
      </c>
      <c r="T8" s="19">
        <v>12</v>
      </c>
      <c r="U8" s="19">
        <v>12.78</v>
      </c>
      <c r="V8" s="19">
        <v>88</v>
      </c>
      <c r="W8" s="19">
        <v>88</v>
      </c>
      <c r="X8" t="s">
        <v>73</v>
      </c>
      <c r="Y8" s="20">
        <v>4.7500000000000001E-2</v>
      </c>
      <c r="Z8" s="19">
        <v>3.61</v>
      </c>
      <c r="AA8" s="19">
        <v>84.39</v>
      </c>
      <c r="AB8" s="19">
        <v>3.61</v>
      </c>
      <c r="AC8" t="s">
        <v>73</v>
      </c>
      <c r="AD8" s="19">
        <v>3</v>
      </c>
      <c r="AE8" s="19">
        <v>0.61</v>
      </c>
      <c r="AF8" s="19">
        <v>3.61</v>
      </c>
      <c r="AG8" s="19">
        <v>2.5499999999999998</v>
      </c>
      <c r="AH8" s="19">
        <v>85.45</v>
      </c>
      <c r="AI8" s="19">
        <v>3.61</v>
      </c>
      <c r="AJ8" t="s">
        <v>73</v>
      </c>
      <c r="AK8" s="19">
        <v>0</v>
      </c>
      <c r="AL8" s="19">
        <v>84.39</v>
      </c>
      <c r="AM8" t="b">
        <f t="shared" si="0"/>
        <v>1</v>
      </c>
      <c r="AN8" s="21">
        <f t="shared" si="1"/>
        <v>0</v>
      </c>
      <c r="AO8" s="19">
        <f t="shared" si="2"/>
        <v>0</v>
      </c>
      <c r="AP8" s="22">
        <v>22</v>
      </c>
      <c r="AQ8" s="18">
        <f t="shared" si="3"/>
        <v>12</v>
      </c>
      <c r="AR8" s="18">
        <f t="shared" si="4"/>
        <v>6</v>
      </c>
      <c r="AS8" s="23">
        <f t="shared" si="5"/>
        <v>4</v>
      </c>
      <c r="AT8" s="24">
        <v>46272.061805555553</v>
      </c>
      <c r="AU8" s="16" t="s">
        <v>87</v>
      </c>
      <c r="AV8" s="16">
        <v>291075862</v>
      </c>
      <c r="AW8" s="16">
        <v>737279781</v>
      </c>
      <c r="AX8" s="16" t="s">
        <v>106</v>
      </c>
      <c r="AY8" s="16">
        <v>88</v>
      </c>
      <c r="AZ8" s="16">
        <v>76</v>
      </c>
      <c r="BA8" s="16">
        <v>4.75</v>
      </c>
      <c r="BB8" s="16">
        <v>3.61</v>
      </c>
      <c r="BC8" s="16">
        <v>22</v>
      </c>
      <c r="BD8" s="16">
        <v>6</v>
      </c>
      <c r="BE8" s="16">
        <v>11</v>
      </c>
      <c r="BF8" s="16" t="s">
        <v>69</v>
      </c>
      <c r="BG8" s="16" t="s">
        <v>107</v>
      </c>
      <c r="BH8" s="16">
        <v>10</v>
      </c>
      <c r="BI8" s="16">
        <v>4</v>
      </c>
      <c r="BJ8" s="16">
        <v>90.39</v>
      </c>
      <c r="BK8" s="16">
        <v>3.61</v>
      </c>
      <c r="BL8" s="16">
        <v>18</v>
      </c>
    </row>
    <row r="9" spans="1:64" x14ac:dyDescent="0.25">
      <c r="A9" s="24">
        <v>46272</v>
      </c>
      <c r="B9" s="16" t="s">
        <v>108</v>
      </c>
      <c r="C9" s="25">
        <v>73777</v>
      </c>
      <c r="F9" s="25">
        <v>19102</v>
      </c>
      <c r="G9" s="25">
        <v>291075976</v>
      </c>
      <c r="H9" s="16" t="s">
        <v>64</v>
      </c>
      <c r="I9" s="16" t="s">
        <v>65</v>
      </c>
      <c r="J9" s="16" t="s">
        <v>66</v>
      </c>
      <c r="K9" s="17">
        <v>15941</v>
      </c>
      <c r="L9" t="s">
        <v>109</v>
      </c>
      <c r="M9" t="s">
        <v>73</v>
      </c>
      <c r="N9" t="s">
        <v>69</v>
      </c>
      <c r="O9" s="16" t="s">
        <v>70</v>
      </c>
      <c r="P9" t="s">
        <v>92</v>
      </c>
      <c r="Q9" s="19">
        <v>39</v>
      </c>
      <c r="R9" t="s">
        <v>73</v>
      </c>
      <c r="S9" s="19">
        <v>0</v>
      </c>
      <c r="T9" s="19">
        <v>15</v>
      </c>
      <c r="U9" s="19">
        <v>7.05</v>
      </c>
      <c r="V9" s="19">
        <v>54</v>
      </c>
      <c r="W9" s="19">
        <v>54</v>
      </c>
      <c r="X9" t="s">
        <v>73</v>
      </c>
      <c r="Y9" s="20">
        <v>0.05</v>
      </c>
      <c r="Z9" s="19">
        <v>1.95</v>
      </c>
      <c r="AA9" s="19">
        <v>52.05</v>
      </c>
      <c r="AB9" s="19">
        <v>1.95</v>
      </c>
      <c r="AC9" t="s">
        <v>73</v>
      </c>
      <c r="AD9" s="19">
        <v>1.6</v>
      </c>
      <c r="AE9" s="19">
        <v>0.35</v>
      </c>
      <c r="AF9" s="19">
        <v>1.95</v>
      </c>
      <c r="AG9" s="19">
        <v>54</v>
      </c>
      <c r="AH9" s="19">
        <v>0</v>
      </c>
      <c r="AI9" s="19">
        <v>1.95</v>
      </c>
      <c r="AJ9" t="s">
        <v>73</v>
      </c>
      <c r="AK9" s="19">
        <v>0</v>
      </c>
      <c r="AL9" s="19">
        <v>52.05</v>
      </c>
      <c r="AM9" t="b">
        <f t="shared" si="0"/>
        <v>1</v>
      </c>
      <c r="AN9" s="21">
        <f t="shared" si="1"/>
        <v>0</v>
      </c>
      <c r="AO9" s="19">
        <f t="shared" si="2"/>
        <v>0</v>
      </c>
      <c r="AP9" s="22">
        <v>15</v>
      </c>
      <c r="AQ9" s="18">
        <f t="shared" si="3"/>
        <v>15</v>
      </c>
      <c r="AR9" s="18">
        <f t="shared" si="4"/>
        <v>0</v>
      </c>
      <c r="AS9" s="23">
        <f t="shared" si="5"/>
        <v>0</v>
      </c>
      <c r="AT9" s="24">
        <v>46272.066666666666</v>
      </c>
      <c r="AU9" s="16" t="s">
        <v>109</v>
      </c>
      <c r="AV9" s="16">
        <v>291075976</v>
      </c>
      <c r="AW9" s="16">
        <v>737280432</v>
      </c>
      <c r="AX9" s="16" t="s">
        <v>110</v>
      </c>
      <c r="AY9" s="16">
        <v>54</v>
      </c>
      <c r="AZ9" s="16">
        <v>39</v>
      </c>
      <c r="BA9" s="16">
        <v>5</v>
      </c>
      <c r="BB9" s="16">
        <v>1.95</v>
      </c>
      <c r="BC9" s="16">
        <v>15</v>
      </c>
      <c r="BD9" s="16">
        <v>0</v>
      </c>
      <c r="BE9" s="16">
        <v>14</v>
      </c>
      <c r="BF9" s="16" t="s">
        <v>69</v>
      </c>
      <c r="BG9" s="16" t="s">
        <v>111</v>
      </c>
      <c r="BH9" s="16">
        <v>0</v>
      </c>
      <c r="BI9" s="16">
        <v>0</v>
      </c>
      <c r="BJ9" s="16">
        <v>52.05</v>
      </c>
      <c r="BK9" s="16">
        <v>1.95</v>
      </c>
      <c r="BL9" s="16">
        <v>15</v>
      </c>
    </row>
    <row r="10" spans="1:64" x14ac:dyDescent="0.25">
      <c r="A10" s="24">
        <v>46272</v>
      </c>
      <c r="B10" s="16" t="s">
        <v>112</v>
      </c>
      <c r="C10" s="25">
        <v>51795</v>
      </c>
      <c r="F10" s="25">
        <v>19103</v>
      </c>
      <c r="G10" s="25">
        <v>291076113</v>
      </c>
      <c r="H10" s="16" t="s">
        <v>64</v>
      </c>
      <c r="I10" s="16" t="s">
        <v>65</v>
      </c>
      <c r="J10" s="16" t="s">
        <v>66</v>
      </c>
      <c r="K10" s="17">
        <v>237</v>
      </c>
      <c r="L10" t="s">
        <v>113</v>
      </c>
      <c r="M10" t="s">
        <v>73</v>
      </c>
      <c r="N10" t="s">
        <v>69</v>
      </c>
      <c r="O10" s="16" t="s">
        <v>70</v>
      </c>
      <c r="P10" t="s">
        <v>92</v>
      </c>
      <c r="Q10" s="19">
        <v>63.99</v>
      </c>
      <c r="R10" t="s">
        <v>72</v>
      </c>
      <c r="S10" s="19">
        <v>6.4</v>
      </c>
      <c r="T10" s="19">
        <v>0</v>
      </c>
      <c r="U10" s="19">
        <v>10.31</v>
      </c>
      <c r="V10" s="19">
        <v>57.59</v>
      </c>
      <c r="W10" s="19">
        <v>63.99</v>
      </c>
      <c r="X10" t="s">
        <v>73</v>
      </c>
      <c r="Y10" s="20">
        <v>0.05</v>
      </c>
      <c r="Z10" s="19">
        <v>3.2</v>
      </c>
      <c r="AA10" s="19">
        <v>60.79</v>
      </c>
      <c r="AB10" s="19">
        <v>3.2</v>
      </c>
      <c r="AC10" t="s">
        <v>73</v>
      </c>
      <c r="AD10" s="19">
        <v>2.68</v>
      </c>
      <c r="AE10" s="19">
        <v>0.52</v>
      </c>
      <c r="AF10" s="19">
        <v>3.2</v>
      </c>
      <c r="AG10" s="19">
        <v>57.59</v>
      </c>
      <c r="AH10" s="19">
        <v>0</v>
      </c>
      <c r="AI10" s="19">
        <v>3.2</v>
      </c>
      <c r="AJ10" t="s">
        <v>73</v>
      </c>
      <c r="AK10" s="19">
        <v>0</v>
      </c>
      <c r="AL10" s="19">
        <v>60.79</v>
      </c>
      <c r="AM10" t="b">
        <f t="shared" si="0"/>
        <v>1</v>
      </c>
      <c r="AN10" s="21">
        <f t="shared" si="1"/>
        <v>0</v>
      </c>
      <c r="AO10" s="19">
        <f t="shared" si="2"/>
        <v>5.0000000000016698E-4</v>
      </c>
      <c r="AP10" s="22">
        <v>15</v>
      </c>
      <c r="AQ10" s="18">
        <f t="shared" si="3"/>
        <v>0</v>
      </c>
      <c r="AR10" s="18">
        <f t="shared" si="4"/>
        <v>9.9</v>
      </c>
      <c r="AS10" s="23">
        <f t="shared" si="5"/>
        <v>5.0999999999999996</v>
      </c>
      <c r="AT10" s="24">
        <v>46272.074305555558</v>
      </c>
      <c r="AU10" s="16" t="s">
        <v>114</v>
      </c>
      <c r="AV10" s="16">
        <v>291076113</v>
      </c>
      <c r="AW10" s="16">
        <v>737280469</v>
      </c>
      <c r="AX10" s="16" t="s">
        <v>115</v>
      </c>
      <c r="AY10" s="16">
        <v>63.990001678466797</v>
      </c>
      <c r="AZ10" s="16">
        <v>63.99</v>
      </c>
      <c r="BA10" s="16">
        <v>5</v>
      </c>
      <c r="BB10" s="16">
        <v>3.1995</v>
      </c>
      <c r="BC10" s="16">
        <v>15</v>
      </c>
      <c r="BD10" s="16">
        <v>9.9</v>
      </c>
      <c r="BE10" s="16">
        <v>0</v>
      </c>
      <c r="BF10" s="16" t="s">
        <v>69</v>
      </c>
      <c r="BG10" s="16" t="s">
        <v>116</v>
      </c>
      <c r="BH10" s="16">
        <v>15</v>
      </c>
      <c r="BI10" s="16">
        <v>5.0999999999999996</v>
      </c>
      <c r="BJ10" s="16">
        <v>70.690501678466802</v>
      </c>
      <c r="BK10" s="16">
        <v>3.1995</v>
      </c>
      <c r="BL10" s="16">
        <v>9.9</v>
      </c>
    </row>
    <row r="11" spans="1:64" x14ac:dyDescent="0.25">
      <c r="A11" s="24">
        <v>46272</v>
      </c>
      <c r="B11" s="16" t="s">
        <v>117</v>
      </c>
      <c r="C11" s="25">
        <v>76313</v>
      </c>
      <c r="F11" s="25">
        <v>19104</v>
      </c>
      <c r="G11" s="25">
        <v>291077110</v>
      </c>
      <c r="H11" s="16" t="s">
        <v>64</v>
      </c>
      <c r="I11" s="16" t="s">
        <v>65</v>
      </c>
      <c r="J11" s="16" t="s">
        <v>66</v>
      </c>
      <c r="K11" s="17">
        <v>20</v>
      </c>
      <c r="L11" t="s">
        <v>118</v>
      </c>
      <c r="M11" t="s">
        <v>119</v>
      </c>
      <c r="N11" t="s">
        <v>69</v>
      </c>
      <c r="O11" s="16" t="s">
        <v>70</v>
      </c>
      <c r="P11" t="s">
        <v>71</v>
      </c>
      <c r="Q11" s="19">
        <v>17</v>
      </c>
      <c r="R11" t="s">
        <v>72</v>
      </c>
      <c r="S11" s="19">
        <v>1.7</v>
      </c>
      <c r="T11" s="19">
        <v>15</v>
      </c>
      <c r="U11" s="19">
        <v>4.18</v>
      </c>
      <c r="V11" s="19">
        <v>30.3</v>
      </c>
      <c r="W11" s="19">
        <v>32</v>
      </c>
      <c r="X11" t="s">
        <v>73</v>
      </c>
      <c r="Y11" s="20">
        <v>0.04</v>
      </c>
      <c r="Z11" s="19">
        <v>0.68</v>
      </c>
      <c r="AA11" s="19">
        <v>31.32</v>
      </c>
      <c r="AB11" s="19">
        <v>0.68</v>
      </c>
      <c r="AC11" t="s">
        <v>73</v>
      </c>
      <c r="AD11" s="19">
        <v>0.51</v>
      </c>
      <c r="AE11" s="19">
        <v>0.17</v>
      </c>
      <c r="AF11" s="19">
        <v>0.68</v>
      </c>
      <c r="AG11" s="19">
        <v>0.46</v>
      </c>
      <c r="AH11" s="19">
        <v>29.84</v>
      </c>
      <c r="AI11" s="19">
        <v>0.68</v>
      </c>
      <c r="AJ11" t="s">
        <v>73</v>
      </c>
      <c r="AK11" s="19">
        <v>0</v>
      </c>
      <c r="AL11" s="19">
        <v>31.32</v>
      </c>
      <c r="AM11" t="b">
        <f t="shared" si="0"/>
        <v>1</v>
      </c>
      <c r="AN11" s="21">
        <f t="shared" si="1"/>
        <v>0</v>
      </c>
      <c r="AO11" s="19">
        <f t="shared" si="2"/>
        <v>0</v>
      </c>
      <c r="AP11" s="22">
        <v>15</v>
      </c>
      <c r="AQ11" s="18">
        <f t="shared" si="3"/>
        <v>15</v>
      </c>
      <c r="AR11" s="18">
        <f t="shared" si="4"/>
        <v>0</v>
      </c>
      <c r="AS11" s="23">
        <f t="shared" si="5"/>
        <v>0</v>
      </c>
      <c r="AT11" s="24">
        <v>46272.099305555559</v>
      </c>
      <c r="AU11" s="16" t="s">
        <v>120</v>
      </c>
      <c r="AV11" s="16">
        <v>291077110</v>
      </c>
      <c r="AW11" s="16">
        <v>737288055</v>
      </c>
      <c r="AX11" s="16" t="s">
        <v>121</v>
      </c>
      <c r="AY11" s="16">
        <v>32</v>
      </c>
      <c r="AZ11" s="16">
        <v>17</v>
      </c>
      <c r="BA11" s="16">
        <v>4</v>
      </c>
      <c r="BB11" s="16">
        <v>0.68</v>
      </c>
      <c r="BC11" s="16">
        <v>15</v>
      </c>
      <c r="BD11" s="16">
        <v>0</v>
      </c>
      <c r="BE11" s="16">
        <v>14</v>
      </c>
      <c r="BF11" s="16" t="s">
        <v>69</v>
      </c>
      <c r="BG11" s="16" t="s">
        <v>122</v>
      </c>
      <c r="BH11" s="16">
        <v>0</v>
      </c>
      <c r="BI11" s="16">
        <v>0</v>
      </c>
      <c r="BJ11" s="16">
        <v>31.32</v>
      </c>
      <c r="BK11" s="16">
        <v>0.68</v>
      </c>
      <c r="BL11" s="16">
        <v>15</v>
      </c>
    </row>
    <row r="12" spans="1:64" x14ac:dyDescent="0.25">
      <c r="A12" s="24">
        <v>46272</v>
      </c>
      <c r="B12" s="16" t="s">
        <v>123</v>
      </c>
      <c r="C12" s="25">
        <v>76945</v>
      </c>
      <c r="F12" s="25">
        <v>19105</v>
      </c>
      <c r="G12" s="25">
        <v>291078342</v>
      </c>
      <c r="H12" s="16" t="s">
        <v>64</v>
      </c>
      <c r="I12" s="16" t="s">
        <v>65</v>
      </c>
      <c r="J12" s="16" t="s">
        <v>66</v>
      </c>
      <c r="K12" s="17">
        <v>62</v>
      </c>
      <c r="L12" t="s">
        <v>124</v>
      </c>
      <c r="M12" t="s">
        <v>73</v>
      </c>
      <c r="N12" t="s">
        <v>69</v>
      </c>
      <c r="O12" s="16" t="s">
        <v>70</v>
      </c>
      <c r="P12" t="s">
        <v>92</v>
      </c>
      <c r="Q12" s="19">
        <v>39</v>
      </c>
      <c r="R12" t="s">
        <v>73</v>
      </c>
      <c r="S12" s="19">
        <v>0</v>
      </c>
      <c r="T12" s="19">
        <v>5</v>
      </c>
      <c r="U12" s="19">
        <v>7.05</v>
      </c>
      <c r="V12" s="19">
        <v>44</v>
      </c>
      <c r="W12" s="19">
        <v>44</v>
      </c>
      <c r="X12" t="s">
        <v>73</v>
      </c>
      <c r="Y12" s="20">
        <v>4.7399999999999998E-2</v>
      </c>
      <c r="Z12" s="19">
        <v>1.85</v>
      </c>
      <c r="AA12" s="19">
        <v>42.15</v>
      </c>
      <c r="AB12" s="19">
        <v>1.85</v>
      </c>
      <c r="AC12" t="s">
        <v>73</v>
      </c>
      <c r="AD12" s="19">
        <v>1.52</v>
      </c>
      <c r="AE12" s="19">
        <v>0.33</v>
      </c>
      <c r="AF12" s="19">
        <v>1.85</v>
      </c>
      <c r="AG12" s="19">
        <v>44</v>
      </c>
      <c r="AH12" s="19">
        <v>0</v>
      </c>
      <c r="AI12" s="19">
        <v>1.85</v>
      </c>
      <c r="AJ12" t="s">
        <v>73</v>
      </c>
      <c r="AK12" s="19">
        <v>0</v>
      </c>
      <c r="AL12" s="19">
        <v>42.15</v>
      </c>
      <c r="AM12" t="b">
        <f t="shared" si="0"/>
        <v>1</v>
      </c>
      <c r="AN12" s="21">
        <f t="shared" si="1"/>
        <v>1.0000000000000286E-4</v>
      </c>
      <c r="AO12" s="19">
        <f t="shared" si="2"/>
        <v>-2.4999999999999467E-3</v>
      </c>
      <c r="AP12" s="22">
        <v>15</v>
      </c>
      <c r="AQ12" s="18">
        <f t="shared" si="3"/>
        <v>5</v>
      </c>
      <c r="AR12" s="18">
        <f t="shared" si="4"/>
        <v>6</v>
      </c>
      <c r="AS12" s="23">
        <f t="shared" si="5"/>
        <v>4</v>
      </c>
      <c r="AT12" s="24">
        <v>46272.155555555553</v>
      </c>
      <c r="AU12" s="16" t="s">
        <v>125</v>
      </c>
      <c r="AV12" s="16">
        <v>291078342</v>
      </c>
      <c r="AW12" s="16">
        <v>737299027</v>
      </c>
      <c r="AX12" s="16" t="s">
        <v>126</v>
      </c>
      <c r="AY12" s="16">
        <v>44</v>
      </c>
      <c r="AZ12" s="16">
        <v>39</v>
      </c>
      <c r="BA12" s="16">
        <v>4.75</v>
      </c>
      <c r="BB12" s="16">
        <v>1.8525</v>
      </c>
      <c r="BC12" s="16">
        <v>15</v>
      </c>
      <c r="BD12" s="16">
        <v>6</v>
      </c>
      <c r="BE12" s="16">
        <v>4</v>
      </c>
      <c r="BF12" s="16" t="s">
        <v>69</v>
      </c>
      <c r="BG12" s="16" t="s">
        <v>127</v>
      </c>
      <c r="BH12" s="16">
        <v>10</v>
      </c>
      <c r="BI12" s="16">
        <v>4</v>
      </c>
      <c r="BJ12" s="16">
        <v>48.147500000000001</v>
      </c>
      <c r="BK12" s="16">
        <v>1.8525</v>
      </c>
      <c r="BL12" s="16">
        <v>11</v>
      </c>
    </row>
    <row r="13" spans="1:64" x14ac:dyDescent="0.25">
      <c r="A13" s="24">
        <v>46272</v>
      </c>
      <c r="B13" s="16" t="s">
        <v>128</v>
      </c>
      <c r="C13" s="25">
        <v>60045</v>
      </c>
      <c r="F13" s="25">
        <v>19106</v>
      </c>
      <c r="G13" s="25">
        <v>291079050</v>
      </c>
      <c r="H13" s="16" t="s">
        <v>64</v>
      </c>
      <c r="I13" s="16" t="s">
        <v>65</v>
      </c>
      <c r="J13" s="16" t="s">
        <v>66</v>
      </c>
      <c r="K13" s="17">
        <v>4858</v>
      </c>
      <c r="L13" t="s">
        <v>129</v>
      </c>
      <c r="M13" t="s">
        <v>73</v>
      </c>
      <c r="N13" t="s">
        <v>69</v>
      </c>
      <c r="O13" s="16" t="s">
        <v>70</v>
      </c>
      <c r="P13" t="s">
        <v>92</v>
      </c>
      <c r="Q13" s="19">
        <v>37</v>
      </c>
      <c r="R13" t="s">
        <v>73</v>
      </c>
      <c r="S13" s="19">
        <v>0</v>
      </c>
      <c r="T13" s="19">
        <v>0</v>
      </c>
      <c r="U13" s="19">
        <v>6.79</v>
      </c>
      <c r="V13" s="19">
        <v>37</v>
      </c>
      <c r="W13" s="19">
        <v>37</v>
      </c>
      <c r="X13" t="s">
        <v>73</v>
      </c>
      <c r="Y13" s="20">
        <v>0.05</v>
      </c>
      <c r="Z13" s="19">
        <v>1.85</v>
      </c>
      <c r="AA13" s="19">
        <v>35.15</v>
      </c>
      <c r="AB13" s="19">
        <v>1.85</v>
      </c>
      <c r="AC13" t="s">
        <v>73</v>
      </c>
      <c r="AD13" s="19">
        <v>1.51</v>
      </c>
      <c r="AE13" s="19">
        <v>0.34</v>
      </c>
      <c r="AF13" s="19">
        <v>1.85</v>
      </c>
      <c r="AG13" s="19">
        <v>37</v>
      </c>
      <c r="AH13" s="19">
        <v>0</v>
      </c>
      <c r="AI13" s="19">
        <v>1.85</v>
      </c>
      <c r="AJ13" t="s">
        <v>73</v>
      </c>
      <c r="AK13" s="19">
        <v>0</v>
      </c>
      <c r="AL13" s="19">
        <v>35.15</v>
      </c>
      <c r="AM13" t="b">
        <f t="shared" si="0"/>
        <v>1</v>
      </c>
      <c r="AN13" s="21">
        <f t="shared" si="1"/>
        <v>0</v>
      </c>
      <c r="AO13" s="19">
        <f t="shared" si="2"/>
        <v>0</v>
      </c>
      <c r="AP13" s="22">
        <v>15</v>
      </c>
      <c r="AQ13" s="18">
        <f t="shared" si="3"/>
        <v>0</v>
      </c>
      <c r="AR13" s="18">
        <f t="shared" si="4"/>
        <v>6.9</v>
      </c>
      <c r="AS13" s="23">
        <f t="shared" si="5"/>
        <v>8.1</v>
      </c>
      <c r="AT13" s="24">
        <v>46272.23541666667</v>
      </c>
      <c r="AU13" s="16" t="s">
        <v>129</v>
      </c>
      <c r="AV13" s="16">
        <v>291079050</v>
      </c>
      <c r="AW13" s="16">
        <v>737308492</v>
      </c>
      <c r="AX13" s="16" t="s">
        <v>130</v>
      </c>
      <c r="AY13" s="16">
        <v>37</v>
      </c>
      <c r="AZ13" s="16">
        <v>37</v>
      </c>
      <c r="BA13" s="16">
        <v>5</v>
      </c>
      <c r="BB13" s="16">
        <v>1.85</v>
      </c>
      <c r="BC13" s="16">
        <v>15</v>
      </c>
      <c r="BD13" s="16">
        <v>6.9</v>
      </c>
      <c r="BE13" s="16">
        <v>0</v>
      </c>
      <c r="BF13" s="16" t="s">
        <v>69</v>
      </c>
      <c r="BG13" s="16" t="s">
        <v>131</v>
      </c>
      <c r="BH13" s="16">
        <v>15</v>
      </c>
      <c r="BI13" s="16">
        <v>8.1</v>
      </c>
      <c r="BJ13" s="16">
        <v>42.05</v>
      </c>
      <c r="BK13" s="16">
        <v>1.85</v>
      </c>
      <c r="BL13" s="16">
        <v>6.9</v>
      </c>
    </row>
    <row r="14" spans="1:64" x14ac:dyDescent="0.25">
      <c r="A14" s="24">
        <v>46272</v>
      </c>
      <c r="B14" s="16" t="s">
        <v>132</v>
      </c>
      <c r="C14" s="25">
        <v>8922</v>
      </c>
      <c r="F14" s="25">
        <v>19107</v>
      </c>
      <c r="G14" s="25">
        <v>291087843</v>
      </c>
      <c r="H14" s="16" t="s">
        <v>64</v>
      </c>
      <c r="I14" s="16" t="s">
        <v>65</v>
      </c>
      <c r="J14" s="16" t="s">
        <v>66</v>
      </c>
      <c r="K14" s="17">
        <v>102</v>
      </c>
      <c r="L14" t="s">
        <v>133</v>
      </c>
      <c r="M14" t="s">
        <v>134</v>
      </c>
      <c r="N14" t="s">
        <v>69</v>
      </c>
      <c r="O14" s="16" t="s">
        <v>70</v>
      </c>
      <c r="P14" t="s">
        <v>79</v>
      </c>
      <c r="Q14" s="19">
        <v>119</v>
      </c>
      <c r="R14" t="s">
        <v>73</v>
      </c>
      <c r="S14" s="19">
        <v>0</v>
      </c>
      <c r="T14" s="19">
        <v>2</v>
      </c>
      <c r="U14" s="19">
        <v>17.739999999999998</v>
      </c>
      <c r="V14" s="19">
        <v>121</v>
      </c>
      <c r="W14" s="19">
        <v>121</v>
      </c>
      <c r="X14" t="s">
        <v>73</v>
      </c>
      <c r="Y14" s="20">
        <v>0.05</v>
      </c>
      <c r="Z14" s="19">
        <v>5.95</v>
      </c>
      <c r="AA14" s="19">
        <v>115.05</v>
      </c>
      <c r="AB14" s="19">
        <v>5.95</v>
      </c>
      <c r="AC14" t="s">
        <v>73</v>
      </c>
      <c r="AD14" s="19">
        <v>5.0599999999999996</v>
      </c>
      <c r="AE14" s="19">
        <v>0.89</v>
      </c>
      <c r="AF14" s="19">
        <v>5.95</v>
      </c>
      <c r="AG14" s="19">
        <v>0</v>
      </c>
      <c r="AH14" s="19">
        <v>121</v>
      </c>
      <c r="AI14" s="19">
        <v>5.95</v>
      </c>
      <c r="AJ14" t="s">
        <v>73</v>
      </c>
      <c r="AK14" s="19">
        <v>0</v>
      </c>
      <c r="AL14" s="19">
        <v>115.05</v>
      </c>
      <c r="AM14" t="b">
        <f t="shared" si="0"/>
        <v>1</v>
      </c>
      <c r="AN14" s="21">
        <f t="shared" si="1"/>
        <v>0</v>
      </c>
      <c r="AO14" s="19">
        <f t="shared" si="2"/>
        <v>0</v>
      </c>
      <c r="AP14" s="22">
        <v>17</v>
      </c>
      <c r="AQ14" s="18">
        <f t="shared" si="3"/>
        <v>2</v>
      </c>
      <c r="AR14" s="18">
        <f t="shared" si="4"/>
        <v>4.9499999999999993</v>
      </c>
      <c r="AS14" s="23">
        <f t="shared" si="5"/>
        <v>10.050000000000001</v>
      </c>
      <c r="AT14" s="24">
        <v>46272.425000000003</v>
      </c>
      <c r="AU14" s="16" t="s">
        <v>135</v>
      </c>
      <c r="AV14" s="16">
        <v>291087843</v>
      </c>
      <c r="AW14" s="16">
        <v>737349028</v>
      </c>
      <c r="AX14" s="16" t="s">
        <v>110</v>
      </c>
      <c r="AY14" s="16">
        <v>121</v>
      </c>
      <c r="AZ14" s="16">
        <v>119</v>
      </c>
      <c r="BA14" s="16">
        <v>5</v>
      </c>
      <c r="BB14" s="16">
        <v>5.95</v>
      </c>
      <c r="BC14" s="16">
        <v>17</v>
      </c>
      <c r="BD14" s="16">
        <v>4.95</v>
      </c>
      <c r="BE14" s="16">
        <v>1</v>
      </c>
      <c r="BF14" s="16" t="s">
        <v>69</v>
      </c>
      <c r="BG14" s="16" t="s">
        <v>136</v>
      </c>
      <c r="BH14" s="16">
        <v>15</v>
      </c>
      <c r="BI14" s="16">
        <v>10.050000000000001</v>
      </c>
      <c r="BJ14" s="16">
        <v>120</v>
      </c>
      <c r="BK14" s="16">
        <v>5.95</v>
      </c>
      <c r="BL14" s="16">
        <v>6.9499999999999993</v>
      </c>
    </row>
    <row r="15" spans="1:64" x14ac:dyDescent="0.25">
      <c r="A15" s="24">
        <v>46272</v>
      </c>
      <c r="B15" s="16" t="s">
        <v>137</v>
      </c>
      <c r="C15" s="25">
        <v>36666</v>
      </c>
      <c r="F15" s="25">
        <v>19108</v>
      </c>
      <c r="G15" s="25">
        <v>291103361</v>
      </c>
      <c r="H15" s="16" t="s">
        <v>64</v>
      </c>
      <c r="I15" s="16" t="s">
        <v>65</v>
      </c>
      <c r="J15" s="16" t="s">
        <v>66</v>
      </c>
      <c r="K15" s="17">
        <v>4816</v>
      </c>
      <c r="L15" t="s">
        <v>138</v>
      </c>
      <c r="M15" t="s">
        <v>139</v>
      </c>
      <c r="N15" t="s">
        <v>69</v>
      </c>
      <c r="O15" s="16" t="s">
        <v>70</v>
      </c>
      <c r="P15" t="s">
        <v>79</v>
      </c>
      <c r="Q15" s="19">
        <v>139</v>
      </c>
      <c r="R15" t="s">
        <v>72</v>
      </c>
      <c r="S15" s="19">
        <v>13.9</v>
      </c>
      <c r="T15" s="19">
        <v>7</v>
      </c>
      <c r="U15" s="19">
        <v>21</v>
      </c>
      <c r="V15" s="19">
        <v>132.1</v>
      </c>
      <c r="W15" s="19">
        <v>146</v>
      </c>
      <c r="X15" t="s">
        <v>73</v>
      </c>
      <c r="Y15" s="20">
        <v>0.05</v>
      </c>
      <c r="Z15" s="19">
        <v>6.95</v>
      </c>
      <c r="AA15" s="19">
        <v>139.05000000000001</v>
      </c>
      <c r="AB15" s="19">
        <v>6.95</v>
      </c>
      <c r="AC15" t="s">
        <v>73</v>
      </c>
      <c r="AD15" s="19">
        <v>5.9</v>
      </c>
      <c r="AE15" s="19">
        <v>1.05</v>
      </c>
      <c r="AF15" s="19">
        <v>6.95</v>
      </c>
      <c r="AG15" s="19">
        <v>0</v>
      </c>
      <c r="AH15" s="19">
        <v>132.1</v>
      </c>
      <c r="AI15" s="19">
        <v>6.95</v>
      </c>
      <c r="AJ15" t="s">
        <v>73</v>
      </c>
      <c r="AK15" s="19">
        <v>0</v>
      </c>
      <c r="AL15" s="19">
        <v>139.05000000000001</v>
      </c>
      <c r="AM15" t="b">
        <f t="shared" si="0"/>
        <v>1</v>
      </c>
      <c r="AN15" s="21">
        <f t="shared" si="1"/>
        <v>0</v>
      </c>
      <c r="AO15" s="19">
        <f t="shared" si="2"/>
        <v>0</v>
      </c>
      <c r="AP15" s="22">
        <v>22</v>
      </c>
      <c r="AQ15" s="18">
        <f t="shared" si="3"/>
        <v>7</v>
      </c>
      <c r="AR15" s="18">
        <f t="shared" si="4"/>
        <v>4.9499999999999993</v>
      </c>
      <c r="AS15" s="23">
        <f t="shared" si="5"/>
        <v>10.050000000000001</v>
      </c>
      <c r="AT15" s="24">
        <v>46272.559027777781</v>
      </c>
      <c r="AU15" s="16" t="s">
        <v>140</v>
      </c>
      <c r="AV15" s="16">
        <v>291103361</v>
      </c>
      <c r="AW15" s="16">
        <v>737397587</v>
      </c>
      <c r="AX15" s="16" t="s">
        <v>141</v>
      </c>
      <c r="AY15" s="16">
        <v>146</v>
      </c>
      <c r="AZ15" s="16">
        <v>139</v>
      </c>
      <c r="BA15" s="16">
        <v>5</v>
      </c>
      <c r="BB15" s="16">
        <v>6.95</v>
      </c>
      <c r="BC15" s="16">
        <v>22</v>
      </c>
      <c r="BD15" s="16">
        <v>4.95</v>
      </c>
      <c r="BE15" s="16">
        <v>6</v>
      </c>
      <c r="BF15" s="16" t="s">
        <v>69</v>
      </c>
      <c r="BG15" s="16" t="s">
        <v>142</v>
      </c>
      <c r="BH15" s="16">
        <v>15</v>
      </c>
      <c r="BI15" s="16">
        <v>10.050000000000001</v>
      </c>
      <c r="BJ15" s="16">
        <v>144</v>
      </c>
      <c r="BK15" s="16">
        <v>6.95</v>
      </c>
      <c r="BL15" s="16">
        <v>11.95</v>
      </c>
    </row>
    <row r="16" spans="1:64" x14ac:dyDescent="0.25">
      <c r="A16" s="24">
        <v>46272</v>
      </c>
      <c r="B16" s="16" t="s">
        <v>143</v>
      </c>
      <c r="C16" s="25">
        <v>54119</v>
      </c>
      <c r="F16" s="25">
        <v>19112</v>
      </c>
      <c r="G16" s="25">
        <v>291112329</v>
      </c>
      <c r="H16" s="16" t="s">
        <v>64</v>
      </c>
      <c r="I16" s="16" t="s">
        <v>65</v>
      </c>
      <c r="J16" s="16" t="s">
        <v>66</v>
      </c>
      <c r="K16" s="17">
        <v>15150</v>
      </c>
      <c r="L16" t="s">
        <v>91</v>
      </c>
      <c r="M16" t="s">
        <v>73</v>
      </c>
      <c r="N16" t="s">
        <v>69</v>
      </c>
      <c r="O16" s="16" t="s">
        <v>70</v>
      </c>
      <c r="P16" t="s">
        <v>92</v>
      </c>
      <c r="Q16" s="19">
        <v>29</v>
      </c>
      <c r="R16" t="s">
        <v>73</v>
      </c>
      <c r="S16" s="19">
        <v>0</v>
      </c>
      <c r="T16" s="19">
        <v>17</v>
      </c>
      <c r="U16" s="19">
        <v>6</v>
      </c>
      <c r="V16" s="19">
        <v>46</v>
      </c>
      <c r="W16" s="19">
        <v>46</v>
      </c>
      <c r="X16" t="s">
        <v>73</v>
      </c>
      <c r="Y16" s="20">
        <v>0.05</v>
      </c>
      <c r="Z16" s="19">
        <v>1.45</v>
      </c>
      <c r="AA16" s="19">
        <v>44.55</v>
      </c>
      <c r="AB16" s="19">
        <v>1.45</v>
      </c>
      <c r="AC16" t="s">
        <v>73</v>
      </c>
      <c r="AD16" s="19">
        <v>1.1499999999999999</v>
      </c>
      <c r="AE16" s="19">
        <v>0.3</v>
      </c>
      <c r="AF16" s="19">
        <v>1.45</v>
      </c>
      <c r="AG16" s="19">
        <v>46</v>
      </c>
      <c r="AH16" s="19">
        <v>0</v>
      </c>
      <c r="AI16" s="19">
        <v>1.45</v>
      </c>
      <c r="AJ16" t="s">
        <v>73</v>
      </c>
      <c r="AK16" s="19">
        <v>0</v>
      </c>
      <c r="AL16" s="19">
        <v>44.55</v>
      </c>
      <c r="AM16" t="b">
        <f t="shared" si="0"/>
        <v>1</v>
      </c>
      <c r="AN16" s="21">
        <f t="shared" si="1"/>
        <v>0</v>
      </c>
      <c r="AO16" s="19">
        <f t="shared" si="2"/>
        <v>0</v>
      </c>
      <c r="AP16" s="22">
        <v>17</v>
      </c>
      <c r="AQ16" s="18">
        <f t="shared" si="3"/>
        <v>17</v>
      </c>
      <c r="AR16" s="18">
        <f t="shared" si="4"/>
        <v>0</v>
      </c>
      <c r="AS16" s="23">
        <f t="shared" si="5"/>
        <v>0</v>
      </c>
      <c r="AT16" s="24">
        <v>46272.602083333331</v>
      </c>
      <c r="AU16" s="16" t="s">
        <v>93</v>
      </c>
      <c r="AV16" s="16">
        <v>291112329</v>
      </c>
      <c r="AW16" s="16">
        <v>737421213</v>
      </c>
      <c r="AX16" s="16" t="s">
        <v>110</v>
      </c>
      <c r="AY16" s="16">
        <v>46</v>
      </c>
      <c r="AZ16" s="16">
        <v>29</v>
      </c>
      <c r="BA16" s="16">
        <v>5</v>
      </c>
      <c r="BB16" s="16">
        <v>1.45</v>
      </c>
      <c r="BC16" s="16">
        <v>17</v>
      </c>
      <c r="BD16" s="16">
        <v>0</v>
      </c>
      <c r="BE16" s="16">
        <v>16</v>
      </c>
      <c r="BF16" s="16" t="s">
        <v>69</v>
      </c>
      <c r="BG16" s="16" t="s">
        <v>144</v>
      </c>
      <c r="BH16" s="16">
        <v>0</v>
      </c>
      <c r="BI16" s="16">
        <v>0</v>
      </c>
      <c r="BJ16" s="16">
        <v>44.55</v>
      </c>
      <c r="BK16" s="16">
        <v>1.45</v>
      </c>
      <c r="BL16" s="16">
        <v>17</v>
      </c>
    </row>
    <row r="17" spans="1:64" x14ac:dyDescent="0.25">
      <c r="A17" s="24">
        <v>46272</v>
      </c>
      <c r="B17" s="16" t="s">
        <v>145</v>
      </c>
      <c r="C17" s="25">
        <v>78899</v>
      </c>
      <c r="F17" s="25">
        <v>19114</v>
      </c>
      <c r="G17" s="25">
        <v>291114350</v>
      </c>
      <c r="H17" s="16" t="s">
        <v>64</v>
      </c>
      <c r="I17" s="16" t="s">
        <v>65</v>
      </c>
      <c r="J17" s="16" t="s">
        <v>66</v>
      </c>
      <c r="K17" s="17">
        <v>107</v>
      </c>
      <c r="L17" t="s">
        <v>146</v>
      </c>
      <c r="M17" t="s">
        <v>147</v>
      </c>
      <c r="N17" t="s">
        <v>69</v>
      </c>
      <c r="O17" s="16" t="s">
        <v>70</v>
      </c>
      <c r="P17" t="s">
        <v>71</v>
      </c>
      <c r="Q17" s="19">
        <v>65</v>
      </c>
      <c r="R17" t="s">
        <v>73</v>
      </c>
      <c r="S17" s="19">
        <v>0</v>
      </c>
      <c r="T17" s="19">
        <v>0</v>
      </c>
      <c r="U17" s="19">
        <v>10.44</v>
      </c>
      <c r="V17" s="19">
        <v>65</v>
      </c>
      <c r="W17" s="19">
        <v>65</v>
      </c>
      <c r="X17" t="s">
        <v>73</v>
      </c>
      <c r="Y17" s="20">
        <v>0.05</v>
      </c>
      <c r="Z17" s="19">
        <v>3.25</v>
      </c>
      <c r="AA17" s="19">
        <v>61.75</v>
      </c>
      <c r="AB17" s="19">
        <v>3.25</v>
      </c>
      <c r="AC17" t="s">
        <v>73</v>
      </c>
      <c r="AD17" s="19">
        <v>2.73</v>
      </c>
      <c r="AE17" s="19">
        <v>0.52</v>
      </c>
      <c r="AF17" s="19">
        <v>3.25</v>
      </c>
      <c r="AG17" s="19">
        <v>49</v>
      </c>
      <c r="AH17" s="19">
        <v>16</v>
      </c>
      <c r="AI17" s="19">
        <v>3.25</v>
      </c>
      <c r="AJ17" t="s">
        <v>73</v>
      </c>
      <c r="AK17" s="19">
        <v>0</v>
      </c>
      <c r="AL17" s="19">
        <v>61.75</v>
      </c>
      <c r="AM17" t="b">
        <f t="shared" si="0"/>
        <v>1</v>
      </c>
      <c r="AN17" s="21">
        <f t="shared" si="1"/>
        <v>0</v>
      </c>
      <c r="AO17" s="19">
        <f t="shared" si="2"/>
        <v>0</v>
      </c>
      <c r="AP17" s="22">
        <v>15</v>
      </c>
      <c r="AQ17" s="18">
        <f t="shared" si="3"/>
        <v>0</v>
      </c>
      <c r="AR17" s="18">
        <f t="shared" si="4"/>
        <v>5</v>
      </c>
      <c r="AS17" s="23">
        <f t="shared" si="5"/>
        <v>10</v>
      </c>
      <c r="AT17" s="24">
        <v>46272.611111111109</v>
      </c>
      <c r="AU17" s="16" t="s">
        <v>148</v>
      </c>
      <c r="AV17" s="16">
        <v>291114350</v>
      </c>
      <c r="AW17" s="16">
        <v>737424033</v>
      </c>
      <c r="AX17" s="16" t="s">
        <v>149</v>
      </c>
      <c r="AY17" s="16">
        <v>65</v>
      </c>
      <c r="AZ17" s="16">
        <v>65</v>
      </c>
      <c r="BA17" s="16">
        <v>5</v>
      </c>
      <c r="BB17" s="16">
        <v>3.25</v>
      </c>
      <c r="BC17" s="16">
        <v>15</v>
      </c>
      <c r="BD17" s="16">
        <v>5</v>
      </c>
      <c r="BE17" s="16">
        <v>0</v>
      </c>
      <c r="BF17" s="16" t="s">
        <v>69</v>
      </c>
      <c r="BG17" s="16" t="s">
        <v>150</v>
      </c>
      <c r="BH17" s="16">
        <v>15</v>
      </c>
      <c r="BI17" s="16">
        <v>10</v>
      </c>
      <c r="BJ17" s="16">
        <v>66.75</v>
      </c>
      <c r="BK17" s="16">
        <v>3.25</v>
      </c>
      <c r="BL17" s="16">
        <v>5</v>
      </c>
    </row>
    <row r="18" spans="1:64" x14ac:dyDescent="0.25">
      <c r="A18" s="24">
        <v>46272</v>
      </c>
      <c r="B18" s="16" t="s">
        <v>151</v>
      </c>
      <c r="C18" s="25">
        <v>75697</v>
      </c>
      <c r="F18" s="25">
        <v>19115</v>
      </c>
      <c r="G18" s="25">
        <v>291114746</v>
      </c>
      <c r="H18" s="16" t="s">
        <v>64</v>
      </c>
      <c r="I18" s="16" t="s">
        <v>65</v>
      </c>
      <c r="J18" s="16" t="s">
        <v>66</v>
      </c>
      <c r="K18" s="17">
        <v>8912</v>
      </c>
      <c r="L18" t="s">
        <v>152</v>
      </c>
      <c r="M18" t="s">
        <v>153</v>
      </c>
      <c r="N18" t="s">
        <v>69</v>
      </c>
      <c r="O18" s="16" t="s">
        <v>70</v>
      </c>
      <c r="P18" t="s">
        <v>71</v>
      </c>
      <c r="Q18" s="19">
        <v>36.4</v>
      </c>
      <c r="R18" t="s">
        <v>73</v>
      </c>
      <c r="S18" s="19">
        <v>0</v>
      </c>
      <c r="T18" s="19">
        <v>0</v>
      </c>
      <c r="U18" s="19">
        <v>6.71</v>
      </c>
      <c r="V18" s="19">
        <v>36.4</v>
      </c>
      <c r="W18" s="19">
        <v>36.4</v>
      </c>
      <c r="X18" t="s">
        <v>73</v>
      </c>
      <c r="Y18" s="20">
        <v>0.05</v>
      </c>
      <c r="Z18" s="19">
        <v>1.82</v>
      </c>
      <c r="AA18" s="19">
        <v>34.58</v>
      </c>
      <c r="AB18" s="19">
        <v>1.82</v>
      </c>
      <c r="AC18" t="s">
        <v>73</v>
      </c>
      <c r="AD18" s="19">
        <v>1.48</v>
      </c>
      <c r="AE18" s="19">
        <v>0.34</v>
      </c>
      <c r="AF18" s="19">
        <v>1.82</v>
      </c>
      <c r="AG18" s="19">
        <v>0.36</v>
      </c>
      <c r="AH18" s="19">
        <v>36.04</v>
      </c>
      <c r="AI18" s="19">
        <v>1.82</v>
      </c>
      <c r="AJ18" t="s">
        <v>73</v>
      </c>
      <c r="AK18" s="19">
        <v>0</v>
      </c>
      <c r="AL18" s="19">
        <v>34.58</v>
      </c>
      <c r="AM18" t="b">
        <f t="shared" si="0"/>
        <v>1</v>
      </c>
      <c r="AN18" s="21">
        <f t="shared" si="1"/>
        <v>0</v>
      </c>
      <c r="AO18" s="19">
        <f t="shared" si="2"/>
        <v>0</v>
      </c>
      <c r="AP18" s="22">
        <v>15</v>
      </c>
      <c r="AQ18" s="18">
        <f t="shared" si="3"/>
        <v>0</v>
      </c>
      <c r="AR18" s="18">
        <f t="shared" si="4"/>
        <v>5</v>
      </c>
      <c r="AS18" s="23">
        <f t="shared" si="5"/>
        <v>10</v>
      </c>
      <c r="AT18" s="24">
        <v>46272.611111111109</v>
      </c>
      <c r="AU18" s="16" t="s">
        <v>154</v>
      </c>
      <c r="AV18" s="16">
        <v>291114746</v>
      </c>
      <c r="AW18" s="16">
        <v>737429699</v>
      </c>
      <c r="AX18" s="16" t="s">
        <v>110</v>
      </c>
      <c r="AY18" s="16">
        <v>36.400001525878906</v>
      </c>
      <c r="AZ18" s="16">
        <v>36.4</v>
      </c>
      <c r="BA18" s="16">
        <v>5</v>
      </c>
      <c r="BB18" s="16">
        <v>1.82</v>
      </c>
      <c r="BC18" s="16">
        <v>15</v>
      </c>
      <c r="BD18" s="16">
        <v>5</v>
      </c>
      <c r="BE18" s="16">
        <v>0</v>
      </c>
      <c r="BF18" s="16" t="s">
        <v>69</v>
      </c>
      <c r="BG18" s="16" t="s">
        <v>155</v>
      </c>
      <c r="BH18" s="16">
        <v>15</v>
      </c>
      <c r="BI18" s="16">
        <v>10</v>
      </c>
      <c r="BJ18" s="16">
        <v>39.580001525878906</v>
      </c>
      <c r="BK18" s="16">
        <v>1.82</v>
      </c>
      <c r="BL18" s="16">
        <v>5</v>
      </c>
    </row>
    <row r="19" spans="1:64" x14ac:dyDescent="0.25">
      <c r="A19" s="24">
        <v>46272</v>
      </c>
      <c r="B19" s="16" t="s">
        <v>156</v>
      </c>
      <c r="C19" s="25">
        <v>70311</v>
      </c>
      <c r="F19" s="25">
        <v>19117</v>
      </c>
      <c r="G19" s="25">
        <v>291117572</v>
      </c>
      <c r="H19" s="16" t="s">
        <v>64</v>
      </c>
      <c r="I19" s="16" t="s">
        <v>65</v>
      </c>
      <c r="J19" s="16" t="s">
        <v>66</v>
      </c>
      <c r="K19" s="17">
        <v>23</v>
      </c>
      <c r="L19" t="s">
        <v>157</v>
      </c>
      <c r="M19" t="s">
        <v>158</v>
      </c>
      <c r="N19" t="s">
        <v>69</v>
      </c>
      <c r="O19" s="16" t="s">
        <v>70</v>
      </c>
      <c r="P19" t="s">
        <v>71</v>
      </c>
      <c r="Q19" s="19">
        <v>46</v>
      </c>
      <c r="R19" t="s">
        <v>72</v>
      </c>
      <c r="S19" s="19">
        <v>4.5999999999999996</v>
      </c>
      <c r="T19" s="19">
        <v>8</v>
      </c>
      <c r="U19" s="19">
        <v>7.96</v>
      </c>
      <c r="V19" s="19">
        <v>49.4</v>
      </c>
      <c r="W19" s="19">
        <v>54</v>
      </c>
      <c r="X19" t="s">
        <v>73</v>
      </c>
      <c r="Y19" s="20">
        <v>0.05</v>
      </c>
      <c r="Z19" s="19">
        <v>2.2999999999999998</v>
      </c>
      <c r="AA19" s="19">
        <v>51.7</v>
      </c>
      <c r="AB19" s="19">
        <v>2.2999999999999998</v>
      </c>
      <c r="AC19" t="s">
        <v>73</v>
      </c>
      <c r="AD19" s="19">
        <v>1.9</v>
      </c>
      <c r="AE19" s="19">
        <v>0.4</v>
      </c>
      <c r="AF19" s="19">
        <v>2.2999999999999998</v>
      </c>
      <c r="AG19" s="19">
        <v>20</v>
      </c>
      <c r="AH19" s="19">
        <v>29.4</v>
      </c>
      <c r="AI19" s="19">
        <v>2.2999999999999998</v>
      </c>
      <c r="AJ19" t="s">
        <v>73</v>
      </c>
      <c r="AK19" s="19">
        <v>0</v>
      </c>
      <c r="AL19" s="19">
        <v>51.7</v>
      </c>
      <c r="AM19" t="b">
        <f t="shared" si="0"/>
        <v>1</v>
      </c>
      <c r="AN19" s="21">
        <f t="shared" si="1"/>
        <v>0</v>
      </c>
      <c r="AO19" s="19">
        <f t="shared" si="2"/>
        <v>0</v>
      </c>
      <c r="AP19" s="22">
        <v>15</v>
      </c>
      <c r="AQ19" s="18">
        <f t="shared" si="3"/>
        <v>8</v>
      </c>
      <c r="AR19" s="18">
        <f t="shared" si="4"/>
        <v>3.5</v>
      </c>
      <c r="AS19" s="23">
        <f t="shared" si="5"/>
        <v>3.5</v>
      </c>
      <c r="AT19" s="24">
        <v>46272.627083333333</v>
      </c>
      <c r="AU19" s="16" t="s">
        <v>159</v>
      </c>
      <c r="AV19" s="16">
        <v>291117572</v>
      </c>
      <c r="AW19" s="16">
        <v>737435964</v>
      </c>
      <c r="AX19" s="16" t="s">
        <v>160</v>
      </c>
      <c r="AY19" s="16">
        <v>54</v>
      </c>
      <c r="AZ19" s="16">
        <v>46</v>
      </c>
      <c r="BA19" s="16">
        <v>5</v>
      </c>
      <c r="BB19" s="16">
        <v>2.2999999999999998</v>
      </c>
      <c r="BC19" s="16">
        <v>15</v>
      </c>
      <c r="BD19" s="16">
        <v>3.5</v>
      </c>
      <c r="BE19" s="16">
        <v>7</v>
      </c>
      <c r="BF19" s="16" t="s">
        <v>69</v>
      </c>
      <c r="BG19" s="16" t="s">
        <v>161</v>
      </c>
      <c r="BH19" s="16">
        <v>7</v>
      </c>
      <c r="BI19" s="16">
        <v>3.5</v>
      </c>
      <c r="BJ19" s="16">
        <v>55.2</v>
      </c>
      <c r="BK19" s="16">
        <v>2.2999999999999998</v>
      </c>
      <c r="BL19" s="16">
        <v>11.5</v>
      </c>
    </row>
    <row r="20" spans="1:64" x14ac:dyDescent="0.25">
      <c r="A20" s="24">
        <v>46272</v>
      </c>
      <c r="B20" s="16" t="s">
        <v>162</v>
      </c>
      <c r="C20" s="25">
        <v>76470</v>
      </c>
      <c r="F20" s="25">
        <v>19118</v>
      </c>
      <c r="G20" s="25">
        <v>291119412</v>
      </c>
      <c r="H20" s="16" t="s">
        <v>64</v>
      </c>
      <c r="I20" s="16" t="s">
        <v>65</v>
      </c>
      <c r="J20" s="16" t="s">
        <v>66</v>
      </c>
      <c r="K20" s="17">
        <v>169</v>
      </c>
      <c r="L20" t="s">
        <v>163</v>
      </c>
      <c r="M20" t="s">
        <v>164</v>
      </c>
      <c r="N20" t="s">
        <v>69</v>
      </c>
      <c r="O20" s="16" t="s">
        <v>70</v>
      </c>
      <c r="P20" t="s">
        <v>71</v>
      </c>
      <c r="Q20" s="19">
        <v>79</v>
      </c>
      <c r="R20" t="s">
        <v>73</v>
      </c>
      <c r="S20" s="19">
        <v>0</v>
      </c>
      <c r="T20" s="19">
        <v>13</v>
      </c>
      <c r="U20" s="19">
        <v>13.95</v>
      </c>
      <c r="V20" s="19">
        <v>92</v>
      </c>
      <c r="W20" s="19">
        <v>92</v>
      </c>
      <c r="X20" t="s">
        <v>73</v>
      </c>
      <c r="Y20" s="20">
        <v>0.05</v>
      </c>
      <c r="Z20" s="19">
        <v>3.95</v>
      </c>
      <c r="AA20" s="19">
        <v>88.05</v>
      </c>
      <c r="AB20" s="19">
        <v>3.95</v>
      </c>
      <c r="AC20" t="s">
        <v>73</v>
      </c>
      <c r="AD20" s="19">
        <v>3.25</v>
      </c>
      <c r="AE20" s="19">
        <v>0.7</v>
      </c>
      <c r="AF20" s="19">
        <v>3.95</v>
      </c>
      <c r="AG20" s="19">
        <v>0.46</v>
      </c>
      <c r="AH20" s="19">
        <v>91.54</v>
      </c>
      <c r="AI20" s="19">
        <v>3.95</v>
      </c>
      <c r="AJ20" t="s">
        <v>73</v>
      </c>
      <c r="AK20" s="19">
        <v>0</v>
      </c>
      <c r="AL20" s="19">
        <v>88.05</v>
      </c>
      <c r="AM20" t="b">
        <f t="shared" si="0"/>
        <v>1</v>
      </c>
      <c r="AN20" s="21">
        <f t="shared" si="1"/>
        <v>0</v>
      </c>
      <c r="AO20" s="19">
        <f t="shared" si="2"/>
        <v>0</v>
      </c>
      <c r="AP20" s="22">
        <v>28</v>
      </c>
      <c r="AQ20" s="18">
        <f t="shared" si="3"/>
        <v>13</v>
      </c>
      <c r="AR20" s="18">
        <f t="shared" si="4"/>
        <v>7.95</v>
      </c>
      <c r="AS20" s="23">
        <f t="shared" si="5"/>
        <v>7.05</v>
      </c>
      <c r="AT20" s="24">
        <v>46272.644444444442</v>
      </c>
      <c r="AU20" s="16" t="s">
        <v>165</v>
      </c>
      <c r="AV20" s="16">
        <v>291119412</v>
      </c>
      <c r="AW20" s="16">
        <v>737442612</v>
      </c>
      <c r="AX20" s="16" t="s">
        <v>110</v>
      </c>
      <c r="AY20" s="16">
        <v>92</v>
      </c>
      <c r="AZ20" s="16">
        <v>79</v>
      </c>
      <c r="BA20" s="16">
        <v>5</v>
      </c>
      <c r="BB20" s="16">
        <v>3.95</v>
      </c>
      <c r="BC20" s="16">
        <v>28</v>
      </c>
      <c r="BD20" s="16">
        <v>7.95</v>
      </c>
      <c r="BE20" s="16">
        <v>12</v>
      </c>
      <c r="BF20" s="16" t="s">
        <v>69</v>
      </c>
      <c r="BG20" s="16" t="s">
        <v>166</v>
      </c>
      <c r="BH20" s="16">
        <v>15</v>
      </c>
      <c r="BI20" s="16">
        <v>7.05</v>
      </c>
      <c r="BJ20" s="16">
        <v>96</v>
      </c>
      <c r="BK20" s="16">
        <v>3.95</v>
      </c>
      <c r="BL20" s="16">
        <v>20.95</v>
      </c>
    </row>
    <row r="21" spans="1:64" x14ac:dyDescent="0.25">
      <c r="A21" s="24">
        <v>46272</v>
      </c>
      <c r="B21" s="16" t="s">
        <v>167</v>
      </c>
      <c r="C21" s="25">
        <v>77132</v>
      </c>
      <c r="F21" s="25">
        <v>19119</v>
      </c>
      <c r="G21" s="25">
        <v>291119930</v>
      </c>
      <c r="H21" s="16" t="s">
        <v>64</v>
      </c>
      <c r="I21" s="16" t="s">
        <v>65</v>
      </c>
      <c r="J21" s="16" t="s">
        <v>66</v>
      </c>
      <c r="K21" s="17">
        <v>20</v>
      </c>
      <c r="L21" t="s">
        <v>118</v>
      </c>
      <c r="M21" t="s">
        <v>168</v>
      </c>
      <c r="N21" t="s">
        <v>69</v>
      </c>
      <c r="O21" s="16" t="s">
        <v>70</v>
      </c>
      <c r="P21" t="s">
        <v>169</v>
      </c>
      <c r="Q21" s="19">
        <v>35.5</v>
      </c>
      <c r="R21" t="s">
        <v>73</v>
      </c>
      <c r="S21" s="19">
        <v>0</v>
      </c>
      <c r="T21" s="19">
        <v>9</v>
      </c>
      <c r="U21" s="19">
        <v>6.59</v>
      </c>
      <c r="V21" s="19">
        <v>44.5</v>
      </c>
      <c r="W21" s="19">
        <v>44.5</v>
      </c>
      <c r="X21" t="s">
        <v>73</v>
      </c>
      <c r="Y21" s="20">
        <v>0.04</v>
      </c>
      <c r="Z21" s="19">
        <v>1.42</v>
      </c>
      <c r="AA21" s="19">
        <v>43.08</v>
      </c>
      <c r="AB21" s="19">
        <v>1.42</v>
      </c>
      <c r="AC21" t="s">
        <v>73</v>
      </c>
      <c r="AD21" s="19">
        <v>1.1599999999999999</v>
      </c>
      <c r="AE21" s="19">
        <v>0.26</v>
      </c>
      <c r="AF21" s="19">
        <v>1.42</v>
      </c>
      <c r="AG21" s="19">
        <v>0.41</v>
      </c>
      <c r="AH21" s="19">
        <v>44.09</v>
      </c>
      <c r="AI21" s="19">
        <v>1.42</v>
      </c>
      <c r="AJ21" t="s">
        <v>73</v>
      </c>
      <c r="AK21" s="19">
        <v>0</v>
      </c>
      <c r="AL21" s="19">
        <v>43.08</v>
      </c>
      <c r="AM21" t="b">
        <f t="shared" si="0"/>
        <v>1</v>
      </c>
      <c r="AN21" s="21">
        <f t="shared" si="1"/>
        <v>0</v>
      </c>
      <c r="AO21" s="19">
        <f t="shared" si="2"/>
        <v>0</v>
      </c>
      <c r="AP21" s="22">
        <v>15</v>
      </c>
      <c r="AQ21" s="18">
        <f t="shared" si="3"/>
        <v>9</v>
      </c>
      <c r="AR21" s="18">
        <f t="shared" si="4"/>
        <v>6</v>
      </c>
      <c r="AS21" s="23">
        <f t="shared" si="5"/>
        <v>0</v>
      </c>
      <c r="AT21" s="24">
        <v>46272.63958333333</v>
      </c>
      <c r="AU21" s="16" t="s">
        <v>120</v>
      </c>
      <c r="AV21" s="16">
        <v>291119930</v>
      </c>
      <c r="AW21" s="16">
        <v>737443739</v>
      </c>
      <c r="AX21" s="16" t="s">
        <v>170</v>
      </c>
      <c r="AY21" s="16">
        <v>44.5</v>
      </c>
      <c r="AZ21" s="16">
        <v>35.5</v>
      </c>
      <c r="BA21" s="16">
        <v>4</v>
      </c>
      <c r="BB21" s="16">
        <v>1.42</v>
      </c>
      <c r="BC21" s="16">
        <v>15</v>
      </c>
      <c r="BD21" s="16">
        <v>6</v>
      </c>
      <c r="BE21" s="16">
        <v>8</v>
      </c>
      <c r="BF21" s="16" t="s">
        <v>69</v>
      </c>
      <c r="BG21" s="16" t="s">
        <v>171</v>
      </c>
      <c r="BH21" s="16">
        <v>6</v>
      </c>
      <c r="BI21" s="16">
        <v>0</v>
      </c>
      <c r="BJ21" s="16">
        <v>49.08</v>
      </c>
      <c r="BK21" s="16">
        <v>1.42</v>
      </c>
      <c r="BL21" s="16">
        <v>15</v>
      </c>
    </row>
    <row r="22" spans="1:64" x14ac:dyDescent="0.25">
      <c r="A22" s="24">
        <v>46272</v>
      </c>
      <c r="B22" s="16" t="s">
        <v>172</v>
      </c>
      <c r="C22" s="25">
        <v>67420</v>
      </c>
      <c r="F22" s="25">
        <v>19122</v>
      </c>
      <c r="G22" s="25">
        <v>291121798</v>
      </c>
      <c r="H22" s="16" t="s">
        <v>64</v>
      </c>
      <c r="I22" s="16" t="s">
        <v>65</v>
      </c>
      <c r="J22" s="16" t="s">
        <v>66</v>
      </c>
      <c r="K22" s="17">
        <v>6</v>
      </c>
      <c r="L22" t="s">
        <v>173</v>
      </c>
      <c r="M22" t="s">
        <v>174</v>
      </c>
      <c r="N22" t="s">
        <v>69</v>
      </c>
      <c r="O22" s="16" t="s">
        <v>70</v>
      </c>
      <c r="P22" t="s">
        <v>175</v>
      </c>
      <c r="Q22" s="19">
        <v>45</v>
      </c>
      <c r="R22" t="s">
        <v>72</v>
      </c>
      <c r="S22" s="19">
        <v>4.5</v>
      </c>
      <c r="T22" s="19">
        <v>9</v>
      </c>
      <c r="U22" s="19">
        <v>7.83</v>
      </c>
      <c r="V22" s="19">
        <v>49.5</v>
      </c>
      <c r="W22" s="19">
        <v>54</v>
      </c>
      <c r="X22" t="s">
        <v>73</v>
      </c>
      <c r="Y22" s="20">
        <v>0.05</v>
      </c>
      <c r="Z22" s="19">
        <v>2.25</v>
      </c>
      <c r="AA22" s="19">
        <v>51.75</v>
      </c>
      <c r="AB22" s="19">
        <v>2.25</v>
      </c>
      <c r="AC22" t="s">
        <v>73</v>
      </c>
      <c r="AD22" s="19">
        <v>1.86</v>
      </c>
      <c r="AE22" s="19">
        <v>0.39</v>
      </c>
      <c r="AF22" s="19">
        <v>2.25</v>
      </c>
      <c r="AG22" s="19">
        <v>20</v>
      </c>
      <c r="AH22" s="19">
        <v>29.5</v>
      </c>
      <c r="AI22" s="19">
        <v>2.25</v>
      </c>
      <c r="AJ22" t="s">
        <v>73</v>
      </c>
      <c r="AK22" s="19">
        <v>54</v>
      </c>
      <c r="AL22" s="19">
        <v>51.75</v>
      </c>
      <c r="AM22" t="b">
        <f t="shared" si="0"/>
        <v>1</v>
      </c>
      <c r="AN22" s="21">
        <f t="shared" si="1"/>
        <v>0</v>
      </c>
      <c r="AO22" s="19">
        <f t="shared" si="2"/>
        <v>0</v>
      </c>
      <c r="AP22" s="22">
        <v>15</v>
      </c>
      <c r="AQ22" s="18">
        <f t="shared" si="3"/>
        <v>9</v>
      </c>
      <c r="AR22" s="18">
        <f t="shared" si="4"/>
        <v>6</v>
      </c>
      <c r="AS22" s="23">
        <f t="shared" si="5"/>
        <v>0</v>
      </c>
      <c r="AT22" s="24">
        <v>46272.638888888891</v>
      </c>
      <c r="AU22" s="16" t="s">
        <v>176</v>
      </c>
      <c r="AV22" s="16">
        <v>291121798</v>
      </c>
      <c r="AW22" s="16">
        <v>737296984</v>
      </c>
      <c r="AX22" s="16" t="s">
        <v>110</v>
      </c>
      <c r="AY22" s="16">
        <v>54</v>
      </c>
      <c r="AZ22" s="16">
        <v>45</v>
      </c>
      <c r="BA22" s="16">
        <v>5</v>
      </c>
      <c r="BB22" s="16">
        <v>2.25</v>
      </c>
      <c r="BC22" s="16">
        <v>15</v>
      </c>
      <c r="BD22" s="16">
        <v>6</v>
      </c>
      <c r="BE22" s="16">
        <v>8</v>
      </c>
      <c r="BF22" s="16" t="s">
        <v>69</v>
      </c>
      <c r="BG22" s="16" t="s">
        <v>177</v>
      </c>
      <c r="BH22" s="16">
        <v>6</v>
      </c>
      <c r="BI22" s="16">
        <v>0</v>
      </c>
      <c r="BJ22" s="16">
        <v>57.75</v>
      </c>
      <c r="BK22" s="16">
        <v>2.25</v>
      </c>
      <c r="BL22" s="16">
        <v>15</v>
      </c>
    </row>
    <row r="23" spans="1:64" x14ac:dyDescent="0.25">
      <c r="A23" s="24">
        <v>46272</v>
      </c>
      <c r="B23" s="16" t="s">
        <v>178</v>
      </c>
      <c r="C23" s="25">
        <v>77083</v>
      </c>
      <c r="F23" s="25">
        <v>19123</v>
      </c>
      <c r="G23" s="25">
        <v>291127658</v>
      </c>
      <c r="H23" s="16" t="s">
        <v>64</v>
      </c>
      <c r="I23" s="16" t="s">
        <v>65</v>
      </c>
      <c r="J23" s="16" t="s">
        <v>66</v>
      </c>
      <c r="K23" s="17">
        <v>23</v>
      </c>
      <c r="L23" t="s">
        <v>157</v>
      </c>
      <c r="M23" t="s">
        <v>179</v>
      </c>
      <c r="N23" t="s">
        <v>69</v>
      </c>
      <c r="O23" s="16" t="s">
        <v>70</v>
      </c>
      <c r="P23" t="s">
        <v>86</v>
      </c>
      <c r="Q23" s="19">
        <v>32</v>
      </c>
      <c r="R23" t="s">
        <v>73</v>
      </c>
      <c r="S23" s="19">
        <v>0</v>
      </c>
      <c r="T23" s="19">
        <v>15</v>
      </c>
      <c r="U23" s="19">
        <v>6.13</v>
      </c>
      <c r="V23" s="19">
        <v>47</v>
      </c>
      <c r="W23" s="19">
        <v>47</v>
      </c>
      <c r="X23" t="s">
        <v>73</v>
      </c>
      <c r="Y23" s="20">
        <v>0.05</v>
      </c>
      <c r="Z23" s="19">
        <v>1.6</v>
      </c>
      <c r="AA23" s="19">
        <v>45.4</v>
      </c>
      <c r="AB23" s="19">
        <v>1.6</v>
      </c>
      <c r="AC23" t="s">
        <v>73</v>
      </c>
      <c r="AD23" s="19">
        <v>1.29</v>
      </c>
      <c r="AE23" s="19">
        <v>0.31</v>
      </c>
      <c r="AF23" s="19">
        <v>1.6</v>
      </c>
      <c r="AG23" s="19">
        <v>0</v>
      </c>
      <c r="AH23" s="19">
        <v>47</v>
      </c>
      <c r="AI23" s="19">
        <v>1.6</v>
      </c>
      <c r="AJ23" t="s">
        <v>73</v>
      </c>
      <c r="AK23" s="19">
        <v>0</v>
      </c>
      <c r="AL23" s="19">
        <v>45.4</v>
      </c>
      <c r="AM23" t="b">
        <f t="shared" si="0"/>
        <v>1</v>
      </c>
      <c r="AN23" s="21">
        <f t="shared" si="1"/>
        <v>0</v>
      </c>
      <c r="AO23" s="19">
        <f t="shared" si="2"/>
        <v>0</v>
      </c>
      <c r="AP23" s="22">
        <v>15</v>
      </c>
      <c r="AQ23" s="18">
        <f t="shared" si="3"/>
        <v>15</v>
      </c>
      <c r="AR23" s="18">
        <f t="shared" si="4"/>
        <v>0</v>
      </c>
      <c r="AS23" s="23">
        <f t="shared" si="5"/>
        <v>0</v>
      </c>
      <c r="AT23" s="24">
        <v>46272.677083333336</v>
      </c>
      <c r="AU23" s="16" t="s">
        <v>159</v>
      </c>
      <c r="AV23" s="16">
        <v>291127658</v>
      </c>
      <c r="AW23" s="16">
        <v>737466187</v>
      </c>
      <c r="AX23" s="16" t="s">
        <v>180</v>
      </c>
      <c r="AY23" s="16">
        <v>47</v>
      </c>
      <c r="AZ23" s="16">
        <v>32</v>
      </c>
      <c r="BA23" s="16">
        <v>5</v>
      </c>
      <c r="BB23" s="16">
        <v>1.6</v>
      </c>
      <c r="BC23" s="16">
        <v>15</v>
      </c>
      <c r="BD23" s="16">
        <v>0</v>
      </c>
      <c r="BE23" s="16">
        <v>14</v>
      </c>
      <c r="BF23" s="16" t="s">
        <v>69</v>
      </c>
      <c r="BG23" s="16" t="s">
        <v>181</v>
      </c>
      <c r="BH23" s="16">
        <v>0</v>
      </c>
      <c r="BI23" s="16">
        <v>0</v>
      </c>
      <c r="BJ23" s="16">
        <v>45.4</v>
      </c>
      <c r="BK23" s="16">
        <v>1.6</v>
      </c>
      <c r="BL23" s="16">
        <v>15</v>
      </c>
    </row>
    <row r="24" spans="1:64" x14ac:dyDescent="0.25">
      <c r="A24" s="24">
        <v>46272</v>
      </c>
      <c r="B24" s="16" t="s">
        <v>182</v>
      </c>
      <c r="C24" s="25">
        <v>58596</v>
      </c>
      <c r="F24" s="25">
        <v>19126</v>
      </c>
      <c r="G24" s="25">
        <v>291132940</v>
      </c>
      <c r="H24" s="16" t="s">
        <v>64</v>
      </c>
      <c r="I24" s="16" t="s">
        <v>65</v>
      </c>
      <c r="J24" s="16" t="s">
        <v>66</v>
      </c>
      <c r="K24" s="17">
        <v>62</v>
      </c>
      <c r="L24" t="s">
        <v>124</v>
      </c>
      <c r="M24" t="s">
        <v>183</v>
      </c>
      <c r="N24" t="s">
        <v>69</v>
      </c>
      <c r="O24" s="16" t="s">
        <v>70</v>
      </c>
      <c r="P24" t="s">
        <v>86</v>
      </c>
      <c r="Q24" s="19">
        <v>39</v>
      </c>
      <c r="R24" t="s">
        <v>73</v>
      </c>
      <c r="S24" s="19">
        <v>0</v>
      </c>
      <c r="T24" s="19">
        <v>5</v>
      </c>
      <c r="U24" s="19">
        <v>7.05</v>
      </c>
      <c r="V24" s="19">
        <v>44</v>
      </c>
      <c r="W24" s="19">
        <v>44</v>
      </c>
      <c r="X24" t="s">
        <v>73</v>
      </c>
      <c r="Y24" s="20">
        <v>4.7399999999999998E-2</v>
      </c>
      <c r="Z24" s="19">
        <v>1.85</v>
      </c>
      <c r="AA24" s="19">
        <v>42.15</v>
      </c>
      <c r="AB24" s="19">
        <v>1.85</v>
      </c>
      <c r="AC24" t="s">
        <v>73</v>
      </c>
      <c r="AD24" s="19">
        <v>1.52</v>
      </c>
      <c r="AE24" s="19">
        <v>0.33</v>
      </c>
      <c r="AF24" s="19">
        <v>1.85</v>
      </c>
      <c r="AG24" s="19">
        <v>0</v>
      </c>
      <c r="AH24" s="19">
        <v>44</v>
      </c>
      <c r="AI24" s="19">
        <v>1.85</v>
      </c>
      <c r="AJ24" t="s">
        <v>73</v>
      </c>
      <c r="AK24" s="19">
        <v>44</v>
      </c>
      <c r="AL24" s="19">
        <v>42.15</v>
      </c>
      <c r="AM24" t="b">
        <f t="shared" si="0"/>
        <v>1</v>
      </c>
      <c r="AN24" s="21">
        <f t="shared" si="1"/>
        <v>1.0000000000000286E-4</v>
      </c>
      <c r="AO24" s="19">
        <f t="shared" si="2"/>
        <v>-2.4999999999999467E-3</v>
      </c>
      <c r="AP24" s="22">
        <v>15</v>
      </c>
      <c r="AQ24" s="18">
        <f t="shared" si="3"/>
        <v>5</v>
      </c>
      <c r="AR24" s="18">
        <f t="shared" si="4"/>
        <v>6</v>
      </c>
      <c r="AS24" s="23">
        <f t="shared" si="5"/>
        <v>4</v>
      </c>
      <c r="AT24" s="24">
        <v>46272.689583333333</v>
      </c>
      <c r="AU24" s="16" t="s">
        <v>125</v>
      </c>
      <c r="AV24" s="16">
        <v>291132940</v>
      </c>
      <c r="AW24" s="16">
        <v>737479964</v>
      </c>
      <c r="AX24" s="16" t="s">
        <v>184</v>
      </c>
      <c r="AY24" s="16">
        <v>44</v>
      </c>
      <c r="AZ24" s="16">
        <v>39</v>
      </c>
      <c r="BA24" s="16">
        <v>4.75</v>
      </c>
      <c r="BB24" s="16">
        <v>1.8525</v>
      </c>
      <c r="BC24" s="16">
        <v>15</v>
      </c>
      <c r="BD24" s="16">
        <v>6</v>
      </c>
      <c r="BE24" s="16">
        <v>4</v>
      </c>
      <c r="BF24" s="16" t="s">
        <v>69</v>
      </c>
      <c r="BG24" s="16" t="s">
        <v>185</v>
      </c>
      <c r="BH24" s="16">
        <v>10</v>
      </c>
      <c r="BI24" s="16">
        <v>4</v>
      </c>
      <c r="BJ24" s="16">
        <v>48.147500000000001</v>
      </c>
      <c r="BK24" s="16">
        <v>1.8525</v>
      </c>
      <c r="BL24" s="16">
        <v>11</v>
      </c>
    </row>
    <row r="25" spans="1:64" x14ac:dyDescent="0.25">
      <c r="A25" s="24">
        <v>46272</v>
      </c>
      <c r="B25" s="16" t="s">
        <v>186</v>
      </c>
      <c r="C25" s="25">
        <v>25122</v>
      </c>
      <c r="F25" s="25">
        <v>19127</v>
      </c>
      <c r="G25" s="25">
        <v>291147430</v>
      </c>
      <c r="H25" s="16" t="s">
        <v>64</v>
      </c>
      <c r="I25" s="16" t="s">
        <v>65</v>
      </c>
      <c r="J25" s="16" t="s">
        <v>66</v>
      </c>
      <c r="K25" s="17">
        <v>4846</v>
      </c>
      <c r="L25" t="s">
        <v>187</v>
      </c>
      <c r="M25" t="s">
        <v>188</v>
      </c>
      <c r="N25" t="s">
        <v>69</v>
      </c>
      <c r="O25" s="16" t="s">
        <v>70</v>
      </c>
      <c r="P25" t="s">
        <v>71</v>
      </c>
      <c r="Q25" s="19">
        <v>35</v>
      </c>
      <c r="R25" t="s">
        <v>72</v>
      </c>
      <c r="S25" s="19">
        <v>3.5</v>
      </c>
      <c r="T25" s="19">
        <v>0</v>
      </c>
      <c r="U25" s="19">
        <v>6.53</v>
      </c>
      <c r="V25" s="19">
        <v>31.5</v>
      </c>
      <c r="W25" s="19">
        <v>35</v>
      </c>
      <c r="X25" t="s">
        <v>73</v>
      </c>
      <c r="Y25" s="20">
        <v>0.05</v>
      </c>
      <c r="Z25" s="19">
        <v>1.75</v>
      </c>
      <c r="AA25" s="19">
        <v>33.25</v>
      </c>
      <c r="AB25" s="19">
        <v>1.75</v>
      </c>
      <c r="AC25" t="s">
        <v>73</v>
      </c>
      <c r="AD25" s="19">
        <v>1.42</v>
      </c>
      <c r="AE25" s="19">
        <v>0.33</v>
      </c>
      <c r="AF25" s="19">
        <v>1.75</v>
      </c>
      <c r="AG25" s="19">
        <v>0.42</v>
      </c>
      <c r="AH25" s="19">
        <v>31.08</v>
      </c>
      <c r="AI25" s="19">
        <v>1.75</v>
      </c>
      <c r="AJ25" t="s">
        <v>73</v>
      </c>
      <c r="AK25" s="19">
        <v>0</v>
      </c>
      <c r="AL25" s="19">
        <v>33.25</v>
      </c>
      <c r="AM25" t="b">
        <f t="shared" si="0"/>
        <v>1</v>
      </c>
      <c r="AN25" s="21">
        <f t="shared" si="1"/>
        <v>0</v>
      </c>
      <c r="AO25" s="19">
        <f t="shared" si="2"/>
        <v>0</v>
      </c>
      <c r="AP25" s="22">
        <v>15</v>
      </c>
      <c r="AQ25" s="18">
        <f t="shared" si="3"/>
        <v>0</v>
      </c>
      <c r="AR25" s="18">
        <f t="shared" si="4"/>
        <v>5</v>
      </c>
      <c r="AS25" s="23">
        <f t="shared" si="5"/>
        <v>10</v>
      </c>
      <c r="AT25" s="24">
        <v>46272.752083333333</v>
      </c>
      <c r="AU25" s="16" t="s">
        <v>189</v>
      </c>
      <c r="AV25" s="16">
        <v>291147430</v>
      </c>
      <c r="AW25" s="16">
        <v>737518074</v>
      </c>
      <c r="AX25" s="16" t="s">
        <v>190</v>
      </c>
      <c r="AY25" s="16">
        <v>35</v>
      </c>
      <c r="AZ25" s="16">
        <v>35</v>
      </c>
      <c r="BA25" s="16">
        <v>5</v>
      </c>
      <c r="BB25" s="16">
        <v>1.75</v>
      </c>
      <c r="BC25" s="16">
        <v>15</v>
      </c>
      <c r="BD25" s="16">
        <v>5</v>
      </c>
      <c r="BE25" s="16">
        <v>0</v>
      </c>
      <c r="BF25" s="16" t="s">
        <v>69</v>
      </c>
      <c r="BG25" s="16" t="s">
        <v>191</v>
      </c>
      <c r="BH25" s="16">
        <v>15</v>
      </c>
      <c r="BI25" s="16">
        <v>10</v>
      </c>
      <c r="BJ25" s="16">
        <v>38.25</v>
      </c>
      <c r="BK25" s="16">
        <v>1.75</v>
      </c>
      <c r="BL25" s="16">
        <v>5</v>
      </c>
    </row>
    <row r="26" spans="1:64" x14ac:dyDescent="0.25">
      <c r="A26" s="24">
        <v>46272</v>
      </c>
      <c r="B26" s="16" t="s">
        <v>192</v>
      </c>
      <c r="C26" s="25">
        <v>71791</v>
      </c>
      <c r="D26" s="17" t="s">
        <v>193</v>
      </c>
      <c r="F26" s="25">
        <v>19130</v>
      </c>
      <c r="G26" s="25">
        <v>291179822</v>
      </c>
      <c r="H26" s="16" t="s">
        <v>64</v>
      </c>
      <c r="I26" s="16" t="s">
        <v>65</v>
      </c>
      <c r="J26" s="16" t="s">
        <v>66</v>
      </c>
      <c r="K26" s="17">
        <v>54</v>
      </c>
      <c r="L26" t="s">
        <v>84</v>
      </c>
      <c r="M26" t="s">
        <v>194</v>
      </c>
      <c r="N26" t="s">
        <v>69</v>
      </c>
      <c r="O26" s="16" t="s">
        <v>70</v>
      </c>
      <c r="P26" t="s">
        <v>71</v>
      </c>
      <c r="Q26" s="19">
        <v>49</v>
      </c>
      <c r="R26" t="s">
        <v>72</v>
      </c>
      <c r="S26" s="19">
        <v>4.9000000000000004</v>
      </c>
      <c r="T26" s="19">
        <v>5</v>
      </c>
      <c r="U26" s="19">
        <v>8.35</v>
      </c>
      <c r="V26" s="19">
        <v>49.1</v>
      </c>
      <c r="W26" s="19">
        <v>54</v>
      </c>
      <c r="X26" t="s">
        <v>73</v>
      </c>
      <c r="Y26" s="20">
        <v>4.7600000000000003E-2</v>
      </c>
      <c r="Z26" s="19">
        <v>2.33</v>
      </c>
      <c r="AA26" s="19">
        <v>51.67</v>
      </c>
      <c r="AB26" s="19">
        <v>2.33</v>
      </c>
      <c r="AC26" t="s">
        <v>73</v>
      </c>
      <c r="AD26" s="19">
        <v>1.93</v>
      </c>
      <c r="AE26" s="19">
        <v>0.4</v>
      </c>
      <c r="AF26" s="19">
        <v>2.33</v>
      </c>
      <c r="AG26" s="19">
        <v>2</v>
      </c>
      <c r="AH26" s="19">
        <v>47.1</v>
      </c>
      <c r="AI26" s="19">
        <v>2.33</v>
      </c>
      <c r="AJ26" t="s">
        <v>73</v>
      </c>
      <c r="AK26" s="19">
        <v>0</v>
      </c>
      <c r="AL26" s="19">
        <v>51.67</v>
      </c>
      <c r="AM26" t="b">
        <f t="shared" si="0"/>
        <v>1</v>
      </c>
      <c r="AN26" s="21">
        <f t="shared" si="1"/>
        <v>-1.0000000000000286E-4</v>
      </c>
      <c r="AO26" s="19">
        <f t="shared" si="2"/>
        <v>2.4999999999999467E-3</v>
      </c>
      <c r="AP26" s="22">
        <v>15</v>
      </c>
      <c r="AQ26" s="18">
        <f t="shared" si="3"/>
        <v>5</v>
      </c>
      <c r="AR26" s="18">
        <f t="shared" si="4"/>
        <v>6</v>
      </c>
      <c r="AS26" s="23">
        <f t="shared" si="5"/>
        <v>4</v>
      </c>
      <c r="AT26" s="24">
        <v>46272.855555555558</v>
      </c>
      <c r="AU26" s="16" t="s">
        <v>87</v>
      </c>
      <c r="AV26" s="16">
        <v>291179822</v>
      </c>
      <c r="AW26" s="16">
        <v>737601818</v>
      </c>
      <c r="AX26" s="16" t="s">
        <v>195</v>
      </c>
      <c r="AY26" s="16">
        <v>54</v>
      </c>
      <c r="AZ26" s="16">
        <v>49</v>
      </c>
      <c r="BA26" s="16">
        <v>4.75</v>
      </c>
      <c r="BB26" s="16">
        <v>2.3275000000000001</v>
      </c>
      <c r="BC26" s="16">
        <v>15</v>
      </c>
      <c r="BD26" s="16">
        <v>6</v>
      </c>
      <c r="BE26" s="16">
        <v>4</v>
      </c>
      <c r="BF26" s="16" t="s">
        <v>69</v>
      </c>
      <c r="BG26" s="16" t="s">
        <v>196</v>
      </c>
      <c r="BH26" s="16">
        <v>10</v>
      </c>
      <c r="BI26" s="16">
        <v>4</v>
      </c>
      <c r="BJ26" s="16">
        <v>57.672499999999999</v>
      </c>
      <c r="BK26" s="16">
        <v>2.3275000000000001</v>
      </c>
      <c r="BL26" s="16">
        <v>11</v>
      </c>
    </row>
    <row r="27" spans="1:64" x14ac:dyDescent="0.25">
      <c r="A27" s="24">
        <v>46272</v>
      </c>
      <c r="B27" s="16" t="s">
        <v>197</v>
      </c>
      <c r="C27" s="25">
        <v>77083</v>
      </c>
      <c r="F27" s="25">
        <v>19131</v>
      </c>
      <c r="G27" s="25">
        <v>291180385</v>
      </c>
      <c r="H27" s="16" t="s">
        <v>64</v>
      </c>
      <c r="I27" s="16" t="s">
        <v>65</v>
      </c>
      <c r="J27" s="16" t="s">
        <v>66</v>
      </c>
      <c r="K27" s="17">
        <v>189</v>
      </c>
      <c r="L27" t="s">
        <v>198</v>
      </c>
      <c r="M27" t="s">
        <v>199</v>
      </c>
      <c r="N27" t="s">
        <v>69</v>
      </c>
      <c r="O27" s="16" t="s">
        <v>70</v>
      </c>
      <c r="P27" t="s">
        <v>86</v>
      </c>
      <c r="Q27" s="19">
        <v>61.25</v>
      </c>
      <c r="R27" t="s">
        <v>73</v>
      </c>
      <c r="S27" s="19">
        <v>0</v>
      </c>
      <c r="T27" s="19">
        <v>17</v>
      </c>
      <c r="U27" s="19">
        <v>10.210000000000001</v>
      </c>
      <c r="V27" s="19">
        <v>78.25</v>
      </c>
      <c r="W27" s="19">
        <v>78.25</v>
      </c>
      <c r="X27" t="s">
        <v>73</v>
      </c>
      <c r="Y27" s="20">
        <v>2.5000000000000001E-2</v>
      </c>
      <c r="Z27" s="19">
        <v>1.53</v>
      </c>
      <c r="AA27" s="19">
        <v>76.72</v>
      </c>
      <c r="AB27" s="19">
        <v>1.53</v>
      </c>
      <c r="AC27" t="s">
        <v>73</v>
      </c>
      <c r="AD27" s="19">
        <v>1.27</v>
      </c>
      <c r="AE27" s="19">
        <v>0.26</v>
      </c>
      <c r="AF27" s="19">
        <v>1.53</v>
      </c>
      <c r="AG27" s="19">
        <v>0</v>
      </c>
      <c r="AH27" s="19">
        <v>78.25</v>
      </c>
      <c r="AI27" s="19">
        <v>1.53</v>
      </c>
      <c r="AJ27" t="s">
        <v>73</v>
      </c>
      <c r="AK27" s="19">
        <v>0</v>
      </c>
      <c r="AL27" s="19">
        <v>76.72</v>
      </c>
      <c r="AM27" t="b">
        <f t="shared" si="0"/>
        <v>1</v>
      </c>
      <c r="AN27" s="21">
        <f t="shared" si="1"/>
        <v>0</v>
      </c>
      <c r="AO27" s="19">
        <f t="shared" si="2"/>
        <v>-1.2499999999999734E-3</v>
      </c>
      <c r="AP27" s="22">
        <v>17</v>
      </c>
      <c r="AQ27" s="18">
        <f t="shared" si="3"/>
        <v>17</v>
      </c>
      <c r="AR27" s="18">
        <f t="shared" si="4"/>
        <v>0</v>
      </c>
      <c r="AS27" s="23">
        <f t="shared" si="5"/>
        <v>0</v>
      </c>
      <c r="AT27" s="24">
        <v>46272.87222222222</v>
      </c>
      <c r="AU27" s="16" t="s">
        <v>200</v>
      </c>
      <c r="AV27" s="16">
        <v>291180385</v>
      </c>
      <c r="AW27" s="16">
        <v>737601120</v>
      </c>
      <c r="AX27" s="16" t="s">
        <v>180</v>
      </c>
      <c r="AY27" s="16">
        <v>78.25</v>
      </c>
      <c r="AZ27" s="16">
        <v>61.25</v>
      </c>
      <c r="BA27" s="16">
        <v>2.5</v>
      </c>
      <c r="BB27" s="16">
        <v>1.53125</v>
      </c>
      <c r="BC27" s="16">
        <v>17</v>
      </c>
      <c r="BD27" s="16">
        <v>0</v>
      </c>
      <c r="BE27" s="16">
        <v>16</v>
      </c>
      <c r="BF27" s="16" t="s">
        <v>69</v>
      </c>
      <c r="BG27" s="16" t="s">
        <v>201</v>
      </c>
      <c r="BH27" s="16">
        <v>0</v>
      </c>
      <c r="BI27" s="16">
        <v>0</v>
      </c>
      <c r="BJ27" s="16">
        <v>76.71875</v>
      </c>
      <c r="BK27" s="16">
        <v>1.53125</v>
      </c>
      <c r="BL27" s="16">
        <v>17</v>
      </c>
    </row>
    <row r="28" spans="1:64" x14ac:dyDescent="0.25">
      <c r="A28" s="24">
        <v>46272</v>
      </c>
      <c r="B28" s="16" t="s">
        <v>202</v>
      </c>
      <c r="C28" s="25">
        <v>55958</v>
      </c>
      <c r="F28" s="25">
        <v>19132</v>
      </c>
      <c r="G28" s="25">
        <v>291189355</v>
      </c>
      <c r="H28" s="16" t="s">
        <v>64</v>
      </c>
      <c r="I28" s="16" t="s">
        <v>65</v>
      </c>
      <c r="J28" s="16" t="s">
        <v>66</v>
      </c>
      <c r="K28" s="17">
        <v>20</v>
      </c>
      <c r="L28" t="s">
        <v>118</v>
      </c>
      <c r="M28" t="s">
        <v>203</v>
      </c>
      <c r="N28" t="s">
        <v>69</v>
      </c>
      <c r="O28" s="16" t="s">
        <v>70</v>
      </c>
      <c r="P28" t="s">
        <v>71</v>
      </c>
      <c r="Q28" s="19">
        <v>38.5</v>
      </c>
      <c r="R28" t="s">
        <v>72</v>
      </c>
      <c r="S28" s="19">
        <v>3.85</v>
      </c>
      <c r="T28" s="19">
        <v>9</v>
      </c>
      <c r="U28" s="19">
        <v>6.98</v>
      </c>
      <c r="V28" s="19">
        <v>43.65</v>
      </c>
      <c r="W28" s="19">
        <v>47.5</v>
      </c>
      <c r="X28" t="s">
        <v>73</v>
      </c>
      <c r="Y28" s="20">
        <v>0.04</v>
      </c>
      <c r="Z28" s="19">
        <v>1.54</v>
      </c>
      <c r="AA28" s="19">
        <v>45.96</v>
      </c>
      <c r="AB28" s="19">
        <v>1.54</v>
      </c>
      <c r="AC28" t="s">
        <v>73</v>
      </c>
      <c r="AD28" s="19">
        <v>1.26</v>
      </c>
      <c r="AE28" s="19">
        <v>0.28000000000000003</v>
      </c>
      <c r="AF28" s="19">
        <v>1.54</v>
      </c>
      <c r="AG28" s="19">
        <v>20.58</v>
      </c>
      <c r="AH28" s="19">
        <v>23.07</v>
      </c>
      <c r="AI28" s="19">
        <v>1.54</v>
      </c>
      <c r="AJ28" t="s">
        <v>73</v>
      </c>
      <c r="AK28" s="19">
        <v>0</v>
      </c>
      <c r="AL28" s="19">
        <v>45.96</v>
      </c>
      <c r="AM28" t="b">
        <f t="shared" si="0"/>
        <v>1</v>
      </c>
      <c r="AN28" s="21">
        <f t="shared" si="1"/>
        <v>0</v>
      </c>
      <c r="AO28" s="19">
        <f t="shared" si="2"/>
        <v>0</v>
      </c>
      <c r="AP28" s="22">
        <v>15</v>
      </c>
      <c r="AQ28" s="18">
        <f t="shared" si="3"/>
        <v>9</v>
      </c>
      <c r="AR28" s="18">
        <f t="shared" si="4"/>
        <v>6</v>
      </c>
      <c r="AS28" s="23">
        <f t="shared" si="5"/>
        <v>0</v>
      </c>
      <c r="AT28" s="24">
        <v>46272.902777777781</v>
      </c>
      <c r="AU28" s="16" t="s">
        <v>120</v>
      </c>
      <c r="AV28" s="16">
        <v>291189355</v>
      </c>
      <c r="AW28" s="16">
        <v>737624635</v>
      </c>
      <c r="AX28" s="16" t="s">
        <v>204</v>
      </c>
      <c r="AY28" s="16">
        <v>47.5</v>
      </c>
      <c r="AZ28" s="16">
        <v>38.5</v>
      </c>
      <c r="BA28" s="16">
        <v>4</v>
      </c>
      <c r="BB28" s="16">
        <v>1.54</v>
      </c>
      <c r="BC28" s="16">
        <v>15</v>
      </c>
      <c r="BD28" s="16">
        <v>6</v>
      </c>
      <c r="BE28" s="16">
        <v>8</v>
      </c>
      <c r="BF28" s="16" t="s">
        <v>69</v>
      </c>
      <c r="BG28" s="16" t="s">
        <v>205</v>
      </c>
      <c r="BH28" s="16">
        <v>6</v>
      </c>
      <c r="BI28" s="16">
        <v>0</v>
      </c>
      <c r="BJ28" s="16">
        <v>51.96</v>
      </c>
      <c r="BK28" s="16">
        <v>1.54</v>
      </c>
      <c r="BL28" s="16">
        <v>15</v>
      </c>
    </row>
    <row r="29" spans="1:64" x14ac:dyDescent="0.25">
      <c r="A29" s="24">
        <v>46272</v>
      </c>
      <c r="B29" s="16" t="s">
        <v>206</v>
      </c>
      <c r="C29" s="25">
        <v>79183</v>
      </c>
      <c r="F29" s="25">
        <v>19135</v>
      </c>
      <c r="G29" s="25">
        <v>291192647</v>
      </c>
      <c r="H29" s="16" t="s">
        <v>64</v>
      </c>
      <c r="I29" s="16" t="s">
        <v>65</v>
      </c>
      <c r="J29" s="16" t="s">
        <v>66</v>
      </c>
      <c r="K29" s="17">
        <v>3</v>
      </c>
      <c r="L29" t="s">
        <v>207</v>
      </c>
      <c r="M29" t="s">
        <v>208</v>
      </c>
      <c r="N29" t="s">
        <v>69</v>
      </c>
      <c r="O29" s="16" t="s">
        <v>70</v>
      </c>
      <c r="P29" t="s">
        <v>71</v>
      </c>
      <c r="Q29" s="19">
        <v>62</v>
      </c>
      <c r="R29" t="s">
        <v>72</v>
      </c>
      <c r="S29" s="19">
        <v>6.2</v>
      </c>
      <c r="T29" s="19">
        <v>0</v>
      </c>
      <c r="U29" s="19">
        <v>10.050000000000001</v>
      </c>
      <c r="V29" s="19">
        <v>55.8</v>
      </c>
      <c r="W29" s="19">
        <v>62</v>
      </c>
      <c r="X29" t="s">
        <v>73</v>
      </c>
      <c r="Y29" s="20">
        <v>4.4999999999999998E-2</v>
      </c>
      <c r="Z29" s="19">
        <v>2.79</v>
      </c>
      <c r="AA29" s="19">
        <v>59.21</v>
      </c>
      <c r="AB29" s="19">
        <v>2.79</v>
      </c>
      <c r="AC29" t="s">
        <v>73</v>
      </c>
      <c r="AD29" s="19">
        <v>2.34</v>
      </c>
      <c r="AE29" s="19">
        <v>0.45</v>
      </c>
      <c r="AF29" s="19">
        <v>2.79</v>
      </c>
      <c r="AG29" s="19">
        <v>20</v>
      </c>
      <c r="AH29" s="19">
        <v>35.799999999999997</v>
      </c>
      <c r="AI29" s="19">
        <v>2.79</v>
      </c>
      <c r="AJ29" t="s">
        <v>73</v>
      </c>
      <c r="AK29" s="19">
        <v>0</v>
      </c>
      <c r="AL29" s="19">
        <v>59.21</v>
      </c>
      <c r="AM29" t="b">
        <f t="shared" si="0"/>
        <v>1</v>
      </c>
      <c r="AN29" s="21">
        <f t="shared" si="1"/>
        <v>0</v>
      </c>
      <c r="AO29" s="19">
        <f t="shared" si="2"/>
        <v>0</v>
      </c>
      <c r="AP29" s="22">
        <v>15</v>
      </c>
      <c r="AQ29" s="18">
        <f t="shared" si="3"/>
        <v>0</v>
      </c>
      <c r="AR29" s="18">
        <f t="shared" si="4"/>
        <v>6.9</v>
      </c>
      <c r="AS29" s="23">
        <f t="shared" si="5"/>
        <v>8.1</v>
      </c>
      <c r="AT29" s="24">
        <v>46272.925694444442</v>
      </c>
      <c r="AU29" s="16" t="s">
        <v>209</v>
      </c>
      <c r="AV29" s="16">
        <v>291192647</v>
      </c>
      <c r="AW29" s="16">
        <v>737629851</v>
      </c>
      <c r="AX29" s="16" t="s">
        <v>210</v>
      </c>
      <c r="AY29" s="16">
        <v>62</v>
      </c>
      <c r="AZ29" s="16">
        <v>62</v>
      </c>
      <c r="BA29" s="16">
        <v>4.5</v>
      </c>
      <c r="BB29" s="16">
        <v>2.79</v>
      </c>
      <c r="BC29" s="16">
        <v>15</v>
      </c>
      <c r="BD29" s="16">
        <v>6.9</v>
      </c>
      <c r="BE29" s="16">
        <v>0</v>
      </c>
      <c r="BF29" s="16" t="s">
        <v>69</v>
      </c>
      <c r="BG29" s="16" t="s">
        <v>211</v>
      </c>
      <c r="BH29" s="16">
        <v>15</v>
      </c>
      <c r="BI29" s="16">
        <v>8.1</v>
      </c>
      <c r="BJ29" s="16">
        <v>66.11</v>
      </c>
      <c r="BK29" s="16">
        <v>2.79</v>
      </c>
      <c r="BL29" s="16">
        <v>6.9</v>
      </c>
    </row>
    <row r="30" spans="1:64" x14ac:dyDescent="0.25">
      <c r="A30" s="24">
        <v>46272</v>
      </c>
      <c r="B30" s="16" t="s">
        <v>212</v>
      </c>
      <c r="C30" s="25">
        <v>76375</v>
      </c>
      <c r="F30" s="25">
        <v>19136</v>
      </c>
      <c r="G30" s="25">
        <v>291193046</v>
      </c>
      <c r="H30" s="16" t="s">
        <v>64</v>
      </c>
      <c r="I30" s="16" t="s">
        <v>65</v>
      </c>
      <c r="J30" s="16" t="s">
        <v>66</v>
      </c>
      <c r="K30" s="17">
        <v>20</v>
      </c>
      <c r="L30" t="s">
        <v>118</v>
      </c>
      <c r="M30" t="s">
        <v>213</v>
      </c>
      <c r="N30" t="s">
        <v>69</v>
      </c>
      <c r="O30" s="16" t="s">
        <v>70</v>
      </c>
      <c r="P30" t="s">
        <v>71</v>
      </c>
      <c r="Q30" s="19">
        <v>43</v>
      </c>
      <c r="R30" t="s">
        <v>72</v>
      </c>
      <c r="S30" s="19">
        <v>4.3</v>
      </c>
      <c r="T30" s="19">
        <v>16</v>
      </c>
      <c r="U30" s="19">
        <v>8.48</v>
      </c>
      <c r="V30" s="19">
        <v>54.7</v>
      </c>
      <c r="W30" s="19">
        <v>59</v>
      </c>
      <c r="X30" t="s">
        <v>73</v>
      </c>
      <c r="Y30" s="20">
        <v>0.04</v>
      </c>
      <c r="Z30" s="19">
        <v>1.72</v>
      </c>
      <c r="AA30" s="19">
        <v>57.28</v>
      </c>
      <c r="AB30" s="19">
        <v>1.72</v>
      </c>
      <c r="AC30" t="s">
        <v>73</v>
      </c>
      <c r="AD30" s="19">
        <v>1.38</v>
      </c>
      <c r="AE30" s="19">
        <v>0.34</v>
      </c>
      <c r="AF30" s="19">
        <v>1.72</v>
      </c>
      <c r="AG30" s="19">
        <v>23.63</v>
      </c>
      <c r="AH30" s="19">
        <v>31.07</v>
      </c>
      <c r="AI30" s="19">
        <v>1.72</v>
      </c>
      <c r="AJ30" t="s">
        <v>73</v>
      </c>
      <c r="AK30" s="19">
        <v>0</v>
      </c>
      <c r="AL30" s="19">
        <v>57.28</v>
      </c>
      <c r="AM30" t="b">
        <f t="shared" si="0"/>
        <v>1</v>
      </c>
      <c r="AN30" s="21">
        <f t="shared" si="1"/>
        <v>0</v>
      </c>
      <c r="AO30" s="19">
        <f t="shared" si="2"/>
        <v>0</v>
      </c>
      <c r="AP30" s="22">
        <v>22</v>
      </c>
      <c r="AQ30" s="18">
        <f t="shared" si="3"/>
        <v>16</v>
      </c>
      <c r="AR30" s="18">
        <f t="shared" si="4"/>
        <v>6</v>
      </c>
      <c r="AS30" s="23">
        <f t="shared" si="5"/>
        <v>0</v>
      </c>
      <c r="AT30" s="24">
        <v>46272.926388888889</v>
      </c>
      <c r="AU30" s="16" t="s">
        <v>120</v>
      </c>
      <c r="AV30" s="16">
        <v>291193046</v>
      </c>
      <c r="AW30" s="16">
        <v>737401755</v>
      </c>
      <c r="AX30" s="16" t="s">
        <v>214</v>
      </c>
      <c r="AY30" s="16">
        <v>59</v>
      </c>
      <c r="AZ30" s="16">
        <v>43</v>
      </c>
      <c r="BA30" s="16">
        <v>4</v>
      </c>
      <c r="BB30" s="16">
        <v>1.72</v>
      </c>
      <c r="BC30" s="16">
        <v>22</v>
      </c>
      <c r="BD30" s="16">
        <v>6</v>
      </c>
      <c r="BE30" s="16">
        <v>15</v>
      </c>
      <c r="BF30" s="16" t="s">
        <v>69</v>
      </c>
      <c r="BG30" s="16" t="s">
        <v>215</v>
      </c>
      <c r="BH30" s="16">
        <v>6</v>
      </c>
      <c r="BI30" s="16">
        <v>0</v>
      </c>
      <c r="BJ30" s="16">
        <v>63.28</v>
      </c>
      <c r="BK30" s="16">
        <v>1.72</v>
      </c>
      <c r="BL30" s="16">
        <v>22</v>
      </c>
    </row>
    <row r="31" spans="1:64" x14ac:dyDescent="0.25">
      <c r="A31" s="24">
        <v>46272</v>
      </c>
      <c r="B31" s="16" t="s">
        <v>216</v>
      </c>
      <c r="C31" s="25">
        <v>63993</v>
      </c>
      <c r="F31" s="25">
        <v>19137</v>
      </c>
      <c r="G31" s="25">
        <v>291195391</v>
      </c>
      <c r="H31" s="16" t="s">
        <v>64</v>
      </c>
      <c r="I31" s="16" t="s">
        <v>65</v>
      </c>
      <c r="J31" s="16" t="s">
        <v>66</v>
      </c>
      <c r="K31" s="17">
        <v>47</v>
      </c>
      <c r="L31" t="s">
        <v>217</v>
      </c>
      <c r="M31" t="s">
        <v>218</v>
      </c>
      <c r="N31" t="s">
        <v>69</v>
      </c>
      <c r="O31" s="16" t="s">
        <v>70</v>
      </c>
      <c r="P31" t="s">
        <v>86</v>
      </c>
      <c r="Q31" s="19">
        <v>48.3</v>
      </c>
      <c r="R31" t="s">
        <v>73</v>
      </c>
      <c r="S31" s="19">
        <v>0</v>
      </c>
      <c r="T31" s="19">
        <v>0</v>
      </c>
      <c r="U31" s="19">
        <v>8.26</v>
      </c>
      <c r="V31" s="19">
        <v>48.3</v>
      </c>
      <c r="W31" s="19">
        <v>48.3</v>
      </c>
      <c r="X31" t="s">
        <v>73</v>
      </c>
      <c r="Y31" s="20">
        <v>5.0099999999999999E-2</v>
      </c>
      <c r="Z31" s="19">
        <v>2.42</v>
      </c>
      <c r="AA31" s="19">
        <v>45.89</v>
      </c>
      <c r="AB31" s="19">
        <v>2.42</v>
      </c>
      <c r="AC31" t="s">
        <v>73</v>
      </c>
      <c r="AD31" s="19">
        <v>2.0099999999999998</v>
      </c>
      <c r="AE31" s="19">
        <v>0.41</v>
      </c>
      <c r="AF31" s="19">
        <v>2.42</v>
      </c>
      <c r="AG31" s="19">
        <v>0</v>
      </c>
      <c r="AH31" s="19">
        <v>48.3</v>
      </c>
      <c r="AI31" s="19">
        <v>2.42</v>
      </c>
      <c r="AJ31" t="s">
        <v>73</v>
      </c>
      <c r="AK31" s="19">
        <v>0</v>
      </c>
      <c r="AL31" s="19">
        <v>45.89</v>
      </c>
      <c r="AM31" t="b">
        <f t="shared" si="0"/>
        <v>1</v>
      </c>
      <c r="AN31" s="21">
        <f t="shared" si="1"/>
        <v>-9.9999999999995925E-5</v>
      </c>
      <c r="AO31" s="19">
        <f t="shared" si="2"/>
        <v>4.9999999999998934E-3</v>
      </c>
      <c r="AP31" s="22">
        <v>15</v>
      </c>
      <c r="AQ31" s="18">
        <f t="shared" si="3"/>
        <v>0</v>
      </c>
      <c r="AR31" s="18">
        <f t="shared" si="4"/>
        <v>15</v>
      </c>
      <c r="AS31" s="23">
        <f t="shared" si="5"/>
        <v>0</v>
      </c>
      <c r="AT31" s="24">
        <v>46272.931944444441</v>
      </c>
      <c r="AU31" s="16" t="s">
        <v>219</v>
      </c>
      <c r="AV31" s="16">
        <v>291195391</v>
      </c>
      <c r="AW31" s="16">
        <v>737636339</v>
      </c>
      <c r="AX31" s="16" t="s">
        <v>220</v>
      </c>
      <c r="AY31" s="16">
        <v>48.299999237060547</v>
      </c>
      <c r="AZ31" s="16">
        <v>48.3</v>
      </c>
      <c r="BA31" s="16">
        <v>5</v>
      </c>
      <c r="BB31" s="16">
        <v>2.415</v>
      </c>
      <c r="BC31" s="16">
        <v>15</v>
      </c>
      <c r="BD31" s="16">
        <v>15</v>
      </c>
      <c r="BE31" s="16">
        <v>0</v>
      </c>
      <c r="BF31" s="16" t="s">
        <v>69</v>
      </c>
      <c r="BG31" s="16" t="s">
        <v>221</v>
      </c>
      <c r="BH31" s="16">
        <v>15</v>
      </c>
      <c r="BI31" s="16">
        <v>0</v>
      </c>
      <c r="BJ31" s="16">
        <v>60.884999237060548</v>
      </c>
      <c r="BK31" s="16">
        <v>2.415</v>
      </c>
      <c r="BL31" s="16">
        <v>15</v>
      </c>
    </row>
    <row r="32" spans="1:64" x14ac:dyDescent="0.25">
      <c r="A32" s="24">
        <v>46272</v>
      </c>
      <c r="B32" s="16" t="s">
        <v>222</v>
      </c>
      <c r="C32" s="25">
        <v>29170</v>
      </c>
      <c r="F32" s="25">
        <v>19138</v>
      </c>
      <c r="G32" s="25">
        <v>291196457</v>
      </c>
      <c r="H32" s="16" t="s">
        <v>64</v>
      </c>
      <c r="I32" s="16" t="s">
        <v>65</v>
      </c>
      <c r="J32" s="16" t="s">
        <v>66</v>
      </c>
      <c r="K32" s="17">
        <v>45</v>
      </c>
      <c r="L32" t="s">
        <v>223</v>
      </c>
      <c r="M32" t="s">
        <v>224</v>
      </c>
      <c r="N32" t="s">
        <v>69</v>
      </c>
      <c r="O32" s="16" t="s">
        <v>70</v>
      </c>
      <c r="P32" t="s">
        <v>175</v>
      </c>
      <c r="Q32" s="19">
        <v>105</v>
      </c>
      <c r="R32" t="s">
        <v>73</v>
      </c>
      <c r="S32" s="19">
        <v>0</v>
      </c>
      <c r="T32" s="19">
        <v>0</v>
      </c>
      <c r="U32" s="19">
        <v>15.66</v>
      </c>
      <c r="V32" s="19">
        <v>105</v>
      </c>
      <c r="W32" s="19">
        <v>105</v>
      </c>
      <c r="X32" t="s">
        <v>73</v>
      </c>
      <c r="Y32" s="20">
        <v>0.05</v>
      </c>
      <c r="Z32" s="19">
        <v>5.25</v>
      </c>
      <c r="AA32" s="19">
        <v>99.75</v>
      </c>
      <c r="AB32" s="19">
        <v>5.25</v>
      </c>
      <c r="AC32" t="s">
        <v>73</v>
      </c>
      <c r="AD32" s="19">
        <v>4.47</v>
      </c>
      <c r="AE32" s="19">
        <v>0.78</v>
      </c>
      <c r="AF32" s="19">
        <v>5.25</v>
      </c>
      <c r="AG32" s="19">
        <v>2.44</v>
      </c>
      <c r="AH32" s="19">
        <v>102.56</v>
      </c>
      <c r="AI32" s="19">
        <v>5.25</v>
      </c>
      <c r="AJ32" t="s">
        <v>73</v>
      </c>
      <c r="AK32" s="19">
        <v>0</v>
      </c>
      <c r="AL32" s="19">
        <v>99.75</v>
      </c>
      <c r="AM32" t="b">
        <f t="shared" si="0"/>
        <v>1</v>
      </c>
      <c r="AN32" s="21">
        <f t="shared" si="1"/>
        <v>0</v>
      </c>
      <c r="AO32" s="19">
        <f t="shared" si="2"/>
        <v>0</v>
      </c>
      <c r="AP32" s="22">
        <v>15</v>
      </c>
      <c r="AQ32" s="18">
        <f t="shared" si="3"/>
        <v>0</v>
      </c>
      <c r="AR32" s="18">
        <f t="shared" si="4"/>
        <v>7.95</v>
      </c>
      <c r="AS32" s="23">
        <f t="shared" si="5"/>
        <v>7.05</v>
      </c>
      <c r="AT32" s="24">
        <v>46272.941666666666</v>
      </c>
      <c r="AU32" s="16" t="s">
        <v>225</v>
      </c>
      <c r="AV32" s="16">
        <v>291196457</v>
      </c>
      <c r="AW32" s="16">
        <v>737648481</v>
      </c>
      <c r="AX32" s="16" t="s">
        <v>226</v>
      </c>
      <c r="AY32" s="16">
        <v>105</v>
      </c>
      <c r="AZ32" s="16">
        <v>105</v>
      </c>
      <c r="BA32" s="16">
        <v>5</v>
      </c>
      <c r="BB32" s="16">
        <v>5.25</v>
      </c>
      <c r="BC32" s="16">
        <v>15</v>
      </c>
      <c r="BD32" s="16">
        <v>7.95</v>
      </c>
      <c r="BE32" s="16">
        <v>0</v>
      </c>
      <c r="BF32" s="16" t="s">
        <v>69</v>
      </c>
      <c r="BG32" s="16" t="s">
        <v>227</v>
      </c>
      <c r="BH32" s="16">
        <v>15</v>
      </c>
      <c r="BI32" s="16">
        <v>7.05</v>
      </c>
      <c r="BJ32" s="16">
        <v>107.7</v>
      </c>
      <c r="BK32" s="16">
        <v>5.25</v>
      </c>
      <c r="BL32" s="16">
        <v>7.95</v>
      </c>
    </row>
    <row r="33" spans="1:64" x14ac:dyDescent="0.25">
      <c r="A33" s="24">
        <v>46272</v>
      </c>
      <c r="B33" s="16" t="s">
        <v>228</v>
      </c>
      <c r="C33" s="25">
        <v>5</v>
      </c>
      <c r="D33" s="17" t="s">
        <v>229</v>
      </c>
      <c r="F33" s="25">
        <v>19139</v>
      </c>
      <c r="G33" s="25">
        <v>291196765</v>
      </c>
      <c r="H33" s="16" t="s">
        <v>64</v>
      </c>
      <c r="I33" s="16" t="s">
        <v>65</v>
      </c>
      <c r="J33" s="16" t="s">
        <v>66</v>
      </c>
      <c r="K33" s="17">
        <v>398</v>
      </c>
      <c r="L33" t="s">
        <v>230</v>
      </c>
      <c r="M33" t="s">
        <v>231</v>
      </c>
      <c r="N33" t="s">
        <v>69</v>
      </c>
      <c r="O33" s="16" t="s">
        <v>70</v>
      </c>
      <c r="P33" t="s">
        <v>175</v>
      </c>
      <c r="Q33" s="19">
        <v>150</v>
      </c>
      <c r="R33" t="s">
        <v>73</v>
      </c>
      <c r="S33" s="19">
        <v>0</v>
      </c>
      <c r="T33" s="19">
        <v>0</v>
      </c>
      <c r="U33" s="19">
        <v>21.53</v>
      </c>
      <c r="V33" s="19">
        <v>150</v>
      </c>
      <c r="W33" s="19">
        <v>150</v>
      </c>
      <c r="X33" t="s">
        <v>73</v>
      </c>
      <c r="Y33" s="20">
        <v>0.05</v>
      </c>
      <c r="Z33" s="19">
        <v>7.5</v>
      </c>
      <c r="AA33" s="19">
        <v>142.5</v>
      </c>
      <c r="AB33" s="19">
        <v>7.5</v>
      </c>
      <c r="AC33" t="s">
        <v>73</v>
      </c>
      <c r="AD33" s="19">
        <v>6.42</v>
      </c>
      <c r="AE33" s="19">
        <v>1.08</v>
      </c>
      <c r="AF33" s="19">
        <v>7.5</v>
      </c>
      <c r="AG33" s="19">
        <v>4.25</v>
      </c>
      <c r="AH33" s="19">
        <v>145.75</v>
      </c>
      <c r="AI33" s="19">
        <v>7.5</v>
      </c>
      <c r="AJ33" t="s">
        <v>73</v>
      </c>
      <c r="AK33" s="19">
        <v>0</v>
      </c>
      <c r="AL33" s="19">
        <v>142.5</v>
      </c>
      <c r="AM33" t="b">
        <f t="shared" si="0"/>
        <v>1</v>
      </c>
      <c r="AN33" s="21">
        <f t="shared" si="1"/>
        <v>0</v>
      </c>
      <c r="AO33" s="19">
        <f t="shared" si="2"/>
        <v>0</v>
      </c>
      <c r="AP33" s="22">
        <v>15</v>
      </c>
      <c r="AQ33" s="18">
        <f t="shared" si="3"/>
        <v>0</v>
      </c>
      <c r="AR33" s="18">
        <f t="shared" si="4"/>
        <v>7.95</v>
      </c>
      <c r="AS33" s="23">
        <f t="shared" si="5"/>
        <v>7.05</v>
      </c>
      <c r="AT33" s="24">
        <v>46272.943749999999</v>
      </c>
      <c r="AU33" s="16" t="s">
        <v>232</v>
      </c>
      <c r="AV33" s="16">
        <v>291196765</v>
      </c>
      <c r="AW33" s="16">
        <v>737649636</v>
      </c>
      <c r="AX33" s="16" t="s">
        <v>233</v>
      </c>
      <c r="AY33" s="16">
        <v>150</v>
      </c>
      <c r="AZ33" s="16">
        <v>150</v>
      </c>
      <c r="BA33" s="16">
        <v>5</v>
      </c>
      <c r="BB33" s="16">
        <v>7.5</v>
      </c>
      <c r="BC33" s="16">
        <v>15</v>
      </c>
      <c r="BD33" s="16">
        <v>7.95</v>
      </c>
      <c r="BE33" s="16">
        <v>0</v>
      </c>
      <c r="BF33" s="16" t="s">
        <v>69</v>
      </c>
      <c r="BG33" s="16" t="s">
        <v>234</v>
      </c>
      <c r="BH33" s="16">
        <v>15</v>
      </c>
      <c r="BI33" s="16">
        <v>7.05</v>
      </c>
      <c r="BJ33" s="16">
        <v>150.44999999999999</v>
      </c>
      <c r="BK33" s="16">
        <v>7.5</v>
      </c>
      <c r="BL33" s="16">
        <v>7.95</v>
      </c>
    </row>
    <row r="34" spans="1:64" x14ac:dyDescent="0.25">
      <c r="A34" s="24">
        <v>46272</v>
      </c>
      <c r="B34" s="16" t="s">
        <v>235</v>
      </c>
      <c r="C34" s="25">
        <v>51</v>
      </c>
      <c r="F34" s="25">
        <v>19140</v>
      </c>
      <c r="G34" s="25">
        <v>291205025</v>
      </c>
      <c r="H34" s="16" t="s">
        <v>64</v>
      </c>
      <c r="I34" s="16" t="s">
        <v>65</v>
      </c>
      <c r="J34" s="16" t="s">
        <v>66</v>
      </c>
      <c r="K34" s="17">
        <v>189</v>
      </c>
      <c r="L34" t="s">
        <v>198</v>
      </c>
      <c r="M34" t="s">
        <v>236</v>
      </c>
      <c r="N34" t="s">
        <v>69</v>
      </c>
      <c r="O34" s="16" t="s">
        <v>70</v>
      </c>
      <c r="P34" t="s">
        <v>79</v>
      </c>
      <c r="Q34" s="19">
        <v>45</v>
      </c>
      <c r="R34" t="s">
        <v>73</v>
      </c>
      <c r="S34" s="19">
        <v>0</v>
      </c>
      <c r="T34" s="19">
        <v>15</v>
      </c>
      <c r="U34" s="19">
        <v>7.83</v>
      </c>
      <c r="V34" s="19">
        <v>60</v>
      </c>
      <c r="W34" s="19">
        <v>60</v>
      </c>
      <c r="X34" t="s">
        <v>73</v>
      </c>
      <c r="Y34" s="20">
        <v>2.5100000000000001E-2</v>
      </c>
      <c r="Z34" s="19">
        <v>1.1299999999999999</v>
      </c>
      <c r="AA34" s="19">
        <v>58.88</v>
      </c>
      <c r="AB34" s="19">
        <v>1.1299999999999999</v>
      </c>
      <c r="AC34" t="s">
        <v>73</v>
      </c>
      <c r="AD34" s="19">
        <v>0.93</v>
      </c>
      <c r="AE34" s="19">
        <v>0.2</v>
      </c>
      <c r="AF34" s="19">
        <v>1.1299999999999999</v>
      </c>
      <c r="AG34" s="19">
        <v>0</v>
      </c>
      <c r="AH34" s="19">
        <v>60</v>
      </c>
      <c r="AI34" s="19">
        <v>1.1299999999999999</v>
      </c>
      <c r="AJ34" t="s">
        <v>73</v>
      </c>
      <c r="AK34" s="19">
        <v>0</v>
      </c>
      <c r="AL34" s="19">
        <v>58.88</v>
      </c>
      <c r="AM34" t="b">
        <f t="shared" si="0"/>
        <v>1</v>
      </c>
      <c r="AN34" s="21">
        <f t="shared" si="1"/>
        <v>-9.9999999999999395E-5</v>
      </c>
      <c r="AO34" s="19">
        <f t="shared" si="2"/>
        <v>4.9999999999998934E-3</v>
      </c>
      <c r="AP34" s="22">
        <v>15</v>
      </c>
      <c r="AQ34" s="18">
        <f t="shared" si="3"/>
        <v>15</v>
      </c>
      <c r="AR34" s="18">
        <f t="shared" si="4"/>
        <v>0</v>
      </c>
      <c r="AS34" s="23">
        <f t="shared" si="5"/>
        <v>0</v>
      </c>
      <c r="AT34" s="24">
        <v>46273.001388888886</v>
      </c>
      <c r="AU34" s="16" t="s">
        <v>200</v>
      </c>
      <c r="AV34" s="16">
        <v>291205025</v>
      </c>
      <c r="AW34" s="16">
        <v>737680817</v>
      </c>
      <c r="AX34" s="16" t="s">
        <v>110</v>
      </c>
      <c r="AY34" s="16">
        <v>60</v>
      </c>
      <c r="AZ34" s="16">
        <v>45</v>
      </c>
      <c r="BA34" s="16">
        <v>2.5</v>
      </c>
      <c r="BB34" s="16">
        <v>1.125</v>
      </c>
      <c r="BC34" s="16">
        <v>15</v>
      </c>
      <c r="BD34" s="16">
        <v>0</v>
      </c>
      <c r="BE34" s="16">
        <v>14</v>
      </c>
      <c r="BF34" s="16" t="s">
        <v>69</v>
      </c>
      <c r="BG34" s="16" t="s">
        <v>237</v>
      </c>
      <c r="BH34" s="16">
        <v>0</v>
      </c>
      <c r="BI34" s="16">
        <v>0</v>
      </c>
      <c r="BJ34" s="16">
        <v>58.875</v>
      </c>
      <c r="BK34" s="16">
        <v>1.125</v>
      </c>
      <c r="BL34" s="16">
        <v>15</v>
      </c>
    </row>
    <row r="35" spans="1:64" x14ac:dyDescent="0.25">
      <c r="A35" s="24">
        <v>46272</v>
      </c>
      <c r="B35" s="16" t="s">
        <v>238</v>
      </c>
      <c r="C35" s="25">
        <v>76945</v>
      </c>
      <c r="F35" s="25">
        <v>19141</v>
      </c>
      <c r="G35" s="25">
        <v>291206033</v>
      </c>
      <c r="H35" s="16" t="s">
        <v>64</v>
      </c>
      <c r="I35" s="16" t="s">
        <v>65</v>
      </c>
      <c r="J35" s="16" t="s">
        <v>66</v>
      </c>
      <c r="K35" s="17">
        <v>7163</v>
      </c>
      <c r="L35" t="s">
        <v>239</v>
      </c>
      <c r="M35" t="s">
        <v>240</v>
      </c>
      <c r="N35" t="s">
        <v>69</v>
      </c>
      <c r="O35" s="16" t="s">
        <v>70</v>
      </c>
      <c r="P35" t="s">
        <v>71</v>
      </c>
      <c r="Q35" s="19">
        <v>45</v>
      </c>
      <c r="R35" t="s">
        <v>73</v>
      </c>
      <c r="S35" s="19">
        <v>0</v>
      </c>
      <c r="T35" s="19">
        <v>3</v>
      </c>
      <c r="U35" s="19">
        <v>7.83</v>
      </c>
      <c r="V35" s="19">
        <v>48</v>
      </c>
      <c r="W35" s="19">
        <v>48</v>
      </c>
      <c r="X35" t="s">
        <v>73</v>
      </c>
      <c r="Y35" s="20">
        <v>0.05</v>
      </c>
      <c r="Z35" s="19">
        <v>2.25</v>
      </c>
      <c r="AA35" s="19">
        <v>45.75</v>
      </c>
      <c r="AB35" s="19">
        <v>2.25</v>
      </c>
      <c r="AC35" t="s">
        <v>73</v>
      </c>
      <c r="AD35" s="19">
        <v>1.86</v>
      </c>
      <c r="AE35" s="19">
        <v>0.39</v>
      </c>
      <c r="AF35" s="19">
        <v>2.25</v>
      </c>
      <c r="AG35" s="19">
        <v>6.9</v>
      </c>
      <c r="AH35" s="19">
        <v>41.1</v>
      </c>
      <c r="AI35" s="19">
        <v>2.25</v>
      </c>
      <c r="AJ35" t="s">
        <v>73</v>
      </c>
      <c r="AK35" s="19">
        <v>0</v>
      </c>
      <c r="AL35" s="19">
        <v>45.75</v>
      </c>
      <c r="AM35" t="b">
        <f t="shared" si="0"/>
        <v>1</v>
      </c>
      <c r="AN35" s="21">
        <f t="shared" si="1"/>
        <v>0</v>
      </c>
      <c r="AO35" s="19">
        <f t="shared" si="2"/>
        <v>0</v>
      </c>
      <c r="AP35" s="22">
        <v>15</v>
      </c>
      <c r="AQ35" s="18">
        <f t="shared" si="3"/>
        <v>3</v>
      </c>
      <c r="AR35" s="18">
        <f t="shared" si="4"/>
        <v>7</v>
      </c>
      <c r="AS35" s="23">
        <f t="shared" si="5"/>
        <v>5</v>
      </c>
      <c r="AT35" s="24">
        <v>46273.006944444445</v>
      </c>
      <c r="AU35" s="16" t="s">
        <v>241</v>
      </c>
      <c r="AV35" s="16">
        <v>291206033</v>
      </c>
      <c r="AW35" s="16">
        <v>737684371</v>
      </c>
      <c r="AX35" s="16" t="s">
        <v>126</v>
      </c>
      <c r="AY35" s="16">
        <v>48</v>
      </c>
      <c r="AZ35" s="16">
        <v>45</v>
      </c>
      <c r="BA35" s="16">
        <v>5</v>
      </c>
      <c r="BB35" s="16">
        <v>2.25</v>
      </c>
      <c r="BC35" s="16">
        <v>15</v>
      </c>
      <c r="BD35" s="16">
        <v>7</v>
      </c>
      <c r="BE35" s="16">
        <v>2</v>
      </c>
      <c r="BF35" s="16" t="s">
        <v>69</v>
      </c>
      <c r="BG35" s="16" t="s">
        <v>242</v>
      </c>
      <c r="BH35" s="16">
        <v>12</v>
      </c>
      <c r="BI35" s="16">
        <v>5</v>
      </c>
      <c r="BJ35" s="16">
        <v>52.75</v>
      </c>
      <c r="BK35" s="16">
        <v>2.25</v>
      </c>
      <c r="BL35" s="16">
        <v>10</v>
      </c>
    </row>
    <row r="36" spans="1:64" x14ac:dyDescent="0.25">
      <c r="A36" s="24">
        <v>46272</v>
      </c>
      <c r="B36" s="16" t="s">
        <v>243</v>
      </c>
      <c r="C36" s="25">
        <v>45521</v>
      </c>
      <c r="F36" s="25">
        <v>19142</v>
      </c>
      <c r="G36" s="25">
        <v>291206365</v>
      </c>
      <c r="H36" s="16" t="s">
        <v>64</v>
      </c>
      <c r="I36" s="16" t="s">
        <v>65</v>
      </c>
      <c r="J36" s="16" t="s">
        <v>66</v>
      </c>
      <c r="K36" s="17">
        <v>75</v>
      </c>
      <c r="L36" t="s">
        <v>244</v>
      </c>
      <c r="M36" t="s">
        <v>245</v>
      </c>
      <c r="N36" t="s">
        <v>69</v>
      </c>
      <c r="O36" s="16" t="s">
        <v>70</v>
      </c>
      <c r="P36" t="s">
        <v>246</v>
      </c>
      <c r="Q36" s="19">
        <v>35</v>
      </c>
      <c r="R36" t="s">
        <v>73</v>
      </c>
      <c r="S36" s="19">
        <v>0</v>
      </c>
      <c r="T36" s="19">
        <v>0</v>
      </c>
      <c r="U36" s="19">
        <v>6.53</v>
      </c>
      <c r="V36" s="19">
        <v>35</v>
      </c>
      <c r="W36" s="19">
        <v>35</v>
      </c>
      <c r="X36" t="s">
        <v>73</v>
      </c>
      <c r="Y36" s="20">
        <v>0.05</v>
      </c>
      <c r="Z36" s="19">
        <v>1.75</v>
      </c>
      <c r="AA36" s="19">
        <v>33.25</v>
      </c>
      <c r="AB36" s="19">
        <v>1.75</v>
      </c>
      <c r="AC36" t="s">
        <v>73</v>
      </c>
      <c r="AD36" s="19">
        <v>1.42</v>
      </c>
      <c r="AE36" s="19">
        <v>0.33</v>
      </c>
      <c r="AF36" s="19">
        <v>1.75</v>
      </c>
      <c r="AG36" s="19">
        <v>0</v>
      </c>
      <c r="AH36" s="19">
        <v>35</v>
      </c>
      <c r="AI36" s="19">
        <v>1.75</v>
      </c>
      <c r="AJ36" t="s">
        <v>73</v>
      </c>
      <c r="AK36" s="19">
        <v>0</v>
      </c>
      <c r="AL36" s="19">
        <v>33.25</v>
      </c>
      <c r="AM36" t="b">
        <f t="shared" si="0"/>
        <v>1</v>
      </c>
      <c r="AN36" s="21">
        <f t="shared" si="1"/>
        <v>0</v>
      </c>
      <c r="AO36" s="19">
        <f t="shared" si="2"/>
        <v>0</v>
      </c>
      <c r="AP36" s="22">
        <v>15</v>
      </c>
      <c r="AQ36" s="18">
        <f t="shared" si="3"/>
        <v>0</v>
      </c>
      <c r="AR36" s="18">
        <f t="shared" si="4"/>
        <v>7</v>
      </c>
      <c r="AS36" s="23">
        <f t="shared" si="5"/>
        <v>8</v>
      </c>
      <c r="AT36" s="24">
        <v>46273.01458333333</v>
      </c>
      <c r="AU36" s="16" t="s">
        <v>247</v>
      </c>
      <c r="AV36" s="16">
        <v>291206365</v>
      </c>
      <c r="AW36" s="16">
        <v>737682194</v>
      </c>
      <c r="AX36" s="16" t="s">
        <v>248</v>
      </c>
      <c r="AY36" s="16">
        <v>35</v>
      </c>
      <c r="AZ36" s="16">
        <v>35</v>
      </c>
      <c r="BA36" s="16">
        <v>5</v>
      </c>
      <c r="BB36" s="16">
        <v>1.75</v>
      </c>
      <c r="BC36" s="16">
        <v>15</v>
      </c>
      <c r="BD36" s="16">
        <v>7</v>
      </c>
      <c r="BE36" s="16">
        <v>0</v>
      </c>
      <c r="BF36" s="16" t="s">
        <v>69</v>
      </c>
      <c r="BG36" s="16" t="s">
        <v>249</v>
      </c>
      <c r="BH36" s="16">
        <v>15</v>
      </c>
      <c r="BI36" s="16">
        <v>8</v>
      </c>
      <c r="BJ36" s="16">
        <v>40.25</v>
      </c>
      <c r="BK36" s="16">
        <v>1.75</v>
      </c>
      <c r="BL36" s="16">
        <v>7</v>
      </c>
    </row>
    <row r="37" spans="1:64" x14ac:dyDescent="0.25">
      <c r="A37" s="24">
        <v>46273</v>
      </c>
      <c r="B37" s="16" t="s">
        <v>250</v>
      </c>
      <c r="C37" s="25">
        <v>65532</v>
      </c>
      <c r="F37" s="25">
        <v>19143</v>
      </c>
      <c r="G37" s="25">
        <v>291209656</v>
      </c>
      <c r="H37" s="16" t="s">
        <v>64</v>
      </c>
      <c r="I37" s="16" t="s">
        <v>65</v>
      </c>
      <c r="J37" s="16" t="s">
        <v>66</v>
      </c>
      <c r="K37" s="17">
        <v>413</v>
      </c>
      <c r="L37" t="s">
        <v>251</v>
      </c>
      <c r="M37" t="s">
        <v>252</v>
      </c>
      <c r="N37" t="s">
        <v>69</v>
      </c>
      <c r="O37" s="16" t="s">
        <v>70</v>
      </c>
      <c r="P37" t="s">
        <v>71</v>
      </c>
      <c r="Q37" s="19">
        <v>37</v>
      </c>
      <c r="R37" t="s">
        <v>72</v>
      </c>
      <c r="S37" s="19">
        <v>3.7</v>
      </c>
      <c r="T37" s="19">
        <v>0</v>
      </c>
      <c r="U37" s="19">
        <v>6.79</v>
      </c>
      <c r="V37" s="19">
        <v>33.299999999999997</v>
      </c>
      <c r="W37" s="19">
        <v>37</v>
      </c>
      <c r="X37" t="s">
        <v>73</v>
      </c>
      <c r="Y37" s="20">
        <v>0.05</v>
      </c>
      <c r="Z37" s="19">
        <v>1.85</v>
      </c>
      <c r="AA37" s="19">
        <v>35.15</v>
      </c>
      <c r="AB37" s="19">
        <v>1.85</v>
      </c>
      <c r="AC37" t="s">
        <v>73</v>
      </c>
      <c r="AD37" s="19">
        <v>1.51</v>
      </c>
      <c r="AE37" s="19">
        <v>0.34</v>
      </c>
      <c r="AF37" s="19">
        <v>1.85</v>
      </c>
      <c r="AG37" s="19">
        <v>20</v>
      </c>
      <c r="AH37" s="19">
        <v>13.3</v>
      </c>
      <c r="AI37" s="19">
        <v>1.85</v>
      </c>
      <c r="AJ37" t="s">
        <v>73</v>
      </c>
      <c r="AK37" s="19">
        <v>0</v>
      </c>
      <c r="AL37" s="19">
        <v>35.15</v>
      </c>
      <c r="AM37" t="b">
        <f t="shared" si="0"/>
        <v>1</v>
      </c>
      <c r="AN37" s="21">
        <f t="shared" si="1"/>
        <v>0</v>
      </c>
      <c r="AO37" s="19">
        <f t="shared" si="2"/>
        <v>0</v>
      </c>
      <c r="AP37" s="22">
        <v>15</v>
      </c>
      <c r="AQ37" s="18">
        <f t="shared" si="3"/>
        <v>0</v>
      </c>
      <c r="AR37" s="18">
        <f t="shared" si="4"/>
        <v>4.9499999999999993</v>
      </c>
      <c r="AS37" s="23">
        <f t="shared" si="5"/>
        <v>10.050000000000001</v>
      </c>
      <c r="AT37" s="24">
        <v>46273.065972222219</v>
      </c>
      <c r="AU37" s="16" t="s">
        <v>253</v>
      </c>
      <c r="AV37" s="16">
        <v>291209656</v>
      </c>
      <c r="AW37" s="16">
        <v>737704765</v>
      </c>
      <c r="AX37" s="16" t="s">
        <v>254</v>
      </c>
      <c r="AY37" s="16">
        <v>37</v>
      </c>
      <c r="AZ37" s="16">
        <v>37</v>
      </c>
      <c r="BA37" s="16">
        <v>5</v>
      </c>
      <c r="BB37" s="16">
        <v>1.85</v>
      </c>
      <c r="BC37" s="16">
        <v>15</v>
      </c>
      <c r="BD37" s="16">
        <v>4.95</v>
      </c>
      <c r="BE37" s="16">
        <v>0</v>
      </c>
      <c r="BF37" s="16" t="s">
        <v>69</v>
      </c>
      <c r="BG37" s="16" t="s">
        <v>255</v>
      </c>
      <c r="BH37" s="16">
        <v>15</v>
      </c>
      <c r="BI37" s="16">
        <v>10.050000000000001</v>
      </c>
      <c r="BJ37" s="16">
        <v>40.1</v>
      </c>
      <c r="BK37" s="16">
        <v>1.85</v>
      </c>
      <c r="BL37" s="16">
        <v>4.9499999999999993</v>
      </c>
    </row>
    <row r="38" spans="1:64" x14ac:dyDescent="0.25">
      <c r="A38" s="24">
        <v>46273</v>
      </c>
      <c r="B38" s="16" t="s">
        <v>256</v>
      </c>
      <c r="C38" s="25">
        <v>60063</v>
      </c>
      <c r="F38" s="25">
        <v>19144</v>
      </c>
      <c r="G38" s="25">
        <v>291209884</v>
      </c>
      <c r="H38" s="16" t="s">
        <v>64</v>
      </c>
      <c r="I38" s="16" t="s">
        <v>65</v>
      </c>
      <c r="J38" s="16" t="s">
        <v>66</v>
      </c>
      <c r="K38" s="17">
        <v>4887</v>
      </c>
      <c r="L38" t="s">
        <v>257</v>
      </c>
      <c r="M38" t="s">
        <v>258</v>
      </c>
      <c r="N38" t="s">
        <v>69</v>
      </c>
      <c r="O38" s="16" t="s">
        <v>70</v>
      </c>
      <c r="P38" t="s">
        <v>71</v>
      </c>
      <c r="Q38" s="19">
        <v>52</v>
      </c>
      <c r="R38" t="s">
        <v>72</v>
      </c>
      <c r="S38" s="19">
        <v>5.2</v>
      </c>
      <c r="T38" s="19">
        <v>0</v>
      </c>
      <c r="U38" s="19">
        <v>1.96</v>
      </c>
      <c r="V38" s="19">
        <v>46.8</v>
      </c>
      <c r="W38" s="19">
        <v>52</v>
      </c>
      <c r="X38" t="s">
        <v>73</v>
      </c>
      <c r="Y38" s="20">
        <v>0.05</v>
      </c>
      <c r="Z38" s="19">
        <v>2.6</v>
      </c>
      <c r="AA38" s="19">
        <v>49.4</v>
      </c>
      <c r="AB38" s="19">
        <v>2.6</v>
      </c>
      <c r="AC38" t="s">
        <v>73</v>
      </c>
      <c r="AD38" s="19">
        <v>2.5</v>
      </c>
      <c r="AE38" s="19">
        <v>0.1</v>
      </c>
      <c r="AF38" s="19">
        <v>2.6</v>
      </c>
      <c r="AG38" s="19">
        <v>20</v>
      </c>
      <c r="AH38" s="19">
        <v>26.8</v>
      </c>
      <c r="AI38" s="19">
        <v>2.6</v>
      </c>
      <c r="AJ38" t="s">
        <v>73</v>
      </c>
      <c r="AK38" s="19">
        <v>0</v>
      </c>
      <c r="AL38" s="19">
        <v>49.4</v>
      </c>
      <c r="AM38" t="b">
        <f t="shared" si="0"/>
        <v>1</v>
      </c>
      <c r="AN38" s="21">
        <f t="shared" si="1"/>
        <v>0</v>
      </c>
      <c r="AO38" s="19">
        <f t="shared" si="2"/>
        <v>0</v>
      </c>
      <c r="AP38" s="22">
        <v>15</v>
      </c>
      <c r="AQ38" s="18">
        <f t="shared" si="3"/>
        <v>0</v>
      </c>
      <c r="AR38" s="18">
        <f t="shared" si="4"/>
        <v>4.9499999999999993</v>
      </c>
      <c r="AS38" s="23">
        <f t="shared" si="5"/>
        <v>10.050000000000001</v>
      </c>
      <c r="AT38" s="24">
        <v>46273.074999999997</v>
      </c>
      <c r="AU38" s="16" t="s">
        <v>259</v>
      </c>
      <c r="AV38" s="16">
        <v>291209884</v>
      </c>
      <c r="AW38" s="16">
        <v>737705852</v>
      </c>
      <c r="AX38" s="16" t="s">
        <v>110</v>
      </c>
      <c r="AY38" s="16">
        <v>52</v>
      </c>
      <c r="AZ38" s="16">
        <v>52</v>
      </c>
      <c r="BA38" s="16">
        <v>5</v>
      </c>
      <c r="BB38" s="16">
        <v>2.6</v>
      </c>
      <c r="BC38" s="16">
        <v>15</v>
      </c>
      <c r="BD38" s="16">
        <v>4.95</v>
      </c>
      <c r="BE38" s="16">
        <v>0</v>
      </c>
      <c r="BF38" s="16" t="s">
        <v>69</v>
      </c>
      <c r="BG38" s="16" t="s">
        <v>260</v>
      </c>
      <c r="BH38" s="16">
        <v>15</v>
      </c>
      <c r="BI38" s="16">
        <v>10.050000000000001</v>
      </c>
      <c r="BJ38" s="16">
        <v>54.35</v>
      </c>
      <c r="BK38" s="16">
        <v>2.6</v>
      </c>
      <c r="BL38" s="16">
        <v>4.9499999999999993</v>
      </c>
    </row>
    <row r="39" spans="1:64" x14ac:dyDescent="0.25">
      <c r="A39" s="24">
        <v>46273</v>
      </c>
      <c r="B39" s="16" t="s">
        <v>261</v>
      </c>
      <c r="C39" s="25">
        <v>78821</v>
      </c>
      <c r="F39" s="25">
        <v>19146</v>
      </c>
      <c r="G39" s="25">
        <v>291211206</v>
      </c>
      <c r="H39" s="16" t="s">
        <v>64</v>
      </c>
      <c r="I39" s="16" t="s">
        <v>65</v>
      </c>
      <c r="J39" s="16" t="s">
        <v>66</v>
      </c>
      <c r="K39" s="17">
        <v>417</v>
      </c>
      <c r="L39" t="s">
        <v>262</v>
      </c>
      <c r="M39" t="s">
        <v>263</v>
      </c>
      <c r="N39" t="s">
        <v>69</v>
      </c>
      <c r="O39" s="16" t="s">
        <v>70</v>
      </c>
      <c r="P39" t="s">
        <v>71</v>
      </c>
      <c r="Q39" s="19">
        <v>27</v>
      </c>
      <c r="R39" t="s">
        <v>73</v>
      </c>
      <c r="S39" s="19">
        <v>0</v>
      </c>
      <c r="T39" s="19">
        <v>28</v>
      </c>
      <c r="U39" s="19">
        <v>7.17</v>
      </c>
      <c r="V39" s="19">
        <v>55</v>
      </c>
      <c r="W39" s="19">
        <v>55</v>
      </c>
      <c r="X39" t="s">
        <v>73</v>
      </c>
      <c r="Y39" s="20">
        <v>0.05</v>
      </c>
      <c r="Z39" s="19">
        <v>1.35</v>
      </c>
      <c r="AA39" s="19">
        <v>53.65</v>
      </c>
      <c r="AB39" s="19">
        <v>1.35</v>
      </c>
      <c r="AC39" t="s">
        <v>73</v>
      </c>
      <c r="AD39" s="19">
        <v>0.99</v>
      </c>
      <c r="AE39" s="19">
        <v>0.36</v>
      </c>
      <c r="AF39" s="19">
        <v>1.35</v>
      </c>
      <c r="AG39" s="19">
        <v>1.76</v>
      </c>
      <c r="AH39" s="19">
        <v>53.24</v>
      </c>
      <c r="AI39" s="19">
        <v>1.35</v>
      </c>
      <c r="AJ39" t="s">
        <v>73</v>
      </c>
      <c r="AK39" s="19">
        <v>0</v>
      </c>
      <c r="AL39" s="19">
        <v>53.65</v>
      </c>
      <c r="AM39" t="b">
        <f t="shared" si="0"/>
        <v>1</v>
      </c>
      <c r="AN39" s="21">
        <f t="shared" si="1"/>
        <v>0</v>
      </c>
      <c r="AO39" s="19">
        <f t="shared" si="2"/>
        <v>0</v>
      </c>
      <c r="AP39" s="22">
        <v>28</v>
      </c>
      <c r="AQ39" s="18">
        <f t="shared" si="3"/>
        <v>28</v>
      </c>
      <c r="AR39" s="18">
        <f t="shared" si="4"/>
        <v>0</v>
      </c>
      <c r="AS39" s="23">
        <f t="shared" si="5"/>
        <v>0</v>
      </c>
      <c r="AT39" s="24">
        <v>46273.114583333336</v>
      </c>
      <c r="AU39" s="16" t="s">
        <v>264</v>
      </c>
      <c r="AV39" s="16">
        <v>291211206</v>
      </c>
      <c r="AW39" s="16">
        <v>737715822</v>
      </c>
      <c r="AX39" s="16" t="s">
        <v>106</v>
      </c>
      <c r="AY39" s="16">
        <v>55</v>
      </c>
      <c r="AZ39" s="16">
        <v>27</v>
      </c>
      <c r="BA39" s="16">
        <v>5</v>
      </c>
      <c r="BB39" s="16">
        <v>1.35</v>
      </c>
      <c r="BC39" s="16">
        <v>28</v>
      </c>
      <c r="BD39" s="16">
        <v>0</v>
      </c>
      <c r="BE39" s="16">
        <v>27</v>
      </c>
      <c r="BF39" s="16" t="s">
        <v>69</v>
      </c>
      <c r="BG39" s="16" t="s">
        <v>265</v>
      </c>
      <c r="BH39" s="16">
        <v>0</v>
      </c>
      <c r="BI39" s="16">
        <v>0</v>
      </c>
      <c r="BJ39" s="16">
        <v>53.65</v>
      </c>
      <c r="BK39" s="16">
        <v>1.35</v>
      </c>
      <c r="BL39" s="16">
        <v>28</v>
      </c>
    </row>
    <row r="40" spans="1:64" x14ac:dyDescent="0.25">
      <c r="A40" s="24">
        <v>46273</v>
      </c>
      <c r="B40" s="16" t="s">
        <v>266</v>
      </c>
      <c r="C40" s="25">
        <v>78821</v>
      </c>
      <c r="F40" s="25">
        <v>19147</v>
      </c>
      <c r="G40" s="25">
        <v>291211287</v>
      </c>
      <c r="H40" s="16" t="s">
        <v>64</v>
      </c>
      <c r="I40" s="16" t="s">
        <v>65</v>
      </c>
      <c r="J40" s="16" t="s">
        <v>66</v>
      </c>
      <c r="K40" s="17">
        <v>15974</v>
      </c>
      <c r="L40" t="s">
        <v>267</v>
      </c>
      <c r="M40" t="s">
        <v>268</v>
      </c>
      <c r="N40" t="s">
        <v>69</v>
      </c>
      <c r="O40" s="16" t="s">
        <v>70</v>
      </c>
      <c r="P40" t="s">
        <v>71</v>
      </c>
      <c r="Q40" s="19">
        <v>32</v>
      </c>
      <c r="R40" t="s">
        <v>73</v>
      </c>
      <c r="S40" s="19">
        <v>0</v>
      </c>
      <c r="T40" s="19">
        <v>37</v>
      </c>
      <c r="U40" s="19">
        <v>9</v>
      </c>
      <c r="V40" s="19">
        <v>69</v>
      </c>
      <c r="W40" s="19">
        <v>69</v>
      </c>
      <c r="X40" t="s">
        <v>73</v>
      </c>
      <c r="Y40" s="20">
        <v>0.05</v>
      </c>
      <c r="Z40" s="19">
        <v>1.6</v>
      </c>
      <c r="AA40" s="19">
        <v>67.400000000000006</v>
      </c>
      <c r="AB40" s="19">
        <v>1.6</v>
      </c>
      <c r="AC40" t="s">
        <v>73</v>
      </c>
      <c r="AD40" s="19">
        <v>1.1499999999999999</v>
      </c>
      <c r="AE40" s="19">
        <v>0.45</v>
      </c>
      <c r="AF40" s="19">
        <v>1.6</v>
      </c>
      <c r="AG40" s="19">
        <v>0.55000000000000004</v>
      </c>
      <c r="AH40" s="19">
        <v>68.45</v>
      </c>
      <c r="AI40" s="19">
        <v>1.6</v>
      </c>
      <c r="AJ40" t="s">
        <v>73</v>
      </c>
      <c r="AK40" s="19">
        <v>0</v>
      </c>
      <c r="AL40" s="19">
        <v>67.400000000000006</v>
      </c>
      <c r="AM40" t="b">
        <f t="shared" si="0"/>
        <v>1</v>
      </c>
      <c r="AN40" s="21">
        <f t="shared" si="1"/>
        <v>0</v>
      </c>
      <c r="AO40" s="19">
        <f t="shared" si="2"/>
        <v>0</v>
      </c>
      <c r="AP40" s="22">
        <v>37</v>
      </c>
      <c r="AQ40" s="18">
        <f t="shared" si="3"/>
        <v>37</v>
      </c>
      <c r="AR40" s="18">
        <f t="shared" si="4"/>
        <v>0</v>
      </c>
      <c r="AS40" s="23">
        <f t="shared" si="5"/>
        <v>0</v>
      </c>
      <c r="AT40" s="24">
        <v>46273.131249999999</v>
      </c>
      <c r="AU40" s="16" t="s">
        <v>269</v>
      </c>
      <c r="AV40" s="16">
        <v>291211287</v>
      </c>
      <c r="AW40" s="16">
        <v>737716503</v>
      </c>
      <c r="AX40" s="16" t="s">
        <v>106</v>
      </c>
      <c r="AY40" s="16">
        <v>69</v>
      </c>
      <c r="AZ40" s="16">
        <v>32</v>
      </c>
      <c r="BA40" s="16">
        <v>5</v>
      </c>
      <c r="BB40" s="16">
        <v>1.6</v>
      </c>
      <c r="BC40" s="16">
        <v>37</v>
      </c>
      <c r="BD40" s="16">
        <v>0</v>
      </c>
      <c r="BE40" s="16">
        <v>35</v>
      </c>
      <c r="BF40" s="16" t="s">
        <v>69</v>
      </c>
      <c r="BG40" s="16" t="s">
        <v>270</v>
      </c>
      <c r="BH40" s="16">
        <v>0</v>
      </c>
      <c r="BI40" s="16">
        <v>0</v>
      </c>
      <c r="BJ40" s="16">
        <v>67.400000000000006</v>
      </c>
      <c r="BK40" s="16">
        <v>1.6</v>
      </c>
      <c r="BL40" s="16">
        <v>37</v>
      </c>
    </row>
    <row r="41" spans="1:64" x14ac:dyDescent="0.25">
      <c r="A41" s="24">
        <v>46273</v>
      </c>
      <c r="B41" s="16" t="s">
        <v>271</v>
      </c>
      <c r="C41" s="25">
        <v>75595</v>
      </c>
      <c r="D41" s="17" t="s">
        <v>272</v>
      </c>
      <c r="F41" s="25">
        <v>19148</v>
      </c>
      <c r="G41" s="25">
        <v>291211756</v>
      </c>
      <c r="H41" s="16" t="s">
        <v>64</v>
      </c>
      <c r="I41" s="16" t="s">
        <v>65</v>
      </c>
      <c r="J41" s="16" t="s">
        <v>66</v>
      </c>
      <c r="K41" s="17">
        <v>68</v>
      </c>
      <c r="L41" t="s">
        <v>273</v>
      </c>
      <c r="M41" t="s">
        <v>274</v>
      </c>
      <c r="N41" t="s">
        <v>69</v>
      </c>
      <c r="O41" s="16" t="s">
        <v>70</v>
      </c>
      <c r="P41" t="s">
        <v>71</v>
      </c>
      <c r="Q41" s="19">
        <v>41</v>
      </c>
      <c r="R41" t="s">
        <v>72</v>
      </c>
      <c r="S41" s="19">
        <v>4.0999999999999996</v>
      </c>
      <c r="T41" s="19">
        <v>0</v>
      </c>
      <c r="U41" s="19">
        <v>7.31</v>
      </c>
      <c r="V41" s="19">
        <v>36.9</v>
      </c>
      <c r="W41" s="19">
        <v>41</v>
      </c>
      <c r="X41" t="s">
        <v>73</v>
      </c>
      <c r="Y41" s="20">
        <v>0.05</v>
      </c>
      <c r="Z41" s="19">
        <v>2.0499999999999998</v>
      </c>
      <c r="AA41" s="19">
        <v>38.950000000000003</v>
      </c>
      <c r="AB41" s="19">
        <v>2.0499999999999998</v>
      </c>
      <c r="AC41" t="s">
        <v>73</v>
      </c>
      <c r="AD41" s="19">
        <v>1.68</v>
      </c>
      <c r="AE41" s="19">
        <v>0.37</v>
      </c>
      <c r="AF41" s="19">
        <v>2.0499999999999998</v>
      </c>
      <c r="AG41" s="19">
        <v>18</v>
      </c>
      <c r="AH41" s="19">
        <v>18.899999999999999</v>
      </c>
      <c r="AI41" s="19">
        <v>2.0499999999999998</v>
      </c>
      <c r="AJ41" t="s">
        <v>73</v>
      </c>
      <c r="AK41" s="19">
        <v>0</v>
      </c>
      <c r="AL41" s="19">
        <v>38.950000000000003</v>
      </c>
      <c r="AM41" t="b">
        <f t="shared" si="0"/>
        <v>1</v>
      </c>
      <c r="AN41" s="21">
        <f t="shared" si="1"/>
        <v>0</v>
      </c>
      <c r="AO41" s="19">
        <f t="shared" si="2"/>
        <v>0</v>
      </c>
      <c r="AP41" s="22">
        <v>15</v>
      </c>
      <c r="AQ41" s="18">
        <f t="shared" si="3"/>
        <v>0</v>
      </c>
      <c r="AR41" s="18">
        <f t="shared" si="4"/>
        <v>6.9</v>
      </c>
      <c r="AS41" s="23">
        <f t="shared" si="5"/>
        <v>8.1</v>
      </c>
      <c r="AT41" s="24">
        <v>46273.146527777775</v>
      </c>
      <c r="AU41" s="16" t="s">
        <v>275</v>
      </c>
      <c r="AV41" s="16">
        <v>291211756</v>
      </c>
      <c r="AW41" s="16">
        <v>737721603</v>
      </c>
      <c r="AX41" s="16" t="s">
        <v>110</v>
      </c>
      <c r="AY41" s="16">
        <v>41</v>
      </c>
      <c r="AZ41" s="16">
        <v>41</v>
      </c>
      <c r="BA41" s="16">
        <v>5</v>
      </c>
      <c r="BB41" s="16">
        <v>2.0499999999999998</v>
      </c>
      <c r="BC41" s="16">
        <v>15</v>
      </c>
      <c r="BD41" s="16">
        <v>6.9</v>
      </c>
      <c r="BE41" s="16">
        <v>0</v>
      </c>
      <c r="BF41" s="16" t="s">
        <v>69</v>
      </c>
      <c r="BG41" s="16" t="s">
        <v>276</v>
      </c>
      <c r="BH41" s="16">
        <v>15</v>
      </c>
      <c r="BI41" s="16">
        <v>8.1</v>
      </c>
      <c r="BJ41" s="16">
        <v>45.85</v>
      </c>
      <c r="BK41" s="16">
        <v>2.0499999999999998</v>
      </c>
      <c r="BL41" s="16">
        <v>6.9</v>
      </c>
    </row>
    <row r="42" spans="1:64" x14ac:dyDescent="0.25">
      <c r="A42" s="24">
        <v>46273</v>
      </c>
      <c r="B42" s="16" t="s">
        <v>277</v>
      </c>
      <c r="C42" s="25">
        <v>33842</v>
      </c>
      <c r="F42" s="25">
        <v>19149</v>
      </c>
      <c r="G42" s="25">
        <v>291213219</v>
      </c>
      <c r="H42" s="16" t="s">
        <v>64</v>
      </c>
      <c r="I42" s="16" t="s">
        <v>65</v>
      </c>
      <c r="J42" s="16" t="s">
        <v>66</v>
      </c>
      <c r="K42" s="17">
        <v>3</v>
      </c>
      <c r="L42" t="s">
        <v>207</v>
      </c>
      <c r="M42" t="s">
        <v>73</v>
      </c>
      <c r="N42" t="s">
        <v>69</v>
      </c>
      <c r="O42" s="16" t="s">
        <v>70</v>
      </c>
      <c r="P42" t="s">
        <v>92</v>
      </c>
      <c r="Q42" s="19">
        <v>40</v>
      </c>
      <c r="R42" t="s">
        <v>72</v>
      </c>
      <c r="S42" s="19">
        <v>4</v>
      </c>
      <c r="T42" s="19">
        <v>7</v>
      </c>
      <c r="U42" s="19">
        <v>8.09</v>
      </c>
      <c r="V42" s="19">
        <v>43</v>
      </c>
      <c r="W42" s="19">
        <v>47</v>
      </c>
      <c r="X42" t="s">
        <v>73</v>
      </c>
      <c r="Y42" s="20">
        <v>4.4999999999999998E-2</v>
      </c>
      <c r="Z42" s="19">
        <v>1.8</v>
      </c>
      <c r="AA42" s="19">
        <v>45.2</v>
      </c>
      <c r="AB42" s="19">
        <v>1.8</v>
      </c>
      <c r="AC42" t="s">
        <v>73</v>
      </c>
      <c r="AD42" s="19">
        <v>1.44</v>
      </c>
      <c r="AE42" s="19">
        <v>0.36</v>
      </c>
      <c r="AF42" s="19">
        <v>1.8</v>
      </c>
      <c r="AG42" s="19">
        <v>43</v>
      </c>
      <c r="AH42" s="19">
        <v>0</v>
      </c>
      <c r="AI42" s="19">
        <v>1.8</v>
      </c>
      <c r="AJ42" t="s">
        <v>73</v>
      </c>
      <c r="AK42" s="19">
        <v>0</v>
      </c>
      <c r="AL42" s="19">
        <v>45.2</v>
      </c>
      <c r="AM42" t="b">
        <f t="shared" si="0"/>
        <v>1</v>
      </c>
      <c r="AN42" s="21">
        <f t="shared" si="1"/>
        <v>0</v>
      </c>
      <c r="AO42" s="19">
        <f t="shared" si="2"/>
        <v>0</v>
      </c>
      <c r="AP42" s="22">
        <v>22</v>
      </c>
      <c r="AQ42" s="18">
        <f t="shared" si="3"/>
        <v>7</v>
      </c>
      <c r="AR42" s="18">
        <f t="shared" si="4"/>
        <v>6.9</v>
      </c>
      <c r="AS42" s="23">
        <f t="shared" si="5"/>
        <v>8.1</v>
      </c>
      <c r="AT42" s="24">
        <v>46273.282638888886</v>
      </c>
      <c r="AU42" s="16" t="s">
        <v>209</v>
      </c>
      <c r="AV42" s="16">
        <v>291213219</v>
      </c>
      <c r="AW42" s="16">
        <v>737737171</v>
      </c>
      <c r="AX42" s="16" t="s">
        <v>278</v>
      </c>
      <c r="AY42" s="16">
        <v>47</v>
      </c>
      <c r="AZ42" s="16">
        <v>40</v>
      </c>
      <c r="BA42" s="16">
        <v>4.5</v>
      </c>
      <c r="BB42" s="16">
        <v>1.8</v>
      </c>
      <c r="BC42" s="16">
        <v>22</v>
      </c>
      <c r="BD42" s="16">
        <v>6.9</v>
      </c>
      <c r="BE42" s="16">
        <v>6</v>
      </c>
      <c r="BF42" s="16" t="s">
        <v>69</v>
      </c>
      <c r="BG42" s="16" t="s">
        <v>279</v>
      </c>
      <c r="BH42" s="16">
        <v>15</v>
      </c>
      <c r="BI42" s="16">
        <v>8.1</v>
      </c>
      <c r="BJ42" s="16">
        <v>52.1</v>
      </c>
      <c r="BK42" s="16">
        <v>1.8</v>
      </c>
      <c r="BL42" s="16">
        <v>13.9</v>
      </c>
    </row>
    <row r="43" spans="1:64" x14ac:dyDescent="0.25">
      <c r="A43" s="11">
        <v>46273</v>
      </c>
      <c r="B43" s="12" t="s">
        <v>280</v>
      </c>
      <c r="C43" s="13">
        <v>66480</v>
      </c>
      <c r="D43" s="14"/>
      <c r="F43" s="25">
        <v>19150</v>
      </c>
      <c r="G43" s="25">
        <v>291216471</v>
      </c>
      <c r="H43" s="16" t="s">
        <v>64</v>
      </c>
      <c r="I43" s="16" t="s">
        <v>65</v>
      </c>
      <c r="J43" s="16" t="s">
        <v>66</v>
      </c>
      <c r="K43" s="17">
        <v>7163</v>
      </c>
      <c r="L43" t="s">
        <v>239</v>
      </c>
      <c r="M43" t="s">
        <v>281</v>
      </c>
      <c r="N43" t="s">
        <v>69</v>
      </c>
      <c r="O43" s="16" t="s">
        <v>70</v>
      </c>
      <c r="P43" t="s">
        <v>86</v>
      </c>
      <c r="Q43" s="19">
        <v>38</v>
      </c>
      <c r="R43" t="s">
        <v>73</v>
      </c>
      <c r="S43" s="19">
        <v>0</v>
      </c>
      <c r="T43" s="19">
        <v>3</v>
      </c>
      <c r="U43" s="19">
        <v>6.92</v>
      </c>
      <c r="V43" s="19">
        <v>41</v>
      </c>
      <c r="W43" s="19">
        <v>41</v>
      </c>
      <c r="X43" t="s">
        <v>73</v>
      </c>
      <c r="Y43" s="20">
        <v>0.05</v>
      </c>
      <c r="Z43" s="19">
        <v>1.9</v>
      </c>
      <c r="AA43" s="19">
        <v>39.1</v>
      </c>
      <c r="AB43" s="19">
        <v>1.9</v>
      </c>
      <c r="AC43" t="s">
        <v>73</v>
      </c>
      <c r="AD43" s="19">
        <v>1.55</v>
      </c>
      <c r="AE43" s="19">
        <v>0.35</v>
      </c>
      <c r="AF43" s="19">
        <v>1.9</v>
      </c>
      <c r="AG43" s="19">
        <v>0</v>
      </c>
      <c r="AH43" s="19">
        <v>41</v>
      </c>
      <c r="AI43" s="19">
        <v>1.9</v>
      </c>
      <c r="AJ43" t="s">
        <v>73</v>
      </c>
      <c r="AK43" s="19">
        <v>0</v>
      </c>
      <c r="AL43" s="19">
        <v>39.1</v>
      </c>
      <c r="AM43" t="b">
        <f t="shared" si="0"/>
        <v>1</v>
      </c>
      <c r="AN43" s="21">
        <f t="shared" si="1"/>
        <v>0</v>
      </c>
      <c r="AO43" s="19">
        <f t="shared" si="2"/>
        <v>0</v>
      </c>
      <c r="AP43" s="22">
        <v>15</v>
      </c>
      <c r="AQ43" s="18">
        <f t="shared" si="3"/>
        <v>3</v>
      </c>
      <c r="AR43" s="18">
        <f t="shared" si="4"/>
        <v>7</v>
      </c>
      <c r="AS43" s="23">
        <f t="shared" si="5"/>
        <v>5</v>
      </c>
      <c r="AT43" s="24">
        <v>46273.35</v>
      </c>
      <c r="AU43" s="16" t="s">
        <v>241</v>
      </c>
      <c r="AV43" s="16">
        <v>291216471</v>
      </c>
      <c r="AW43" s="16">
        <v>737754814</v>
      </c>
      <c r="AX43" s="16" t="s">
        <v>110</v>
      </c>
      <c r="AY43" s="16">
        <v>41</v>
      </c>
      <c r="AZ43" s="16">
        <v>38</v>
      </c>
      <c r="BA43" s="16">
        <v>5</v>
      </c>
      <c r="BB43" s="16">
        <v>1.9</v>
      </c>
      <c r="BC43" s="16">
        <v>15</v>
      </c>
      <c r="BD43" s="16">
        <v>7</v>
      </c>
      <c r="BE43" s="16">
        <v>2</v>
      </c>
      <c r="BF43" s="16" t="s">
        <v>69</v>
      </c>
      <c r="BG43" s="16" t="s">
        <v>282</v>
      </c>
      <c r="BH43" s="16">
        <v>12</v>
      </c>
      <c r="BI43" s="16">
        <v>5</v>
      </c>
      <c r="BJ43" s="16">
        <v>46.1</v>
      </c>
      <c r="BK43" s="16">
        <v>1.9</v>
      </c>
      <c r="BL43" s="16">
        <v>10</v>
      </c>
    </row>
    <row r="44" spans="1:64" x14ac:dyDescent="0.25">
      <c r="A44" s="24">
        <v>46273</v>
      </c>
      <c r="B44" s="16" t="s">
        <v>283</v>
      </c>
      <c r="C44" s="25">
        <v>61223</v>
      </c>
      <c r="F44" s="25">
        <v>19152</v>
      </c>
      <c r="G44" s="25">
        <v>291243596</v>
      </c>
      <c r="H44" s="16" t="s">
        <v>64</v>
      </c>
      <c r="I44" s="16" t="s">
        <v>65</v>
      </c>
      <c r="J44" s="16" t="s">
        <v>66</v>
      </c>
      <c r="K44" s="17">
        <v>1917</v>
      </c>
      <c r="L44" t="s">
        <v>284</v>
      </c>
      <c r="M44" t="s">
        <v>285</v>
      </c>
      <c r="N44" t="s">
        <v>69</v>
      </c>
      <c r="O44" s="16" t="s">
        <v>70</v>
      </c>
      <c r="P44" t="s">
        <v>71</v>
      </c>
      <c r="Q44" s="19">
        <v>129</v>
      </c>
      <c r="R44" t="s">
        <v>72</v>
      </c>
      <c r="S44" s="19">
        <v>12.9</v>
      </c>
      <c r="T44" s="19">
        <v>2</v>
      </c>
      <c r="U44" s="19">
        <v>19.05</v>
      </c>
      <c r="V44" s="19">
        <v>118.1</v>
      </c>
      <c r="W44" s="19">
        <v>131</v>
      </c>
      <c r="X44" t="s">
        <v>73</v>
      </c>
      <c r="Y44" s="20">
        <v>0.05</v>
      </c>
      <c r="Z44" s="19">
        <v>6.45</v>
      </c>
      <c r="AA44" s="19">
        <v>124.55</v>
      </c>
      <c r="AB44" s="19">
        <v>6.45</v>
      </c>
      <c r="AC44" t="s">
        <v>73</v>
      </c>
      <c r="AD44" s="19">
        <v>5.5</v>
      </c>
      <c r="AE44" s="19">
        <v>0.95</v>
      </c>
      <c r="AF44" s="19">
        <v>6.45</v>
      </c>
      <c r="AG44" s="19">
        <v>20.88</v>
      </c>
      <c r="AH44" s="19">
        <v>97.22</v>
      </c>
      <c r="AI44" s="19">
        <v>6.45</v>
      </c>
      <c r="AJ44" t="s">
        <v>73</v>
      </c>
      <c r="AK44" s="19">
        <v>0</v>
      </c>
      <c r="AL44" s="19">
        <v>124.55</v>
      </c>
      <c r="AM44" t="b">
        <f t="shared" si="0"/>
        <v>1</v>
      </c>
      <c r="AN44" s="21">
        <f t="shared" si="1"/>
        <v>0</v>
      </c>
      <c r="AO44" s="19">
        <f t="shared" si="2"/>
        <v>0</v>
      </c>
      <c r="AP44" s="22">
        <v>17</v>
      </c>
      <c r="AQ44" s="18">
        <f t="shared" si="3"/>
        <v>2</v>
      </c>
      <c r="AR44" s="18">
        <f t="shared" si="4"/>
        <v>4.9499999999999993</v>
      </c>
      <c r="AS44" s="23">
        <f t="shared" si="5"/>
        <v>10.050000000000001</v>
      </c>
      <c r="AT44" s="24">
        <v>46273.581944444442</v>
      </c>
      <c r="AU44" s="16" t="s">
        <v>284</v>
      </c>
      <c r="AV44" s="16">
        <v>291243596</v>
      </c>
      <c r="AW44" s="16">
        <v>737837387</v>
      </c>
      <c r="AX44" s="16" t="s">
        <v>286</v>
      </c>
      <c r="AY44" s="16">
        <v>131</v>
      </c>
      <c r="AZ44" s="16">
        <v>129</v>
      </c>
      <c r="BA44" s="16">
        <v>5</v>
      </c>
      <c r="BB44" s="16">
        <v>6.45</v>
      </c>
      <c r="BC44" s="16">
        <v>17</v>
      </c>
      <c r="BD44" s="16">
        <v>4.95</v>
      </c>
      <c r="BE44" s="16">
        <v>1</v>
      </c>
      <c r="BF44" s="16" t="s">
        <v>69</v>
      </c>
      <c r="BG44" s="16" t="s">
        <v>287</v>
      </c>
      <c r="BH44" s="16">
        <v>15</v>
      </c>
      <c r="BI44" s="16">
        <v>10.050000000000001</v>
      </c>
      <c r="BJ44" s="16">
        <v>129.5</v>
      </c>
      <c r="BK44" s="16">
        <v>6.45</v>
      </c>
      <c r="BL44" s="16">
        <v>6.9499999999999993</v>
      </c>
    </row>
    <row r="45" spans="1:64" x14ac:dyDescent="0.25">
      <c r="A45" s="24">
        <v>46273</v>
      </c>
      <c r="B45" s="16" t="s">
        <v>288</v>
      </c>
      <c r="C45" s="25">
        <v>76945</v>
      </c>
      <c r="F45" s="25">
        <v>19155</v>
      </c>
      <c r="G45" s="25">
        <v>291248922</v>
      </c>
      <c r="H45" s="16" t="s">
        <v>64</v>
      </c>
      <c r="I45" s="16" t="s">
        <v>65</v>
      </c>
      <c r="J45" s="16" t="s">
        <v>66</v>
      </c>
      <c r="K45" s="17">
        <v>20</v>
      </c>
      <c r="L45" t="s">
        <v>118</v>
      </c>
      <c r="M45" t="s">
        <v>289</v>
      </c>
      <c r="N45" t="s">
        <v>69</v>
      </c>
      <c r="O45" s="16" t="s">
        <v>70</v>
      </c>
      <c r="P45" t="s">
        <v>71</v>
      </c>
      <c r="Q45" s="19">
        <v>48.5</v>
      </c>
      <c r="R45" t="s">
        <v>73</v>
      </c>
      <c r="S45" s="19">
        <v>0</v>
      </c>
      <c r="T45" s="19">
        <v>9</v>
      </c>
      <c r="U45" s="19">
        <v>8.2899999999999991</v>
      </c>
      <c r="V45" s="19">
        <v>57.5</v>
      </c>
      <c r="W45" s="19">
        <v>57.5</v>
      </c>
      <c r="X45" t="s">
        <v>73</v>
      </c>
      <c r="Y45" s="20">
        <v>0.04</v>
      </c>
      <c r="Z45" s="19">
        <v>1.94</v>
      </c>
      <c r="AA45" s="19">
        <v>55.56</v>
      </c>
      <c r="AB45" s="19">
        <v>1.94</v>
      </c>
      <c r="AC45" t="s">
        <v>73</v>
      </c>
      <c r="AD45" s="19">
        <v>1.61</v>
      </c>
      <c r="AE45" s="19">
        <v>0.33</v>
      </c>
      <c r="AF45" s="19">
        <v>1.94</v>
      </c>
      <c r="AG45" s="19">
        <v>0.48</v>
      </c>
      <c r="AH45" s="19">
        <v>57.02</v>
      </c>
      <c r="AI45" s="19">
        <v>1.94</v>
      </c>
      <c r="AJ45" t="s">
        <v>73</v>
      </c>
      <c r="AK45" s="19">
        <v>0</v>
      </c>
      <c r="AL45" s="19">
        <v>55.56</v>
      </c>
      <c r="AM45" t="b">
        <f t="shared" si="0"/>
        <v>1</v>
      </c>
      <c r="AN45" s="21">
        <f t="shared" si="1"/>
        <v>0</v>
      </c>
      <c r="AO45" s="19">
        <f t="shared" si="2"/>
        <v>0</v>
      </c>
      <c r="AP45" s="22">
        <v>15</v>
      </c>
      <c r="AQ45" s="18">
        <f t="shared" si="3"/>
        <v>9</v>
      </c>
      <c r="AR45" s="18">
        <f t="shared" si="4"/>
        <v>6</v>
      </c>
      <c r="AS45" s="23">
        <f t="shared" si="5"/>
        <v>0</v>
      </c>
      <c r="AT45" s="24">
        <v>46273.604861111111</v>
      </c>
      <c r="AU45" s="16" t="s">
        <v>120</v>
      </c>
      <c r="AV45" s="16">
        <v>291248922</v>
      </c>
      <c r="AW45" s="16">
        <v>737847672</v>
      </c>
      <c r="AX45" s="16" t="s">
        <v>126</v>
      </c>
      <c r="AY45" s="16">
        <v>57.5</v>
      </c>
      <c r="AZ45" s="16">
        <v>48.5</v>
      </c>
      <c r="BA45" s="16">
        <v>4</v>
      </c>
      <c r="BB45" s="16">
        <v>1.94</v>
      </c>
      <c r="BC45" s="16">
        <v>15</v>
      </c>
      <c r="BD45" s="16">
        <v>6</v>
      </c>
      <c r="BE45" s="16">
        <v>8</v>
      </c>
      <c r="BF45" s="16" t="s">
        <v>69</v>
      </c>
      <c r="BG45" s="16" t="s">
        <v>290</v>
      </c>
      <c r="BH45" s="16">
        <v>6</v>
      </c>
      <c r="BI45" s="16">
        <v>0</v>
      </c>
      <c r="BJ45" s="16">
        <v>61.56</v>
      </c>
      <c r="BK45" s="16">
        <v>1.94</v>
      </c>
      <c r="BL45" s="16">
        <v>15</v>
      </c>
    </row>
    <row r="46" spans="1:64" x14ac:dyDescent="0.25">
      <c r="A46" s="24">
        <v>46273</v>
      </c>
      <c r="B46" s="16" t="s">
        <v>291</v>
      </c>
      <c r="C46" s="25">
        <v>54</v>
      </c>
      <c r="F46" s="25">
        <v>19156</v>
      </c>
      <c r="G46" s="25">
        <v>291253000</v>
      </c>
      <c r="H46" s="16" t="s">
        <v>64</v>
      </c>
      <c r="I46" s="16" t="s">
        <v>65</v>
      </c>
      <c r="J46" s="16" t="s">
        <v>66</v>
      </c>
      <c r="K46" s="17">
        <v>16007</v>
      </c>
      <c r="L46" t="s">
        <v>292</v>
      </c>
      <c r="M46" t="s">
        <v>73</v>
      </c>
      <c r="N46" t="s">
        <v>69</v>
      </c>
      <c r="O46" s="16" t="s">
        <v>70</v>
      </c>
      <c r="P46" t="s">
        <v>92</v>
      </c>
      <c r="Q46" s="19">
        <v>373.99</v>
      </c>
      <c r="R46" t="s">
        <v>73</v>
      </c>
      <c r="S46" s="19">
        <v>0</v>
      </c>
      <c r="T46" s="19">
        <v>0</v>
      </c>
      <c r="U46" s="19">
        <v>50.74</v>
      </c>
      <c r="V46" s="19">
        <v>373.99</v>
      </c>
      <c r="W46" s="19">
        <v>373.99</v>
      </c>
      <c r="X46" t="s">
        <v>73</v>
      </c>
      <c r="Y46" s="20">
        <v>0.05</v>
      </c>
      <c r="Z46" s="19">
        <v>18.7</v>
      </c>
      <c r="AA46" s="19">
        <v>355.29</v>
      </c>
      <c r="AB46" s="19">
        <v>18.7</v>
      </c>
      <c r="AC46" t="s">
        <v>73</v>
      </c>
      <c r="AD46" s="19">
        <v>16.16</v>
      </c>
      <c r="AE46" s="19">
        <v>2.54</v>
      </c>
      <c r="AF46" s="19">
        <v>18.7</v>
      </c>
      <c r="AG46" s="19">
        <v>373.99</v>
      </c>
      <c r="AH46" s="19">
        <v>0</v>
      </c>
      <c r="AI46" s="19">
        <v>18.7</v>
      </c>
      <c r="AJ46" t="s">
        <v>73</v>
      </c>
      <c r="AK46" s="19">
        <v>0</v>
      </c>
      <c r="AL46" s="19">
        <v>355.29</v>
      </c>
      <c r="AM46" t="b">
        <f t="shared" si="0"/>
        <v>1</v>
      </c>
      <c r="AN46" s="21">
        <f t="shared" si="1"/>
        <v>0</v>
      </c>
      <c r="AO46" s="19">
        <f t="shared" si="2"/>
        <v>4.9999999999883471E-4</v>
      </c>
      <c r="AP46" s="22">
        <v>15</v>
      </c>
      <c r="AQ46" s="18">
        <f t="shared" si="3"/>
        <v>0</v>
      </c>
      <c r="AR46" s="18">
        <f t="shared" si="4"/>
        <v>5</v>
      </c>
      <c r="AS46" s="23">
        <f t="shared" si="5"/>
        <v>10</v>
      </c>
      <c r="AT46" s="24">
        <v>46273.625</v>
      </c>
      <c r="AU46" s="16" t="s">
        <v>293</v>
      </c>
      <c r="AV46" s="16">
        <v>291253000</v>
      </c>
      <c r="AW46" s="16">
        <v>737863830</v>
      </c>
      <c r="AX46" s="16" t="s">
        <v>294</v>
      </c>
      <c r="AY46" s="16">
        <v>373.989990234375</v>
      </c>
      <c r="AZ46" s="16">
        <v>373.99</v>
      </c>
      <c r="BA46" s="16">
        <v>5</v>
      </c>
      <c r="BB46" s="16">
        <v>18.6995</v>
      </c>
      <c r="BC46" s="16">
        <v>15</v>
      </c>
      <c r="BD46" s="16">
        <v>5</v>
      </c>
      <c r="BE46" s="16">
        <v>0</v>
      </c>
      <c r="BF46" s="16" t="s">
        <v>69</v>
      </c>
      <c r="BG46" s="16" t="s">
        <v>295</v>
      </c>
      <c r="BH46" s="16">
        <v>15</v>
      </c>
      <c r="BI46" s="16">
        <v>10</v>
      </c>
      <c r="BJ46" s="16">
        <v>360.290490234375</v>
      </c>
      <c r="BK46" s="16">
        <v>18.6995</v>
      </c>
      <c r="BL46" s="16">
        <v>5</v>
      </c>
    </row>
    <row r="47" spans="1:64" x14ac:dyDescent="0.25">
      <c r="A47" s="24">
        <v>46273</v>
      </c>
      <c r="B47" s="16" t="s">
        <v>296</v>
      </c>
      <c r="C47" s="25">
        <v>71836</v>
      </c>
      <c r="F47" s="25">
        <v>19158</v>
      </c>
      <c r="G47" s="25">
        <v>291271780</v>
      </c>
      <c r="H47" s="16" t="s">
        <v>64</v>
      </c>
      <c r="I47" s="16" t="s">
        <v>65</v>
      </c>
      <c r="J47" s="16" t="s">
        <v>66</v>
      </c>
      <c r="K47" s="17">
        <v>20</v>
      </c>
      <c r="L47" t="s">
        <v>118</v>
      </c>
      <c r="M47" t="s">
        <v>297</v>
      </c>
      <c r="N47" t="s">
        <v>69</v>
      </c>
      <c r="O47" s="16" t="s">
        <v>70</v>
      </c>
      <c r="P47" t="s">
        <v>79</v>
      </c>
      <c r="Q47" s="19">
        <v>55</v>
      </c>
      <c r="R47" t="s">
        <v>72</v>
      </c>
      <c r="S47" s="19">
        <v>5.5</v>
      </c>
      <c r="T47" s="19">
        <v>9</v>
      </c>
      <c r="U47" s="19">
        <v>9.1300000000000008</v>
      </c>
      <c r="V47" s="19">
        <v>58.5</v>
      </c>
      <c r="W47" s="19">
        <v>64</v>
      </c>
      <c r="X47" t="s">
        <v>73</v>
      </c>
      <c r="Y47" s="20">
        <v>0.04</v>
      </c>
      <c r="Z47" s="19">
        <v>2.2000000000000002</v>
      </c>
      <c r="AA47" s="19">
        <v>61.8</v>
      </c>
      <c r="AB47" s="19">
        <v>2.2000000000000002</v>
      </c>
      <c r="AC47" t="s">
        <v>73</v>
      </c>
      <c r="AD47" s="19">
        <v>1.83</v>
      </c>
      <c r="AE47" s="19">
        <v>0.37</v>
      </c>
      <c r="AF47" s="19">
        <v>2.2000000000000002</v>
      </c>
      <c r="AG47" s="19">
        <v>0</v>
      </c>
      <c r="AH47" s="19">
        <v>58.5</v>
      </c>
      <c r="AI47" s="19">
        <v>2.2000000000000002</v>
      </c>
      <c r="AJ47" t="s">
        <v>73</v>
      </c>
      <c r="AK47" s="19">
        <v>0</v>
      </c>
      <c r="AL47" s="19">
        <v>61.8</v>
      </c>
      <c r="AM47" t="b">
        <f t="shared" si="0"/>
        <v>1</v>
      </c>
      <c r="AN47" s="21">
        <f t="shared" si="1"/>
        <v>0</v>
      </c>
      <c r="AO47" s="19">
        <f t="shared" si="2"/>
        <v>0</v>
      </c>
      <c r="AP47" s="22">
        <v>15</v>
      </c>
      <c r="AQ47" s="18">
        <f t="shared" si="3"/>
        <v>9</v>
      </c>
      <c r="AR47" s="18">
        <f t="shared" si="4"/>
        <v>6</v>
      </c>
      <c r="AS47" s="23">
        <f t="shared" si="5"/>
        <v>0</v>
      </c>
      <c r="AT47" s="24">
        <v>46273.704861111109</v>
      </c>
      <c r="AU47" s="16" t="s">
        <v>120</v>
      </c>
      <c r="AV47" s="16">
        <v>291271780</v>
      </c>
      <c r="AW47" s="16">
        <v>737914068</v>
      </c>
      <c r="AX47" s="16" t="s">
        <v>298</v>
      </c>
      <c r="AY47" s="16">
        <v>64</v>
      </c>
      <c r="AZ47" s="16">
        <v>55</v>
      </c>
      <c r="BA47" s="16">
        <v>4</v>
      </c>
      <c r="BB47" s="16">
        <v>2.2000000000000002</v>
      </c>
      <c r="BC47" s="16">
        <v>15</v>
      </c>
      <c r="BD47" s="16">
        <v>6</v>
      </c>
      <c r="BE47" s="16">
        <v>8</v>
      </c>
      <c r="BF47" s="16" t="s">
        <v>69</v>
      </c>
      <c r="BG47" s="16" t="s">
        <v>299</v>
      </c>
      <c r="BH47" s="16">
        <v>6</v>
      </c>
      <c r="BI47" s="16">
        <v>0</v>
      </c>
      <c r="BJ47" s="16">
        <v>67.8</v>
      </c>
      <c r="BK47" s="16">
        <v>2.2000000000000002</v>
      </c>
      <c r="BL47" s="16">
        <v>15</v>
      </c>
    </row>
    <row r="48" spans="1:64" x14ac:dyDescent="0.25">
      <c r="A48" s="24">
        <v>46273</v>
      </c>
      <c r="B48" s="16" t="s">
        <v>300</v>
      </c>
      <c r="C48" s="25">
        <v>48844</v>
      </c>
      <c r="F48" s="25">
        <v>19162</v>
      </c>
      <c r="G48" s="25">
        <v>291282715</v>
      </c>
      <c r="H48" s="16" t="s">
        <v>64</v>
      </c>
      <c r="I48" s="16" t="s">
        <v>65</v>
      </c>
      <c r="J48" s="16" t="s">
        <v>66</v>
      </c>
      <c r="K48" s="17">
        <v>7955</v>
      </c>
      <c r="L48" t="s">
        <v>301</v>
      </c>
      <c r="M48" t="s">
        <v>302</v>
      </c>
      <c r="N48" t="s">
        <v>69</v>
      </c>
      <c r="O48" s="16" t="s">
        <v>70</v>
      </c>
      <c r="P48" t="s">
        <v>71</v>
      </c>
      <c r="Q48" s="19">
        <v>60.35</v>
      </c>
      <c r="R48" t="s">
        <v>72</v>
      </c>
      <c r="S48" s="19">
        <v>6.04</v>
      </c>
      <c r="T48" s="19">
        <v>12</v>
      </c>
      <c r="U48" s="19">
        <v>10.74</v>
      </c>
      <c r="V48" s="19">
        <v>66.31</v>
      </c>
      <c r="W48" s="19">
        <v>72.349999999999994</v>
      </c>
      <c r="X48" t="s">
        <v>73</v>
      </c>
      <c r="Y48" s="20">
        <v>0.05</v>
      </c>
      <c r="Z48" s="19">
        <v>3.02</v>
      </c>
      <c r="AA48" s="19">
        <v>69.33</v>
      </c>
      <c r="AB48" s="19">
        <v>3.02</v>
      </c>
      <c r="AC48" t="s">
        <v>73</v>
      </c>
      <c r="AD48" s="19">
        <v>2.48</v>
      </c>
      <c r="AE48" s="19">
        <v>0.54</v>
      </c>
      <c r="AF48" s="19">
        <v>3.02</v>
      </c>
      <c r="AG48" s="19">
        <v>8.3000000000000007</v>
      </c>
      <c r="AH48" s="19">
        <v>58.01</v>
      </c>
      <c r="AI48" s="19">
        <v>3.02</v>
      </c>
      <c r="AJ48" t="s">
        <v>73</v>
      </c>
      <c r="AK48" s="19">
        <v>0</v>
      </c>
      <c r="AL48" s="19">
        <v>69.33</v>
      </c>
      <c r="AM48" t="b">
        <f t="shared" si="0"/>
        <v>1</v>
      </c>
      <c r="AN48" s="21">
        <f t="shared" si="1"/>
        <v>0</v>
      </c>
      <c r="AO48" s="19">
        <f t="shared" si="2"/>
        <v>2.4999999999999467E-3</v>
      </c>
      <c r="AP48" s="22">
        <v>22</v>
      </c>
      <c r="AQ48" s="18">
        <f t="shared" si="3"/>
        <v>12</v>
      </c>
      <c r="AR48" s="18">
        <f t="shared" si="4"/>
        <v>2</v>
      </c>
      <c r="AS48" s="23">
        <f t="shared" si="5"/>
        <v>8</v>
      </c>
      <c r="AT48" s="24">
        <v>46273.746527777781</v>
      </c>
      <c r="AU48" s="16" t="s">
        <v>301</v>
      </c>
      <c r="AV48" s="16">
        <v>291282715</v>
      </c>
      <c r="AW48" s="16">
        <v>737934871</v>
      </c>
      <c r="AX48" s="16" t="s">
        <v>303</v>
      </c>
      <c r="AY48" s="16">
        <v>72.349998474121094</v>
      </c>
      <c r="AZ48" s="16">
        <v>60.35</v>
      </c>
      <c r="BA48" s="16">
        <v>5</v>
      </c>
      <c r="BB48" s="16">
        <v>3.0175000000000001</v>
      </c>
      <c r="BC48" s="16">
        <v>22</v>
      </c>
      <c r="BD48" s="16">
        <v>2</v>
      </c>
      <c r="BE48" s="16">
        <v>11</v>
      </c>
      <c r="BF48" s="16" t="s">
        <v>69</v>
      </c>
      <c r="BG48" s="16" t="s">
        <v>304</v>
      </c>
      <c r="BH48" s="16">
        <v>10</v>
      </c>
      <c r="BI48" s="16">
        <v>8</v>
      </c>
      <c r="BJ48" s="16">
        <v>71.332498474121095</v>
      </c>
      <c r="BK48" s="16">
        <v>3.0175000000000001</v>
      </c>
      <c r="BL48" s="16">
        <v>14</v>
      </c>
    </row>
    <row r="49" spans="1:64" x14ac:dyDescent="0.25">
      <c r="A49" s="24">
        <v>46273</v>
      </c>
      <c r="B49" s="16" t="s">
        <v>305</v>
      </c>
      <c r="C49" s="25">
        <v>9201</v>
      </c>
      <c r="D49" s="17" t="s">
        <v>306</v>
      </c>
      <c r="F49" s="25">
        <v>19163</v>
      </c>
      <c r="G49" s="25">
        <v>291286412</v>
      </c>
      <c r="H49" s="16" t="s">
        <v>64</v>
      </c>
      <c r="I49" s="16" t="s">
        <v>65</v>
      </c>
      <c r="J49" s="16" t="s">
        <v>66</v>
      </c>
      <c r="K49" s="17">
        <v>72</v>
      </c>
      <c r="L49" t="s">
        <v>307</v>
      </c>
      <c r="M49" t="s">
        <v>308</v>
      </c>
      <c r="N49" t="s">
        <v>69</v>
      </c>
      <c r="O49" s="16" t="s">
        <v>70</v>
      </c>
      <c r="P49" t="s">
        <v>71</v>
      </c>
      <c r="Q49" s="19">
        <v>35</v>
      </c>
      <c r="R49" t="s">
        <v>72</v>
      </c>
      <c r="S49" s="19">
        <v>3.5</v>
      </c>
      <c r="T49" s="19">
        <v>0</v>
      </c>
      <c r="U49" s="19">
        <v>6.53</v>
      </c>
      <c r="V49" s="19">
        <v>31.5</v>
      </c>
      <c r="W49" s="19">
        <v>35</v>
      </c>
      <c r="X49" t="s">
        <v>73</v>
      </c>
      <c r="Y49" s="20">
        <v>0.05</v>
      </c>
      <c r="Z49" s="19">
        <v>1.75</v>
      </c>
      <c r="AA49" s="19">
        <v>33.25</v>
      </c>
      <c r="AB49" s="19">
        <v>1.75</v>
      </c>
      <c r="AC49" t="s">
        <v>73</v>
      </c>
      <c r="AD49" s="19">
        <v>1.42</v>
      </c>
      <c r="AE49" s="19">
        <v>0.33</v>
      </c>
      <c r="AF49" s="19">
        <v>1.75</v>
      </c>
      <c r="AG49" s="19">
        <v>11.42</v>
      </c>
      <c r="AH49" s="19">
        <v>20.079999999999998</v>
      </c>
      <c r="AI49" s="19">
        <v>1.75</v>
      </c>
      <c r="AJ49" t="s">
        <v>73</v>
      </c>
      <c r="AK49" s="19">
        <v>17</v>
      </c>
      <c r="AL49" s="19">
        <v>33.25</v>
      </c>
      <c r="AM49" t="b">
        <f t="shared" si="0"/>
        <v>1</v>
      </c>
      <c r="AN49" s="21">
        <f t="shared" si="1"/>
        <v>0</v>
      </c>
      <c r="AO49" s="19">
        <f t="shared" si="2"/>
        <v>0</v>
      </c>
      <c r="AP49" s="22">
        <v>15</v>
      </c>
      <c r="AQ49" s="18">
        <f t="shared" si="3"/>
        <v>0</v>
      </c>
      <c r="AR49" s="18">
        <f t="shared" si="4"/>
        <v>9</v>
      </c>
      <c r="AS49" s="23">
        <f t="shared" si="5"/>
        <v>6</v>
      </c>
      <c r="AT49" s="24">
        <v>46273.751388888886</v>
      </c>
      <c r="AU49" s="16" t="s">
        <v>309</v>
      </c>
      <c r="AV49" s="16">
        <v>291286412</v>
      </c>
      <c r="AW49" s="16">
        <v>737949055</v>
      </c>
      <c r="AX49" s="16" t="s">
        <v>306</v>
      </c>
      <c r="AY49" s="16">
        <v>35</v>
      </c>
      <c r="AZ49" s="16">
        <v>35</v>
      </c>
      <c r="BA49" s="16">
        <v>5</v>
      </c>
      <c r="BB49" s="16">
        <v>1.75</v>
      </c>
      <c r="BC49" s="16">
        <v>15</v>
      </c>
      <c r="BD49" s="16">
        <v>9</v>
      </c>
      <c r="BE49" s="16">
        <v>0</v>
      </c>
      <c r="BF49" s="16" t="s">
        <v>69</v>
      </c>
      <c r="BG49" s="16" t="s">
        <v>310</v>
      </c>
      <c r="BH49" s="16">
        <v>15</v>
      </c>
      <c r="BI49" s="16">
        <v>6</v>
      </c>
      <c r="BJ49" s="16">
        <v>42.25</v>
      </c>
      <c r="BK49" s="16">
        <v>1.75</v>
      </c>
      <c r="BL49" s="16">
        <v>9</v>
      </c>
    </row>
    <row r="50" spans="1:64" x14ac:dyDescent="0.25">
      <c r="A50" s="24">
        <v>46273</v>
      </c>
      <c r="B50" s="16" t="s">
        <v>311</v>
      </c>
      <c r="C50" s="25">
        <v>74123</v>
      </c>
      <c r="D50" s="17" t="s">
        <v>312</v>
      </c>
      <c r="F50" s="25">
        <v>19164</v>
      </c>
      <c r="G50" s="25">
        <v>291289306</v>
      </c>
      <c r="H50" s="16" t="s">
        <v>64</v>
      </c>
      <c r="I50" s="16" t="s">
        <v>65</v>
      </c>
      <c r="J50" s="16" t="s">
        <v>66</v>
      </c>
      <c r="K50" s="17">
        <v>11029</v>
      </c>
      <c r="L50" t="s">
        <v>313</v>
      </c>
      <c r="M50" t="s">
        <v>314</v>
      </c>
      <c r="N50" t="s">
        <v>69</v>
      </c>
      <c r="O50" s="16" t="s">
        <v>70</v>
      </c>
      <c r="P50" t="s">
        <v>79</v>
      </c>
      <c r="Q50" s="19">
        <v>173</v>
      </c>
      <c r="R50" t="s">
        <v>72</v>
      </c>
      <c r="S50" s="19">
        <v>17.3</v>
      </c>
      <c r="T50" s="19">
        <v>13</v>
      </c>
      <c r="U50" s="19">
        <v>26.22</v>
      </c>
      <c r="V50" s="19">
        <v>168.7</v>
      </c>
      <c r="W50" s="19">
        <v>186</v>
      </c>
      <c r="X50" t="s">
        <v>73</v>
      </c>
      <c r="Y50" s="20">
        <v>0.05</v>
      </c>
      <c r="Z50" s="19">
        <v>8.65</v>
      </c>
      <c r="AA50" s="19">
        <v>177.35</v>
      </c>
      <c r="AB50" s="19">
        <v>8.65</v>
      </c>
      <c r="AC50" t="s">
        <v>73</v>
      </c>
      <c r="AD50" s="19">
        <v>7.34</v>
      </c>
      <c r="AE50" s="19">
        <v>1.31</v>
      </c>
      <c r="AF50" s="19">
        <v>8.65</v>
      </c>
      <c r="AG50" s="19">
        <v>0</v>
      </c>
      <c r="AH50" s="19">
        <v>168.7</v>
      </c>
      <c r="AI50" s="19">
        <v>8.65</v>
      </c>
      <c r="AJ50" t="s">
        <v>73</v>
      </c>
      <c r="AK50" s="19">
        <v>56</v>
      </c>
      <c r="AL50" s="19">
        <v>177.35</v>
      </c>
      <c r="AM50" t="b">
        <f t="shared" si="0"/>
        <v>1</v>
      </c>
      <c r="AN50" s="21">
        <f t="shared" si="1"/>
        <v>0</v>
      </c>
      <c r="AO50" s="19">
        <f t="shared" si="2"/>
        <v>0</v>
      </c>
      <c r="AP50" s="22">
        <v>28</v>
      </c>
      <c r="AQ50" s="18">
        <f t="shared" si="3"/>
        <v>13</v>
      </c>
      <c r="AR50" s="18">
        <f t="shared" si="4"/>
        <v>6</v>
      </c>
      <c r="AS50" s="23">
        <f t="shared" si="5"/>
        <v>9</v>
      </c>
      <c r="AT50" s="24">
        <v>46273.773611111108</v>
      </c>
      <c r="AU50" s="16" t="s">
        <v>315</v>
      </c>
      <c r="AV50" s="16">
        <v>291289306</v>
      </c>
      <c r="AW50" s="16">
        <v>737956005</v>
      </c>
      <c r="AX50" s="16" t="s">
        <v>316</v>
      </c>
      <c r="AY50" s="16">
        <v>186</v>
      </c>
      <c r="AZ50" s="16">
        <v>173</v>
      </c>
      <c r="BA50" s="16">
        <v>5</v>
      </c>
      <c r="BB50" s="16">
        <v>8.65</v>
      </c>
      <c r="BC50" s="16">
        <v>28</v>
      </c>
      <c r="BD50" s="16">
        <v>6</v>
      </c>
      <c r="BE50" s="16">
        <v>12</v>
      </c>
      <c r="BF50" s="16" t="s">
        <v>69</v>
      </c>
      <c r="BG50" s="16" t="s">
        <v>317</v>
      </c>
      <c r="BH50" s="16">
        <v>15</v>
      </c>
      <c r="BI50" s="16">
        <v>9</v>
      </c>
      <c r="BJ50" s="16">
        <v>183.35</v>
      </c>
      <c r="BK50" s="16">
        <v>8.65</v>
      </c>
      <c r="BL50" s="16">
        <v>19</v>
      </c>
    </row>
    <row r="51" spans="1:64" x14ac:dyDescent="0.25">
      <c r="A51" s="24">
        <v>46273</v>
      </c>
      <c r="B51" s="16" t="s">
        <v>318</v>
      </c>
      <c r="C51" s="25">
        <v>54565</v>
      </c>
      <c r="F51" s="25">
        <v>19165</v>
      </c>
      <c r="G51" s="25">
        <v>291293421</v>
      </c>
      <c r="H51" s="16" t="s">
        <v>64</v>
      </c>
      <c r="I51" s="16" t="s">
        <v>65</v>
      </c>
      <c r="J51" s="16" t="s">
        <v>66</v>
      </c>
      <c r="K51" s="17">
        <v>8550</v>
      </c>
      <c r="L51" t="s">
        <v>319</v>
      </c>
      <c r="M51" t="s">
        <v>320</v>
      </c>
      <c r="N51" t="s">
        <v>69</v>
      </c>
      <c r="O51" s="16" t="s">
        <v>70</v>
      </c>
      <c r="P51" t="s">
        <v>71</v>
      </c>
      <c r="Q51" s="19">
        <v>49</v>
      </c>
      <c r="R51" t="s">
        <v>72</v>
      </c>
      <c r="S51" s="19">
        <v>4.9000000000000004</v>
      </c>
      <c r="T51" s="19">
        <v>0</v>
      </c>
      <c r="U51" s="19">
        <v>8.35</v>
      </c>
      <c r="V51" s="19">
        <v>44.1</v>
      </c>
      <c r="W51" s="19">
        <v>49</v>
      </c>
      <c r="X51" t="s">
        <v>73</v>
      </c>
      <c r="Y51" s="20">
        <v>0.05</v>
      </c>
      <c r="Z51" s="19">
        <v>2.4500000000000002</v>
      </c>
      <c r="AA51" s="19">
        <v>46.55</v>
      </c>
      <c r="AB51" s="19">
        <v>2.4500000000000002</v>
      </c>
      <c r="AC51" t="s">
        <v>73</v>
      </c>
      <c r="AD51" s="19">
        <v>2.0299999999999998</v>
      </c>
      <c r="AE51" s="19">
        <v>0.42</v>
      </c>
      <c r="AF51" s="19">
        <v>2.4500000000000002</v>
      </c>
      <c r="AG51" s="19">
        <v>0.35</v>
      </c>
      <c r="AH51" s="19">
        <v>43.75</v>
      </c>
      <c r="AI51" s="19">
        <v>2.4500000000000002</v>
      </c>
      <c r="AJ51" t="s">
        <v>73</v>
      </c>
      <c r="AK51" s="19">
        <v>0</v>
      </c>
      <c r="AL51" s="19">
        <v>46.55</v>
      </c>
      <c r="AM51" t="b">
        <f t="shared" si="0"/>
        <v>1</v>
      </c>
      <c r="AN51" s="21">
        <f t="shared" si="1"/>
        <v>0</v>
      </c>
      <c r="AO51" s="19">
        <f t="shared" si="2"/>
        <v>0</v>
      </c>
      <c r="AP51" s="22">
        <v>15</v>
      </c>
      <c r="AQ51" s="18">
        <f t="shared" si="3"/>
        <v>0</v>
      </c>
      <c r="AR51" s="18">
        <f t="shared" si="4"/>
        <v>15</v>
      </c>
      <c r="AS51" s="23">
        <f t="shared" si="5"/>
        <v>0</v>
      </c>
      <c r="AT51" s="24">
        <v>46273.777777777781</v>
      </c>
      <c r="AU51" s="16" t="s">
        <v>321</v>
      </c>
      <c r="AV51" s="16">
        <v>291293421</v>
      </c>
      <c r="AW51" s="16">
        <v>737963926</v>
      </c>
      <c r="AX51" s="16" t="s">
        <v>322</v>
      </c>
      <c r="AY51" s="16">
        <v>49</v>
      </c>
      <c r="AZ51" s="16">
        <v>49</v>
      </c>
      <c r="BA51" s="16">
        <v>5</v>
      </c>
      <c r="BB51" s="16">
        <v>2.4500000000000002</v>
      </c>
      <c r="BC51" s="16">
        <v>15</v>
      </c>
      <c r="BD51" s="16">
        <v>15</v>
      </c>
      <c r="BE51" s="16">
        <v>0</v>
      </c>
      <c r="BF51" s="16" t="s">
        <v>69</v>
      </c>
      <c r="BG51" s="16" t="s">
        <v>323</v>
      </c>
      <c r="BH51" s="16">
        <v>15</v>
      </c>
      <c r="BI51" s="16">
        <v>0</v>
      </c>
      <c r="BJ51" s="16">
        <v>61.55</v>
      </c>
      <c r="BK51" s="16">
        <v>2.4500000000000002</v>
      </c>
      <c r="BL51" s="16">
        <v>15</v>
      </c>
    </row>
    <row r="52" spans="1:64" x14ac:dyDescent="0.25">
      <c r="A52" s="24">
        <v>46273</v>
      </c>
      <c r="B52" s="16" t="s">
        <v>324</v>
      </c>
      <c r="C52" s="25">
        <v>150</v>
      </c>
      <c r="F52" s="25">
        <v>19166</v>
      </c>
      <c r="G52" s="25">
        <v>291294091</v>
      </c>
      <c r="H52" s="16" t="s">
        <v>64</v>
      </c>
      <c r="I52" s="16" t="s">
        <v>65</v>
      </c>
      <c r="J52" s="16" t="s">
        <v>66</v>
      </c>
      <c r="K52" s="17">
        <v>62</v>
      </c>
      <c r="L52" t="s">
        <v>124</v>
      </c>
      <c r="M52" t="s">
        <v>325</v>
      </c>
      <c r="N52" t="s">
        <v>69</v>
      </c>
      <c r="O52" s="16" t="s">
        <v>70</v>
      </c>
      <c r="P52" t="s">
        <v>71</v>
      </c>
      <c r="Q52" s="19">
        <v>41</v>
      </c>
      <c r="R52" t="s">
        <v>73</v>
      </c>
      <c r="S52" s="19">
        <v>0</v>
      </c>
      <c r="T52" s="19">
        <v>5</v>
      </c>
      <c r="U52" s="19">
        <v>7.31</v>
      </c>
      <c r="V52" s="19">
        <v>46</v>
      </c>
      <c r="W52" s="19">
        <v>46</v>
      </c>
      <c r="X52" t="s">
        <v>73</v>
      </c>
      <c r="Y52" s="20">
        <v>4.7600000000000003E-2</v>
      </c>
      <c r="Z52" s="19">
        <v>1.95</v>
      </c>
      <c r="AA52" s="19">
        <v>44.05</v>
      </c>
      <c r="AB52" s="19">
        <v>1.95</v>
      </c>
      <c r="AC52" t="s">
        <v>73</v>
      </c>
      <c r="AD52" s="19">
        <v>1.6</v>
      </c>
      <c r="AE52" s="19">
        <v>0.35</v>
      </c>
      <c r="AF52" s="19">
        <v>1.95</v>
      </c>
      <c r="AG52" s="19">
        <v>0.59</v>
      </c>
      <c r="AH52" s="19">
        <v>45.41</v>
      </c>
      <c r="AI52" s="19">
        <v>1.95</v>
      </c>
      <c r="AJ52" t="s">
        <v>73</v>
      </c>
      <c r="AK52" s="19">
        <v>0</v>
      </c>
      <c r="AL52" s="19">
        <v>44.05</v>
      </c>
      <c r="AM52" t="b">
        <f t="shared" si="0"/>
        <v>1</v>
      </c>
      <c r="AN52" s="21">
        <f t="shared" si="1"/>
        <v>-1.0000000000000286E-4</v>
      </c>
      <c r="AO52" s="19">
        <f t="shared" si="2"/>
        <v>2.4999999999999467E-3</v>
      </c>
      <c r="AP52" s="22">
        <v>15</v>
      </c>
      <c r="AQ52" s="18">
        <f t="shared" si="3"/>
        <v>5</v>
      </c>
      <c r="AR52" s="18">
        <f t="shared" si="4"/>
        <v>6</v>
      </c>
      <c r="AS52" s="23">
        <f t="shared" si="5"/>
        <v>4</v>
      </c>
      <c r="AT52" s="24">
        <v>46273.769444444442</v>
      </c>
      <c r="AU52" s="16" t="s">
        <v>125</v>
      </c>
      <c r="AV52" s="16">
        <v>291294091</v>
      </c>
      <c r="AW52" s="16">
        <v>737969539</v>
      </c>
      <c r="AX52" s="16" t="s">
        <v>110</v>
      </c>
      <c r="AY52" s="16">
        <v>46</v>
      </c>
      <c r="AZ52" s="16">
        <v>41</v>
      </c>
      <c r="BA52" s="16">
        <v>4.75</v>
      </c>
      <c r="BB52" s="16">
        <v>1.9475</v>
      </c>
      <c r="BC52" s="16">
        <v>15</v>
      </c>
      <c r="BD52" s="16">
        <v>6</v>
      </c>
      <c r="BE52" s="16">
        <v>4</v>
      </c>
      <c r="BF52" s="16" t="s">
        <v>69</v>
      </c>
      <c r="BG52" s="16" t="s">
        <v>326</v>
      </c>
      <c r="BH52" s="16">
        <v>10</v>
      </c>
      <c r="BI52" s="16">
        <v>4</v>
      </c>
      <c r="BJ52" s="16">
        <v>50.052500000000002</v>
      </c>
      <c r="BK52" s="16">
        <v>1.9475</v>
      </c>
      <c r="BL52" s="16">
        <v>11</v>
      </c>
    </row>
    <row r="53" spans="1:64" x14ac:dyDescent="0.25">
      <c r="A53" s="24">
        <v>46273</v>
      </c>
      <c r="B53" s="16" t="s">
        <v>327</v>
      </c>
      <c r="C53" s="25">
        <v>7433</v>
      </c>
      <c r="F53" s="25">
        <v>19167</v>
      </c>
      <c r="G53" s="25">
        <v>291299010</v>
      </c>
      <c r="H53" s="16" t="s">
        <v>64</v>
      </c>
      <c r="I53" s="16" t="s">
        <v>65</v>
      </c>
      <c r="J53" s="16" t="s">
        <v>66</v>
      </c>
      <c r="K53" s="17">
        <v>3</v>
      </c>
      <c r="L53" t="s">
        <v>207</v>
      </c>
      <c r="M53" t="s">
        <v>328</v>
      </c>
      <c r="N53" t="s">
        <v>69</v>
      </c>
      <c r="O53" s="16" t="s">
        <v>70</v>
      </c>
      <c r="P53" t="s">
        <v>71</v>
      </c>
      <c r="Q53" s="19">
        <v>56</v>
      </c>
      <c r="R53" t="s">
        <v>73</v>
      </c>
      <c r="S53" s="19">
        <v>0</v>
      </c>
      <c r="T53" s="19">
        <v>7</v>
      </c>
      <c r="U53" s="19">
        <v>10.17</v>
      </c>
      <c r="V53" s="19">
        <v>63</v>
      </c>
      <c r="W53" s="19">
        <v>63</v>
      </c>
      <c r="X53" t="s">
        <v>73</v>
      </c>
      <c r="Y53" s="20">
        <v>4.4999999999999998E-2</v>
      </c>
      <c r="Z53" s="19">
        <v>2.52</v>
      </c>
      <c r="AA53" s="19">
        <v>60.48</v>
      </c>
      <c r="AB53" s="19">
        <v>2.52</v>
      </c>
      <c r="AC53" t="s">
        <v>73</v>
      </c>
      <c r="AD53" s="19">
        <v>2.06</v>
      </c>
      <c r="AE53" s="19">
        <v>0.46</v>
      </c>
      <c r="AF53" s="19">
        <v>2.52</v>
      </c>
      <c r="AG53" s="19">
        <v>0.66</v>
      </c>
      <c r="AH53" s="19">
        <v>62.34</v>
      </c>
      <c r="AI53" s="19">
        <v>2.52</v>
      </c>
      <c r="AJ53" t="s">
        <v>73</v>
      </c>
      <c r="AK53" s="19">
        <v>11</v>
      </c>
      <c r="AL53" s="19">
        <v>60.48</v>
      </c>
      <c r="AM53" t="b">
        <f t="shared" si="0"/>
        <v>1</v>
      </c>
      <c r="AN53" s="21">
        <f t="shared" si="1"/>
        <v>0</v>
      </c>
      <c r="AO53" s="19">
        <f t="shared" si="2"/>
        <v>0</v>
      </c>
      <c r="AP53" s="22">
        <v>22</v>
      </c>
      <c r="AQ53" s="18">
        <f t="shared" si="3"/>
        <v>7</v>
      </c>
      <c r="AR53" s="18">
        <f t="shared" si="4"/>
        <v>6.9</v>
      </c>
      <c r="AS53" s="23">
        <f t="shared" si="5"/>
        <v>8.1</v>
      </c>
      <c r="AT53" s="24">
        <v>46273.804166666669</v>
      </c>
      <c r="AU53" s="16" t="s">
        <v>209</v>
      </c>
      <c r="AV53" s="16">
        <v>291299010</v>
      </c>
      <c r="AW53" s="16">
        <v>737981526</v>
      </c>
      <c r="AX53" s="16" t="s">
        <v>329</v>
      </c>
      <c r="AY53" s="16">
        <v>63</v>
      </c>
      <c r="AZ53" s="16">
        <v>56</v>
      </c>
      <c r="BA53" s="16">
        <v>4.5</v>
      </c>
      <c r="BB53" s="16">
        <v>2.52</v>
      </c>
      <c r="BC53" s="16">
        <v>22</v>
      </c>
      <c r="BD53" s="16">
        <v>6.9</v>
      </c>
      <c r="BE53" s="16">
        <v>6</v>
      </c>
      <c r="BF53" s="16" t="s">
        <v>69</v>
      </c>
      <c r="BG53" s="16" t="s">
        <v>330</v>
      </c>
      <c r="BH53" s="16">
        <v>15</v>
      </c>
      <c r="BI53" s="16">
        <v>8.1</v>
      </c>
      <c r="BJ53" s="16">
        <v>67.38000000000001</v>
      </c>
      <c r="BK53" s="16">
        <v>2.52</v>
      </c>
      <c r="BL53" s="16">
        <v>13.9</v>
      </c>
    </row>
    <row r="54" spans="1:64" x14ac:dyDescent="0.25">
      <c r="A54" s="24">
        <v>46273</v>
      </c>
      <c r="B54" s="16" t="s">
        <v>331</v>
      </c>
      <c r="C54" s="25">
        <v>9506</v>
      </c>
      <c r="F54" s="25">
        <v>19168</v>
      </c>
      <c r="G54" s="25">
        <v>291317106</v>
      </c>
      <c r="H54" s="16" t="s">
        <v>64</v>
      </c>
      <c r="I54" s="16" t="s">
        <v>65</v>
      </c>
      <c r="J54" s="16" t="s">
        <v>66</v>
      </c>
      <c r="K54" s="17">
        <v>20</v>
      </c>
      <c r="L54" t="s">
        <v>118</v>
      </c>
      <c r="M54" t="s">
        <v>73</v>
      </c>
      <c r="N54" t="s">
        <v>69</v>
      </c>
      <c r="O54" s="16" t="s">
        <v>70</v>
      </c>
      <c r="P54" t="s">
        <v>92</v>
      </c>
      <c r="Q54" s="19">
        <v>75.5</v>
      </c>
      <c r="R54" t="s">
        <v>72</v>
      </c>
      <c r="S54" s="19">
        <v>7.55</v>
      </c>
      <c r="T54" s="19">
        <v>9</v>
      </c>
      <c r="U54" s="19">
        <v>11.81</v>
      </c>
      <c r="V54" s="19">
        <v>76.95</v>
      </c>
      <c r="W54" s="19">
        <v>84.5</v>
      </c>
      <c r="X54" t="s">
        <v>73</v>
      </c>
      <c r="Y54" s="20">
        <v>0.04</v>
      </c>
      <c r="Z54" s="19">
        <v>3.02</v>
      </c>
      <c r="AA54" s="19">
        <v>81.48</v>
      </c>
      <c r="AB54" s="19">
        <v>3.02</v>
      </c>
      <c r="AC54" t="s">
        <v>73</v>
      </c>
      <c r="AD54" s="19">
        <v>2.5499999999999998</v>
      </c>
      <c r="AE54" s="19">
        <v>0.47</v>
      </c>
      <c r="AF54" s="19">
        <v>3.02</v>
      </c>
      <c r="AG54" s="19">
        <v>76.95</v>
      </c>
      <c r="AH54" s="19">
        <v>0</v>
      </c>
      <c r="AI54" s="19">
        <v>3.02</v>
      </c>
      <c r="AJ54" t="s">
        <v>73</v>
      </c>
      <c r="AK54" s="19">
        <v>0</v>
      </c>
      <c r="AL54" s="19">
        <v>81.48</v>
      </c>
      <c r="AM54" t="b">
        <f t="shared" si="0"/>
        <v>1</v>
      </c>
      <c r="AN54" s="21">
        <f t="shared" si="1"/>
        <v>0</v>
      </c>
      <c r="AO54" s="19">
        <f t="shared" si="2"/>
        <v>0</v>
      </c>
      <c r="AP54" s="22">
        <v>15</v>
      </c>
      <c r="AQ54" s="18">
        <f t="shared" si="3"/>
        <v>9</v>
      </c>
      <c r="AR54" s="18">
        <f t="shared" si="4"/>
        <v>6</v>
      </c>
      <c r="AS54" s="23">
        <f t="shared" si="5"/>
        <v>0</v>
      </c>
      <c r="AT54" s="24">
        <v>46273.861111111109</v>
      </c>
      <c r="AU54" s="16" t="s">
        <v>120</v>
      </c>
      <c r="AV54" s="16">
        <v>291317106</v>
      </c>
      <c r="AW54" s="16">
        <v>738028228</v>
      </c>
      <c r="AX54" s="16" t="s">
        <v>110</v>
      </c>
      <c r="AY54" s="16">
        <v>84.5</v>
      </c>
      <c r="AZ54" s="16">
        <v>75.5</v>
      </c>
      <c r="BA54" s="16">
        <v>4</v>
      </c>
      <c r="BB54" s="16">
        <v>3.02</v>
      </c>
      <c r="BC54" s="16">
        <v>15</v>
      </c>
      <c r="BD54" s="16">
        <v>6</v>
      </c>
      <c r="BE54" s="16">
        <v>8</v>
      </c>
      <c r="BF54" s="16" t="s">
        <v>69</v>
      </c>
      <c r="BG54" s="16" t="s">
        <v>332</v>
      </c>
      <c r="BH54" s="16">
        <v>6</v>
      </c>
      <c r="BI54" s="16">
        <v>0</v>
      </c>
      <c r="BJ54" s="16">
        <v>87.48</v>
      </c>
      <c r="BK54" s="16">
        <v>3.02</v>
      </c>
      <c r="BL54" s="16">
        <v>15</v>
      </c>
    </row>
    <row r="55" spans="1:64" x14ac:dyDescent="0.25">
      <c r="A55" s="24">
        <v>46273</v>
      </c>
      <c r="B55" s="16" t="s">
        <v>331</v>
      </c>
      <c r="C55" s="25">
        <v>79326</v>
      </c>
      <c r="F55" s="25">
        <v>19169</v>
      </c>
      <c r="G55" s="25">
        <v>291317138</v>
      </c>
      <c r="H55" s="16" t="s">
        <v>64</v>
      </c>
      <c r="I55" s="16" t="s">
        <v>65</v>
      </c>
      <c r="J55" s="16" t="s">
        <v>66</v>
      </c>
      <c r="K55" s="17">
        <v>6</v>
      </c>
      <c r="L55" t="s">
        <v>173</v>
      </c>
      <c r="M55" t="s">
        <v>333</v>
      </c>
      <c r="N55" t="s">
        <v>69</v>
      </c>
      <c r="O55" s="16" t="s">
        <v>70</v>
      </c>
      <c r="P55" t="s">
        <v>71</v>
      </c>
      <c r="Q55" s="19">
        <v>45</v>
      </c>
      <c r="R55" t="s">
        <v>72</v>
      </c>
      <c r="S55" s="19">
        <v>4.5</v>
      </c>
      <c r="T55" s="19">
        <v>9</v>
      </c>
      <c r="U55" s="19">
        <v>7.83</v>
      </c>
      <c r="V55" s="19">
        <v>49.5</v>
      </c>
      <c r="W55" s="19">
        <v>54</v>
      </c>
      <c r="X55" t="s">
        <v>73</v>
      </c>
      <c r="Y55" s="20">
        <v>0.05</v>
      </c>
      <c r="Z55" s="19">
        <v>2.25</v>
      </c>
      <c r="AA55" s="19">
        <v>51.75</v>
      </c>
      <c r="AB55" s="19">
        <v>2.25</v>
      </c>
      <c r="AC55" t="s">
        <v>73</v>
      </c>
      <c r="AD55" s="19">
        <v>1.86</v>
      </c>
      <c r="AE55" s="19">
        <v>0.39</v>
      </c>
      <c r="AF55" s="19">
        <v>2.25</v>
      </c>
      <c r="AG55" s="19">
        <v>2</v>
      </c>
      <c r="AH55" s="19">
        <v>47.5</v>
      </c>
      <c r="AI55" s="19">
        <v>2.25</v>
      </c>
      <c r="AJ55" t="s">
        <v>73</v>
      </c>
      <c r="AK55" s="19">
        <v>54</v>
      </c>
      <c r="AL55" s="19">
        <v>51.75</v>
      </c>
      <c r="AM55" t="b">
        <f t="shared" si="0"/>
        <v>1</v>
      </c>
      <c r="AN55" s="21">
        <f t="shared" si="1"/>
        <v>0</v>
      </c>
      <c r="AO55" s="19">
        <f t="shared" si="2"/>
        <v>0</v>
      </c>
      <c r="AP55" s="22">
        <v>15</v>
      </c>
      <c r="AQ55" s="18">
        <f t="shared" si="3"/>
        <v>9</v>
      </c>
      <c r="AR55" s="18">
        <f t="shared" si="4"/>
        <v>6</v>
      </c>
      <c r="AS55" s="23">
        <f t="shared" si="5"/>
        <v>0</v>
      </c>
      <c r="AT55" s="24">
        <v>46273.85833333333</v>
      </c>
      <c r="AU55" s="16" t="s">
        <v>176</v>
      </c>
      <c r="AV55" s="16">
        <v>291317138</v>
      </c>
      <c r="AW55" s="16">
        <v>738030757</v>
      </c>
      <c r="AX55" s="16" t="s">
        <v>334</v>
      </c>
      <c r="AY55" s="16">
        <v>54</v>
      </c>
      <c r="AZ55" s="16">
        <v>45</v>
      </c>
      <c r="BA55" s="16">
        <v>5</v>
      </c>
      <c r="BB55" s="16">
        <v>2.25</v>
      </c>
      <c r="BC55" s="16">
        <v>15</v>
      </c>
      <c r="BD55" s="16">
        <v>6</v>
      </c>
      <c r="BE55" s="16">
        <v>8</v>
      </c>
      <c r="BF55" s="16" t="s">
        <v>69</v>
      </c>
      <c r="BG55" s="16" t="s">
        <v>335</v>
      </c>
      <c r="BH55" s="16">
        <v>6</v>
      </c>
      <c r="BI55" s="16">
        <v>0</v>
      </c>
      <c r="BJ55" s="16">
        <v>57.75</v>
      </c>
      <c r="BK55" s="16">
        <v>2.25</v>
      </c>
      <c r="BL55" s="16">
        <v>15</v>
      </c>
    </row>
    <row r="56" spans="1:64" x14ac:dyDescent="0.25">
      <c r="A56" s="24">
        <v>46273</v>
      </c>
      <c r="B56" s="16" t="s">
        <v>336</v>
      </c>
      <c r="C56" s="25">
        <v>71612</v>
      </c>
      <c r="F56" s="25">
        <v>19170</v>
      </c>
      <c r="G56" s="25">
        <v>291320829</v>
      </c>
      <c r="H56" s="16" t="s">
        <v>64</v>
      </c>
      <c r="I56" s="16" t="s">
        <v>65</v>
      </c>
      <c r="J56" s="16" t="s">
        <v>66</v>
      </c>
      <c r="K56" s="17">
        <v>20</v>
      </c>
      <c r="L56" t="s">
        <v>118</v>
      </c>
      <c r="M56" t="s">
        <v>337</v>
      </c>
      <c r="N56" t="s">
        <v>69</v>
      </c>
      <c r="O56" s="16" t="s">
        <v>70</v>
      </c>
      <c r="P56" t="s">
        <v>246</v>
      </c>
      <c r="Q56" s="19">
        <v>71.5</v>
      </c>
      <c r="R56" t="s">
        <v>72</v>
      </c>
      <c r="S56" s="19">
        <v>7.15</v>
      </c>
      <c r="T56" s="19">
        <v>9</v>
      </c>
      <c r="U56" s="19">
        <v>11.29</v>
      </c>
      <c r="V56" s="19">
        <v>73.349999999999994</v>
      </c>
      <c r="W56" s="19">
        <v>80.5</v>
      </c>
      <c r="X56" t="s">
        <v>73</v>
      </c>
      <c r="Y56" s="20">
        <v>0.04</v>
      </c>
      <c r="Z56" s="19">
        <v>2.86</v>
      </c>
      <c r="AA56" s="19">
        <v>77.64</v>
      </c>
      <c r="AB56" s="19">
        <v>2.86</v>
      </c>
      <c r="AC56" t="s">
        <v>73</v>
      </c>
      <c r="AD56" s="19">
        <v>2.41</v>
      </c>
      <c r="AE56" s="19">
        <v>0.45</v>
      </c>
      <c r="AF56" s="19">
        <v>2.86</v>
      </c>
      <c r="AG56" s="19">
        <v>0</v>
      </c>
      <c r="AH56" s="19">
        <v>73.349999999999994</v>
      </c>
      <c r="AI56" s="19">
        <v>2.86</v>
      </c>
      <c r="AJ56" t="s">
        <v>73</v>
      </c>
      <c r="AK56" s="19">
        <v>0</v>
      </c>
      <c r="AL56" s="19">
        <v>77.64</v>
      </c>
      <c r="AM56" t="b">
        <f t="shared" si="0"/>
        <v>1</v>
      </c>
      <c r="AN56" s="21">
        <f t="shared" si="1"/>
        <v>0</v>
      </c>
      <c r="AO56" s="19">
        <f t="shared" si="2"/>
        <v>0</v>
      </c>
      <c r="AP56" s="22">
        <v>15</v>
      </c>
      <c r="AQ56" s="18">
        <f t="shared" si="3"/>
        <v>9</v>
      </c>
      <c r="AR56" s="18">
        <f t="shared" si="4"/>
        <v>6</v>
      </c>
      <c r="AS56" s="23">
        <f t="shared" si="5"/>
        <v>0</v>
      </c>
      <c r="AT56" s="24">
        <v>46273.87777777778</v>
      </c>
      <c r="AU56" s="16" t="s">
        <v>120</v>
      </c>
      <c r="AV56" s="16">
        <v>291320829</v>
      </c>
      <c r="AW56" s="16">
        <v>738035035</v>
      </c>
      <c r="AX56" s="16" t="s">
        <v>110</v>
      </c>
      <c r="AY56" s="16">
        <v>80.5</v>
      </c>
      <c r="AZ56" s="16">
        <v>71.5</v>
      </c>
      <c r="BA56" s="16">
        <v>4</v>
      </c>
      <c r="BB56" s="16">
        <v>2.86</v>
      </c>
      <c r="BC56" s="16">
        <v>15</v>
      </c>
      <c r="BD56" s="16">
        <v>6</v>
      </c>
      <c r="BE56" s="16">
        <v>8</v>
      </c>
      <c r="BF56" s="16" t="s">
        <v>69</v>
      </c>
      <c r="BG56" s="16" t="s">
        <v>338</v>
      </c>
      <c r="BH56" s="16">
        <v>6</v>
      </c>
      <c r="BI56" s="16">
        <v>0</v>
      </c>
      <c r="BJ56" s="16">
        <v>83.64</v>
      </c>
      <c r="BK56" s="16">
        <v>2.86</v>
      </c>
      <c r="BL56" s="16">
        <v>15</v>
      </c>
    </row>
    <row r="57" spans="1:64" x14ac:dyDescent="0.25">
      <c r="A57" s="24">
        <v>46273</v>
      </c>
      <c r="B57" s="16" t="s">
        <v>339</v>
      </c>
      <c r="C57" s="25">
        <v>9201</v>
      </c>
      <c r="D57" s="17" t="s">
        <v>306</v>
      </c>
      <c r="F57" s="25">
        <v>19171</v>
      </c>
      <c r="G57" s="25">
        <v>291330830</v>
      </c>
      <c r="H57" s="16" t="s">
        <v>64</v>
      </c>
      <c r="I57" s="16" t="s">
        <v>65</v>
      </c>
      <c r="J57" s="16" t="s">
        <v>66</v>
      </c>
      <c r="K57" s="17">
        <v>65</v>
      </c>
      <c r="L57" t="s">
        <v>340</v>
      </c>
      <c r="M57" t="s">
        <v>341</v>
      </c>
      <c r="N57" t="s">
        <v>69</v>
      </c>
      <c r="O57" s="16" t="s">
        <v>70</v>
      </c>
      <c r="P57" t="s">
        <v>71</v>
      </c>
      <c r="Q57" s="19">
        <v>35</v>
      </c>
      <c r="R57" t="s">
        <v>73</v>
      </c>
      <c r="S57" s="19">
        <v>0</v>
      </c>
      <c r="T57" s="19">
        <v>2</v>
      </c>
      <c r="U57" s="19">
        <v>6.79</v>
      </c>
      <c r="V57" s="19">
        <v>37</v>
      </c>
      <c r="W57" s="19">
        <v>37</v>
      </c>
      <c r="X57" t="s">
        <v>73</v>
      </c>
      <c r="Y57" s="20">
        <v>0.05</v>
      </c>
      <c r="Z57" s="19">
        <v>1.75</v>
      </c>
      <c r="AA57" s="19">
        <v>35.25</v>
      </c>
      <c r="AB57" s="19">
        <v>1.75</v>
      </c>
      <c r="AC57" t="s">
        <v>73</v>
      </c>
      <c r="AD57" s="19">
        <v>1.41</v>
      </c>
      <c r="AE57" s="19">
        <v>0.34</v>
      </c>
      <c r="AF57" s="19">
        <v>1.75</v>
      </c>
      <c r="AG57" s="19">
        <v>21.32</v>
      </c>
      <c r="AH57" s="19">
        <v>15.68</v>
      </c>
      <c r="AI57" s="19">
        <v>1.75</v>
      </c>
      <c r="AJ57" t="s">
        <v>73</v>
      </c>
      <c r="AK57" s="19">
        <v>0</v>
      </c>
      <c r="AL57" s="19">
        <v>35.25</v>
      </c>
      <c r="AM57" t="b">
        <f t="shared" si="0"/>
        <v>1</v>
      </c>
      <c r="AN57" s="21">
        <f t="shared" si="1"/>
        <v>0</v>
      </c>
      <c r="AO57" s="19">
        <f t="shared" si="2"/>
        <v>0</v>
      </c>
      <c r="AP57" s="22">
        <v>17</v>
      </c>
      <c r="AQ57" s="18">
        <f t="shared" si="3"/>
        <v>2</v>
      </c>
      <c r="AR57" s="18">
        <f t="shared" si="4"/>
        <v>6.9</v>
      </c>
      <c r="AS57" s="23">
        <f t="shared" si="5"/>
        <v>8.1</v>
      </c>
      <c r="AT57" s="24">
        <v>46273.919444444444</v>
      </c>
      <c r="AU57" s="16" t="s">
        <v>342</v>
      </c>
      <c r="AV57" s="16">
        <v>291330830</v>
      </c>
      <c r="AW57" s="16">
        <v>738069500</v>
      </c>
      <c r="AX57" s="16" t="s">
        <v>306</v>
      </c>
      <c r="AY57" s="16">
        <v>37</v>
      </c>
      <c r="AZ57" s="16">
        <v>35</v>
      </c>
      <c r="BA57" s="16">
        <v>5</v>
      </c>
      <c r="BB57" s="16">
        <v>1.75</v>
      </c>
      <c r="BC57" s="16">
        <v>17</v>
      </c>
      <c r="BD57" s="16">
        <v>6.9</v>
      </c>
      <c r="BE57" s="16">
        <v>1</v>
      </c>
      <c r="BF57" s="16" t="s">
        <v>69</v>
      </c>
      <c r="BG57" s="16" t="s">
        <v>343</v>
      </c>
      <c r="BH57" s="16">
        <v>15</v>
      </c>
      <c r="BI57" s="16">
        <v>8.1</v>
      </c>
      <c r="BJ57" s="16">
        <v>42.15</v>
      </c>
      <c r="BK57" s="16">
        <v>1.75</v>
      </c>
      <c r="BL57" s="16">
        <v>8.9</v>
      </c>
    </row>
    <row r="58" spans="1:64" x14ac:dyDescent="0.25">
      <c r="A58" s="24">
        <v>46273</v>
      </c>
      <c r="B58" s="16" t="s">
        <v>344</v>
      </c>
      <c r="C58" s="25">
        <v>73695</v>
      </c>
      <c r="F58" s="25">
        <v>19172</v>
      </c>
      <c r="G58" s="25">
        <v>291331959</v>
      </c>
      <c r="H58" s="16" t="s">
        <v>64</v>
      </c>
      <c r="I58" s="16" t="s">
        <v>65</v>
      </c>
      <c r="J58" s="16" t="s">
        <v>66</v>
      </c>
      <c r="K58" s="17">
        <v>3</v>
      </c>
      <c r="L58" t="s">
        <v>207</v>
      </c>
      <c r="M58" t="s">
        <v>345</v>
      </c>
      <c r="N58" t="s">
        <v>69</v>
      </c>
      <c r="O58" s="16" t="s">
        <v>70</v>
      </c>
      <c r="P58" t="s">
        <v>79</v>
      </c>
      <c r="Q58" s="19">
        <v>36</v>
      </c>
      <c r="R58" t="s">
        <v>72</v>
      </c>
      <c r="S58" s="19">
        <v>3.6</v>
      </c>
      <c r="T58" s="19">
        <v>2</v>
      </c>
      <c r="U58" s="19">
        <v>6.92</v>
      </c>
      <c r="V58" s="19">
        <v>34.4</v>
      </c>
      <c r="W58" s="19">
        <v>38</v>
      </c>
      <c r="X58" t="s">
        <v>73</v>
      </c>
      <c r="Y58" s="20">
        <v>4.4999999999999998E-2</v>
      </c>
      <c r="Z58" s="19">
        <v>1.62</v>
      </c>
      <c r="AA58" s="19">
        <v>36.380000000000003</v>
      </c>
      <c r="AB58" s="19">
        <v>1.62</v>
      </c>
      <c r="AC58" t="s">
        <v>73</v>
      </c>
      <c r="AD58" s="19">
        <v>1.31</v>
      </c>
      <c r="AE58" s="19">
        <v>0.31</v>
      </c>
      <c r="AF58" s="19">
        <v>1.62</v>
      </c>
      <c r="AG58" s="19">
        <v>0</v>
      </c>
      <c r="AH58" s="19">
        <v>34.4</v>
      </c>
      <c r="AI58" s="19">
        <v>1.62</v>
      </c>
      <c r="AJ58" t="s">
        <v>73</v>
      </c>
      <c r="AK58" s="19">
        <v>0</v>
      </c>
      <c r="AL58" s="19">
        <v>36.380000000000003</v>
      </c>
      <c r="AM58" t="b">
        <f t="shared" si="0"/>
        <v>1</v>
      </c>
      <c r="AN58" s="21">
        <f t="shared" si="1"/>
        <v>0</v>
      </c>
      <c r="AO58" s="19">
        <f t="shared" si="2"/>
        <v>0</v>
      </c>
      <c r="AP58" s="22">
        <v>17</v>
      </c>
      <c r="AQ58" s="18">
        <f t="shared" si="3"/>
        <v>2</v>
      </c>
      <c r="AR58" s="18">
        <f t="shared" si="4"/>
        <v>6.9</v>
      </c>
      <c r="AS58" s="23">
        <f t="shared" si="5"/>
        <v>8.1</v>
      </c>
      <c r="AT58" s="24">
        <v>46273.928472222222</v>
      </c>
      <c r="AU58" s="16" t="s">
        <v>209</v>
      </c>
      <c r="AV58" s="16">
        <v>291331959</v>
      </c>
      <c r="AW58" s="16">
        <v>734859898</v>
      </c>
      <c r="AX58" s="16" t="s">
        <v>346</v>
      </c>
      <c r="AY58" s="16">
        <v>38</v>
      </c>
      <c r="AZ58" s="16">
        <v>36</v>
      </c>
      <c r="BA58" s="16">
        <v>4.5</v>
      </c>
      <c r="BB58" s="16">
        <v>1.62</v>
      </c>
      <c r="BC58" s="16">
        <v>17</v>
      </c>
      <c r="BD58" s="16">
        <v>6.9</v>
      </c>
      <c r="BE58" s="16">
        <v>1</v>
      </c>
      <c r="BF58" s="16" t="s">
        <v>69</v>
      </c>
      <c r="BG58" s="16" t="s">
        <v>347</v>
      </c>
      <c r="BH58" s="16">
        <v>15</v>
      </c>
      <c r="BI58" s="16">
        <v>8.1</v>
      </c>
      <c r="BJ58" s="16">
        <v>43.28</v>
      </c>
      <c r="BK58" s="16">
        <v>1.62</v>
      </c>
      <c r="BL58" s="16">
        <v>8.9</v>
      </c>
    </row>
    <row r="59" spans="1:64" x14ac:dyDescent="0.25">
      <c r="A59" s="24">
        <v>46273</v>
      </c>
      <c r="B59" s="16" t="s">
        <v>348</v>
      </c>
      <c r="C59" s="25">
        <v>5</v>
      </c>
      <c r="D59" s="17" t="s">
        <v>229</v>
      </c>
      <c r="F59" s="25">
        <v>19173</v>
      </c>
      <c r="G59" s="25">
        <v>291333010</v>
      </c>
      <c r="H59" s="16" t="s">
        <v>64</v>
      </c>
      <c r="I59" s="16" t="s">
        <v>65</v>
      </c>
      <c r="J59" s="16" t="s">
        <v>66</v>
      </c>
      <c r="K59" s="17">
        <v>155</v>
      </c>
      <c r="L59" t="s">
        <v>349</v>
      </c>
      <c r="M59" t="s">
        <v>350</v>
      </c>
      <c r="N59" t="s">
        <v>69</v>
      </c>
      <c r="O59" s="16" t="s">
        <v>70</v>
      </c>
      <c r="P59" t="s">
        <v>246</v>
      </c>
      <c r="Q59" s="19">
        <v>213</v>
      </c>
      <c r="R59" t="s">
        <v>73</v>
      </c>
      <c r="S59" s="19">
        <v>0</v>
      </c>
      <c r="T59" s="19">
        <v>37</v>
      </c>
      <c r="U59" s="19">
        <v>32.61</v>
      </c>
      <c r="V59" s="19">
        <v>250</v>
      </c>
      <c r="W59" s="19">
        <v>250</v>
      </c>
      <c r="X59" t="s">
        <v>73</v>
      </c>
      <c r="Y59" s="20">
        <v>0.05</v>
      </c>
      <c r="Z59" s="19">
        <v>10.65</v>
      </c>
      <c r="AA59" s="19">
        <v>239.35</v>
      </c>
      <c r="AB59" s="19">
        <v>10.65</v>
      </c>
      <c r="AC59" t="s">
        <v>73</v>
      </c>
      <c r="AD59" s="19">
        <v>9.02</v>
      </c>
      <c r="AE59" s="19">
        <v>1.63</v>
      </c>
      <c r="AF59" s="19">
        <v>10.65</v>
      </c>
      <c r="AG59" s="19">
        <v>0</v>
      </c>
      <c r="AH59" s="19">
        <v>250</v>
      </c>
      <c r="AI59" s="19">
        <v>10.65</v>
      </c>
      <c r="AJ59" t="s">
        <v>73</v>
      </c>
      <c r="AK59" s="19">
        <v>0</v>
      </c>
      <c r="AL59" s="19">
        <v>239.35</v>
      </c>
      <c r="AM59" t="b">
        <f t="shared" si="0"/>
        <v>1</v>
      </c>
      <c r="AN59" s="21">
        <f t="shared" si="1"/>
        <v>0</v>
      </c>
      <c r="AO59" s="19">
        <f t="shared" si="2"/>
        <v>0</v>
      </c>
      <c r="AP59" s="22">
        <v>37</v>
      </c>
      <c r="AQ59" s="18">
        <f t="shared" si="3"/>
        <v>37</v>
      </c>
      <c r="AR59" s="18">
        <f t="shared" si="4"/>
        <v>0</v>
      </c>
      <c r="AS59" s="23">
        <f t="shared" si="5"/>
        <v>0</v>
      </c>
      <c r="AT59" s="24">
        <v>46273.940972222219</v>
      </c>
      <c r="AU59" s="16" t="s">
        <v>349</v>
      </c>
      <c r="AV59" s="16">
        <v>291333010</v>
      </c>
      <c r="AW59" s="16">
        <v>738075986</v>
      </c>
      <c r="AX59" s="16" t="s">
        <v>233</v>
      </c>
      <c r="AY59" s="16">
        <v>250</v>
      </c>
      <c r="AZ59" s="16">
        <v>213</v>
      </c>
      <c r="BA59" s="16">
        <v>5</v>
      </c>
      <c r="BB59" s="16">
        <v>10.65</v>
      </c>
      <c r="BC59" s="16">
        <v>37</v>
      </c>
      <c r="BD59" s="16">
        <v>0</v>
      </c>
      <c r="BE59" s="16">
        <v>35</v>
      </c>
      <c r="BF59" s="16" t="s">
        <v>69</v>
      </c>
      <c r="BG59" s="16" t="s">
        <v>351</v>
      </c>
      <c r="BH59" s="16">
        <v>0</v>
      </c>
      <c r="BI59" s="16">
        <v>0</v>
      </c>
      <c r="BJ59" s="16">
        <v>239.35</v>
      </c>
      <c r="BK59" s="16">
        <v>10.65</v>
      </c>
      <c r="BL59" s="16">
        <v>37</v>
      </c>
    </row>
    <row r="60" spans="1:64" x14ac:dyDescent="0.25">
      <c r="A60" s="24">
        <v>46273</v>
      </c>
      <c r="B60" s="16" t="s">
        <v>352</v>
      </c>
      <c r="C60" s="25">
        <v>21288</v>
      </c>
      <c r="D60" s="17" t="s">
        <v>353</v>
      </c>
      <c r="F60" s="25">
        <v>19174</v>
      </c>
      <c r="G60" s="25">
        <v>291333731</v>
      </c>
      <c r="H60" s="16" t="s">
        <v>64</v>
      </c>
      <c r="I60" s="16" t="s">
        <v>65</v>
      </c>
      <c r="J60" s="16" t="s">
        <v>66</v>
      </c>
      <c r="K60" s="17">
        <v>3</v>
      </c>
      <c r="L60" t="s">
        <v>207</v>
      </c>
      <c r="M60" t="s">
        <v>354</v>
      </c>
      <c r="N60" t="s">
        <v>69</v>
      </c>
      <c r="O60" s="16" t="s">
        <v>70</v>
      </c>
      <c r="P60" t="s">
        <v>71</v>
      </c>
      <c r="Q60" s="19">
        <v>41</v>
      </c>
      <c r="R60" t="s">
        <v>72</v>
      </c>
      <c r="S60" s="19">
        <v>4.0999999999999996</v>
      </c>
      <c r="T60" s="19">
        <v>0</v>
      </c>
      <c r="U60" s="19">
        <v>7.31</v>
      </c>
      <c r="V60" s="19">
        <v>36.9</v>
      </c>
      <c r="W60" s="19">
        <v>41</v>
      </c>
      <c r="X60" t="s">
        <v>73</v>
      </c>
      <c r="Y60" s="20">
        <v>4.5100000000000001E-2</v>
      </c>
      <c r="Z60" s="19">
        <v>1.85</v>
      </c>
      <c r="AA60" s="19">
        <v>39.159999999999997</v>
      </c>
      <c r="AB60" s="19">
        <v>1.85</v>
      </c>
      <c r="AC60" t="s">
        <v>73</v>
      </c>
      <c r="AD60" s="19">
        <v>1.52</v>
      </c>
      <c r="AE60" s="19">
        <v>0.33</v>
      </c>
      <c r="AF60" s="19">
        <v>1.85</v>
      </c>
      <c r="AG60" s="19">
        <v>0.62</v>
      </c>
      <c r="AH60" s="19">
        <v>36.28</v>
      </c>
      <c r="AI60" s="19">
        <v>1.85</v>
      </c>
      <c r="AJ60" t="s">
        <v>73</v>
      </c>
      <c r="AK60" s="19">
        <v>10</v>
      </c>
      <c r="AL60" s="19">
        <v>39.159999999999997</v>
      </c>
      <c r="AM60" t="b">
        <f t="shared" si="0"/>
        <v>1</v>
      </c>
      <c r="AN60" s="21">
        <f t="shared" si="1"/>
        <v>-1.0000000000000286E-4</v>
      </c>
      <c r="AO60" s="19">
        <f t="shared" si="2"/>
        <v>5.0000000000001155E-3</v>
      </c>
      <c r="AP60" s="22">
        <v>15</v>
      </c>
      <c r="AQ60" s="18">
        <f t="shared" si="3"/>
        <v>0</v>
      </c>
      <c r="AR60" s="18">
        <f t="shared" si="4"/>
        <v>6.9</v>
      </c>
      <c r="AS60" s="23">
        <f t="shared" si="5"/>
        <v>8.1</v>
      </c>
      <c r="AT60" s="24">
        <v>46273.935416666667</v>
      </c>
      <c r="AU60" s="16" t="s">
        <v>209</v>
      </c>
      <c r="AV60" s="16">
        <v>291333731</v>
      </c>
      <c r="AW60" s="16">
        <v>738063487</v>
      </c>
      <c r="AX60" s="16" t="s">
        <v>355</v>
      </c>
      <c r="AY60" s="16">
        <v>41</v>
      </c>
      <c r="AZ60" s="16">
        <v>41</v>
      </c>
      <c r="BA60" s="16">
        <v>4.5</v>
      </c>
      <c r="BB60" s="16">
        <v>1.845</v>
      </c>
      <c r="BC60" s="16">
        <v>15</v>
      </c>
      <c r="BD60" s="16">
        <v>6.9</v>
      </c>
      <c r="BE60" s="16">
        <v>0</v>
      </c>
      <c r="BF60" s="16" t="s">
        <v>69</v>
      </c>
      <c r="BG60" s="16" t="s">
        <v>356</v>
      </c>
      <c r="BH60" s="16">
        <v>15</v>
      </c>
      <c r="BI60" s="16">
        <v>8.1</v>
      </c>
      <c r="BJ60" s="16">
        <v>46.055</v>
      </c>
      <c r="BK60" s="16">
        <v>1.845</v>
      </c>
      <c r="BL60" s="16">
        <v>6.9</v>
      </c>
    </row>
    <row r="61" spans="1:64" x14ac:dyDescent="0.25">
      <c r="A61" s="24">
        <v>46273</v>
      </c>
      <c r="B61" s="16" t="s">
        <v>357</v>
      </c>
      <c r="C61" s="25">
        <v>75753</v>
      </c>
      <c r="F61" s="25">
        <v>19175</v>
      </c>
      <c r="G61" s="25">
        <v>291334459</v>
      </c>
      <c r="H61" s="16" t="s">
        <v>64</v>
      </c>
      <c r="I61" s="16" t="s">
        <v>65</v>
      </c>
      <c r="J61" s="16" t="s">
        <v>66</v>
      </c>
      <c r="K61" s="17">
        <v>54</v>
      </c>
      <c r="L61" t="s">
        <v>84</v>
      </c>
      <c r="M61" t="s">
        <v>73</v>
      </c>
      <c r="N61" t="s">
        <v>69</v>
      </c>
      <c r="O61" s="16" t="s">
        <v>70</v>
      </c>
      <c r="P61" t="s">
        <v>92</v>
      </c>
      <c r="Q61" s="19">
        <v>40</v>
      </c>
      <c r="R61" t="s">
        <v>73</v>
      </c>
      <c r="S61" s="19">
        <v>0</v>
      </c>
      <c r="T61" s="19">
        <v>5</v>
      </c>
      <c r="U61" s="19">
        <v>7.18</v>
      </c>
      <c r="V61" s="19">
        <v>45</v>
      </c>
      <c r="W61" s="19">
        <v>45</v>
      </c>
      <c r="X61" t="s">
        <v>73</v>
      </c>
      <c r="Y61" s="20">
        <v>4.7500000000000001E-2</v>
      </c>
      <c r="Z61" s="19">
        <v>1.9</v>
      </c>
      <c r="AA61" s="19">
        <v>43.1</v>
      </c>
      <c r="AB61" s="19">
        <v>1.9</v>
      </c>
      <c r="AC61" t="s">
        <v>73</v>
      </c>
      <c r="AD61" s="19">
        <v>1.56</v>
      </c>
      <c r="AE61" s="19">
        <v>0.34</v>
      </c>
      <c r="AF61" s="19">
        <v>1.9</v>
      </c>
      <c r="AG61" s="19">
        <v>45</v>
      </c>
      <c r="AH61" s="19">
        <v>0</v>
      </c>
      <c r="AI61" s="19">
        <v>1.9</v>
      </c>
      <c r="AJ61" t="s">
        <v>73</v>
      </c>
      <c r="AK61" s="19">
        <v>0</v>
      </c>
      <c r="AL61" s="19">
        <v>43.1</v>
      </c>
      <c r="AM61" t="b">
        <f t="shared" si="0"/>
        <v>1</v>
      </c>
      <c r="AN61" s="21">
        <f t="shared" si="1"/>
        <v>0</v>
      </c>
      <c r="AO61" s="19">
        <f t="shared" si="2"/>
        <v>0</v>
      </c>
      <c r="AP61" s="22">
        <v>15</v>
      </c>
      <c r="AQ61" s="18">
        <f t="shared" si="3"/>
        <v>5</v>
      </c>
      <c r="AR61" s="18">
        <f t="shared" si="4"/>
        <v>6</v>
      </c>
      <c r="AS61" s="23">
        <f t="shared" si="5"/>
        <v>4</v>
      </c>
      <c r="AT61" s="24">
        <v>46273.936111111114</v>
      </c>
      <c r="AU61" s="16" t="s">
        <v>87</v>
      </c>
      <c r="AV61" s="16">
        <v>291334459</v>
      </c>
      <c r="AW61" s="16">
        <v>738080135</v>
      </c>
      <c r="AX61" s="16" t="s">
        <v>303</v>
      </c>
      <c r="AY61" s="16">
        <v>45</v>
      </c>
      <c r="AZ61" s="16">
        <v>40</v>
      </c>
      <c r="BA61" s="16">
        <v>4.75</v>
      </c>
      <c r="BB61" s="16">
        <v>1.9</v>
      </c>
      <c r="BC61" s="16">
        <v>15</v>
      </c>
      <c r="BD61" s="16">
        <v>6</v>
      </c>
      <c r="BE61" s="16">
        <v>4</v>
      </c>
      <c r="BF61" s="16" t="s">
        <v>69</v>
      </c>
      <c r="BG61" s="16" t="s">
        <v>358</v>
      </c>
      <c r="BH61" s="16">
        <v>10</v>
      </c>
      <c r="BI61" s="16">
        <v>4</v>
      </c>
      <c r="BJ61" s="16">
        <v>49.1</v>
      </c>
      <c r="BK61" s="16">
        <v>1.9</v>
      </c>
      <c r="BL61" s="16">
        <v>11</v>
      </c>
    </row>
    <row r="62" spans="1:64" x14ac:dyDescent="0.25">
      <c r="A62" s="24">
        <v>46273</v>
      </c>
      <c r="B62" s="16" t="s">
        <v>359</v>
      </c>
      <c r="C62" s="25">
        <v>60303</v>
      </c>
      <c r="F62" s="25">
        <v>19176</v>
      </c>
      <c r="G62" s="25">
        <v>291336492</v>
      </c>
      <c r="H62" s="16" t="s">
        <v>64</v>
      </c>
      <c r="I62" s="16" t="s">
        <v>65</v>
      </c>
      <c r="J62" s="16" t="s">
        <v>66</v>
      </c>
      <c r="K62" s="17">
        <v>20</v>
      </c>
      <c r="L62" t="s">
        <v>118</v>
      </c>
      <c r="M62" t="s">
        <v>360</v>
      </c>
      <c r="N62" t="s">
        <v>69</v>
      </c>
      <c r="O62" s="16" t="s">
        <v>70</v>
      </c>
      <c r="P62" t="s">
        <v>71</v>
      </c>
      <c r="Q62" s="19">
        <v>119</v>
      </c>
      <c r="R62" t="s">
        <v>72</v>
      </c>
      <c r="S62" s="19">
        <v>11.9</v>
      </c>
      <c r="T62" s="19">
        <v>9</v>
      </c>
      <c r="U62" s="19">
        <v>17.48</v>
      </c>
      <c r="V62" s="19">
        <v>116.1</v>
      </c>
      <c r="W62" s="19">
        <v>128</v>
      </c>
      <c r="X62" t="s">
        <v>73</v>
      </c>
      <c r="Y62" s="20">
        <v>0.04</v>
      </c>
      <c r="Z62" s="19">
        <v>4.76</v>
      </c>
      <c r="AA62" s="19">
        <v>123.24</v>
      </c>
      <c r="AB62" s="19">
        <v>4.76</v>
      </c>
      <c r="AC62" t="s">
        <v>73</v>
      </c>
      <c r="AD62" s="19">
        <v>4.0599999999999996</v>
      </c>
      <c r="AE62" s="19">
        <v>0.7</v>
      </c>
      <c r="AF62" s="19">
        <v>4.76</v>
      </c>
      <c r="AG62" s="19">
        <v>20</v>
      </c>
      <c r="AH62" s="19">
        <v>96.1</v>
      </c>
      <c r="AI62" s="19">
        <v>4.76</v>
      </c>
      <c r="AJ62" t="s">
        <v>73</v>
      </c>
      <c r="AK62" s="19">
        <v>0</v>
      </c>
      <c r="AL62" s="19">
        <v>123.24</v>
      </c>
      <c r="AM62" t="b">
        <f t="shared" si="0"/>
        <v>1</v>
      </c>
      <c r="AN62" s="21">
        <f t="shared" si="1"/>
        <v>0</v>
      </c>
      <c r="AO62" s="19">
        <f t="shared" si="2"/>
        <v>0</v>
      </c>
      <c r="AP62" s="22">
        <v>15</v>
      </c>
      <c r="AQ62" s="18">
        <f t="shared" si="3"/>
        <v>9</v>
      </c>
      <c r="AR62" s="18">
        <f t="shared" si="4"/>
        <v>6</v>
      </c>
      <c r="AS62" s="23">
        <f t="shared" si="5"/>
        <v>0</v>
      </c>
      <c r="AT62" s="24">
        <v>46273.945138888892</v>
      </c>
      <c r="AU62" s="16" t="s">
        <v>120</v>
      </c>
      <c r="AV62" s="16">
        <v>291336492</v>
      </c>
      <c r="AW62" s="16">
        <v>738082249</v>
      </c>
      <c r="AX62" s="16" t="s">
        <v>361</v>
      </c>
      <c r="AY62" s="16">
        <v>128</v>
      </c>
      <c r="AZ62" s="16">
        <v>119</v>
      </c>
      <c r="BA62" s="16">
        <v>4</v>
      </c>
      <c r="BB62" s="16">
        <v>4.76</v>
      </c>
      <c r="BC62" s="16">
        <v>15</v>
      </c>
      <c r="BD62" s="16">
        <v>6</v>
      </c>
      <c r="BE62" s="16">
        <v>8</v>
      </c>
      <c r="BF62" s="16" t="s">
        <v>69</v>
      </c>
      <c r="BG62" s="16" t="s">
        <v>362</v>
      </c>
      <c r="BH62" s="16">
        <v>6</v>
      </c>
      <c r="BI62" s="16">
        <v>0</v>
      </c>
      <c r="BJ62" s="16">
        <v>129.24</v>
      </c>
      <c r="BK62" s="16">
        <v>4.76</v>
      </c>
      <c r="BL62" s="16">
        <v>15</v>
      </c>
    </row>
    <row r="63" spans="1:64" x14ac:dyDescent="0.25">
      <c r="A63" s="24">
        <v>46274</v>
      </c>
      <c r="B63" s="16" t="s">
        <v>363</v>
      </c>
      <c r="C63" s="25">
        <v>54783</v>
      </c>
      <c r="F63" s="25">
        <v>19177</v>
      </c>
      <c r="G63" s="25">
        <v>291348476</v>
      </c>
      <c r="H63" s="16" t="s">
        <v>64</v>
      </c>
      <c r="I63" s="16" t="s">
        <v>65</v>
      </c>
      <c r="J63" s="16" t="s">
        <v>66</v>
      </c>
      <c r="K63" s="17">
        <v>15150</v>
      </c>
      <c r="L63" t="s">
        <v>91</v>
      </c>
      <c r="M63" t="s">
        <v>364</v>
      </c>
      <c r="N63" t="s">
        <v>69</v>
      </c>
      <c r="O63" s="16" t="s">
        <v>70</v>
      </c>
      <c r="P63" t="s">
        <v>169</v>
      </c>
      <c r="Q63" s="19">
        <v>55</v>
      </c>
      <c r="R63" t="s">
        <v>73</v>
      </c>
      <c r="S63" s="19">
        <v>0</v>
      </c>
      <c r="T63" s="19">
        <v>0</v>
      </c>
      <c r="U63" s="19">
        <v>9.1300000000000008</v>
      </c>
      <c r="V63" s="19">
        <v>55</v>
      </c>
      <c r="W63" s="19">
        <v>55</v>
      </c>
      <c r="X63" t="s">
        <v>73</v>
      </c>
      <c r="Y63" s="20">
        <v>0.05</v>
      </c>
      <c r="Z63" s="19">
        <v>2.75</v>
      </c>
      <c r="AA63" s="19">
        <v>52.25</v>
      </c>
      <c r="AB63" s="19">
        <v>2.75</v>
      </c>
      <c r="AC63" t="s">
        <v>73</v>
      </c>
      <c r="AD63" s="19">
        <v>2.29</v>
      </c>
      <c r="AE63" s="19">
        <v>0.46</v>
      </c>
      <c r="AF63" s="19">
        <v>2.75</v>
      </c>
      <c r="AG63" s="19">
        <v>2.33</v>
      </c>
      <c r="AH63" s="19">
        <v>52.67</v>
      </c>
      <c r="AI63" s="19">
        <v>2.75</v>
      </c>
      <c r="AJ63" t="s">
        <v>73</v>
      </c>
      <c r="AK63" s="19">
        <v>0</v>
      </c>
      <c r="AL63" s="19">
        <v>52.25</v>
      </c>
      <c r="AM63" t="b">
        <f t="shared" si="0"/>
        <v>1</v>
      </c>
      <c r="AN63" s="21">
        <f t="shared" si="1"/>
        <v>0</v>
      </c>
      <c r="AO63" s="19">
        <f t="shared" si="2"/>
        <v>0</v>
      </c>
      <c r="AP63" s="22">
        <v>15</v>
      </c>
      <c r="AQ63" s="18">
        <f t="shared" si="3"/>
        <v>0</v>
      </c>
      <c r="AR63" s="18">
        <f t="shared" si="4"/>
        <v>10</v>
      </c>
      <c r="AS63" s="23">
        <f t="shared" si="5"/>
        <v>5</v>
      </c>
      <c r="AT63" s="24">
        <v>46274.063888888886</v>
      </c>
      <c r="AU63" s="16" t="s">
        <v>93</v>
      </c>
      <c r="AV63" s="16">
        <v>291348476</v>
      </c>
      <c r="AW63" s="16">
        <v>738135383</v>
      </c>
      <c r="AX63" s="16" t="s">
        <v>365</v>
      </c>
      <c r="AY63" s="16">
        <v>55</v>
      </c>
      <c r="AZ63" s="16">
        <v>55</v>
      </c>
      <c r="BA63" s="16">
        <v>5</v>
      </c>
      <c r="BB63" s="16">
        <v>2.75</v>
      </c>
      <c r="BC63" s="16">
        <v>15</v>
      </c>
      <c r="BD63" s="16">
        <v>10</v>
      </c>
      <c r="BE63" s="16">
        <v>0</v>
      </c>
      <c r="BF63" s="16" t="s">
        <v>69</v>
      </c>
      <c r="BG63" s="16" t="s">
        <v>366</v>
      </c>
      <c r="BH63" s="16">
        <v>15</v>
      </c>
      <c r="BI63" s="16">
        <v>5</v>
      </c>
      <c r="BJ63" s="16">
        <v>62.25</v>
      </c>
      <c r="BK63" s="16">
        <v>2.75</v>
      </c>
      <c r="BL63" s="16">
        <v>10</v>
      </c>
    </row>
    <row r="64" spans="1:64" x14ac:dyDescent="0.25">
      <c r="A64" s="24">
        <v>46274</v>
      </c>
      <c r="B64" s="16" t="s">
        <v>112</v>
      </c>
      <c r="C64" s="25">
        <v>73961</v>
      </c>
      <c r="F64" s="25">
        <v>19178</v>
      </c>
      <c r="G64" s="25">
        <v>291348925</v>
      </c>
      <c r="H64" s="16" t="s">
        <v>64</v>
      </c>
      <c r="I64" s="16" t="s">
        <v>65</v>
      </c>
      <c r="J64" s="16" t="s">
        <v>66</v>
      </c>
      <c r="K64" s="17">
        <v>65</v>
      </c>
      <c r="L64" t="s">
        <v>340</v>
      </c>
      <c r="M64" t="s">
        <v>367</v>
      </c>
      <c r="N64" t="s">
        <v>69</v>
      </c>
      <c r="O64" s="16" t="s">
        <v>70</v>
      </c>
      <c r="P64" t="s">
        <v>175</v>
      </c>
      <c r="Q64" s="19">
        <v>39.78</v>
      </c>
      <c r="R64" t="s">
        <v>72</v>
      </c>
      <c r="S64" s="19">
        <v>3.98</v>
      </c>
      <c r="T64" s="19">
        <v>0</v>
      </c>
      <c r="U64" s="19">
        <v>7.15</v>
      </c>
      <c r="V64" s="19">
        <v>35.799999999999997</v>
      </c>
      <c r="W64" s="19">
        <v>39.78</v>
      </c>
      <c r="X64" t="s">
        <v>73</v>
      </c>
      <c r="Y64" s="20">
        <v>0.05</v>
      </c>
      <c r="Z64" s="19">
        <v>1.99</v>
      </c>
      <c r="AA64" s="19">
        <v>37.79</v>
      </c>
      <c r="AB64" s="19">
        <v>1.99</v>
      </c>
      <c r="AC64" t="s">
        <v>73</v>
      </c>
      <c r="AD64" s="19">
        <v>1.63</v>
      </c>
      <c r="AE64" s="19">
        <v>0.36</v>
      </c>
      <c r="AF64" s="19">
        <v>1.99</v>
      </c>
      <c r="AG64" s="19">
        <v>5</v>
      </c>
      <c r="AH64" s="19">
        <v>30.8</v>
      </c>
      <c r="AI64" s="19">
        <v>1.99</v>
      </c>
      <c r="AJ64" t="s">
        <v>73</v>
      </c>
      <c r="AK64" s="19">
        <v>0</v>
      </c>
      <c r="AL64" s="19">
        <v>37.79</v>
      </c>
      <c r="AM64" t="b">
        <f t="shared" si="0"/>
        <v>1</v>
      </c>
      <c r="AN64" s="21">
        <f t="shared" si="1"/>
        <v>0</v>
      </c>
      <c r="AO64" s="19">
        <f t="shared" si="2"/>
        <v>9.9999999999988987E-4</v>
      </c>
      <c r="AP64" s="22">
        <v>15</v>
      </c>
      <c r="AQ64" s="18">
        <f t="shared" si="3"/>
        <v>0</v>
      </c>
      <c r="AR64" s="18">
        <f t="shared" si="4"/>
        <v>6.9</v>
      </c>
      <c r="AS64" s="23">
        <f t="shared" si="5"/>
        <v>8.1</v>
      </c>
      <c r="AT64" s="24">
        <v>46274.071527777778</v>
      </c>
      <c r="AU64" s="16" t="s">
        <v>342</v>
      </c>
      <c r="AV64" s="16">
        <v>291348925</v>
      </c>
      <c r="AW64" s="16">
        <v>737841061</v>
      </c>
      <c r="AX64" s="16" t="s">
        <v>368</v>
      </c>
      <c r="AY64" s="16">
        <v>39.779998779296875</v>
      </c>
      <c r="AZ64" s="16">
        <v>39.78</v>
      </c>
      <c r="BA64" s="16">
        <v>5</v>
      </c>
      <c r="BB64" s="16">
        <v>1.9890000000000001</v>
      </c>
      <c r="BC64" s="16">
        <v>15</v>
      </c>
      <c r="BD64" s="16">
        <v>6.9</v>
      </c>
      <c r="BE64" s="16">
        <v>0</v>
      </c>
      <c r="BF64" s="16" t="s">
        <v>69</v>
      </c>
      <c r="BG64" s="16" t="s">
        <v>369</v>
      </c>
      <c r="BH64" s="16">
        <v>15</v>
      </c>
      <c r="BI64" s="16">
        <v>8.1</v>
      </c>
      <c r="BJ64" s="16">
        <v>44.690998779296876</v>
      </c>
      <c r="BK64" s="16">
        <v>1.9890000000000001</v>
      </c>
      <c r="BL64" s="16">
        <v>6.9</v>
      </c>
    </row>
    <row r="65" spans="1:64" x14ac:dyDescent="0.25">
      <c r="A65" s="24">
        <v>46274</v>
      </c>
      <c r="B65" s="16" t="s">
        <v>370</v>
      </c>
      <c r="C65" s="25">
        <v>8124</v>
      </c>
      <c r="F65" s="25">
        <v>19179</v>
      </c>
      <c r="G65" s="25">
        <v>291351048</v>
      </c>
      <c r="H65" s="16" t="s">
        <v>64</v>
      </c>
      <c r="I65" s="16" t="s">
        <v>65</v>
      </c>
      <c r="J65" s="16" t="s">
        <v>66</v>
      </c>
      <c r="K65" s="17">
        <v>62</v>
      </c>
      <c r="L65" t="s">
        <v>124</v>
      </c>
      <c r="M65" t="s">
        <v>371</v>
      </c>
      <c r="N65" t="s">
        <v>69</v>
      </c>
      <c r="O65" s="16" t="s">
        <v>70</v>
      </c>
      <c r="P65" t="s">
        <v>86</v>
      </c>
      <c r="Q65" s="19">
        <v>39</v>
      </c>
      <c r="R65" t="s">
        <v>72</v>
      </c>
      <c r="S65" s="19">
        <v>3.9</v>
      </c>
      <c r="T65" s="19">
        <v>15</v>
      </c>
      <c r="U65" s="19">
        <v>7.05</v>
      </c>
      <c r="V65" s="19">
        <v>50.1</v>
      </c>
      <c r="W65" s="19">
        <v>54</v>
      </c>
      <c r="X65" t="s">
        <v>73</v>
      </c>
      <c r="Y65" s="20">
        <v>4.7399999999999998E-2</v>
      </c>
      <c r="Z65" s="19">
        <v>1.85</v>
      </c>
      <c r="AA65" s="19">
        <v>52.15</v>
      </c>
      <c r="AB65" s="19">
        <v>1.85</v>
      </c>
      <c r="AC65" t="s">
        <v>73</v>
      </c>
      <c r="AD65" s="19">
        <v>1.52</v>
      </c>
      <c r="AE65" s="19">
        <v>0.33</v>
      </c>
      <c r="AF65" s="19">
        <v>1.85</v>
      </c>
      <c r="AG65" s="19">
        <v>0</v>
      </c>
      <c r="AH65" s="19">
        <v>50.1</v>
      </c>
      <c r="AI65" s="19">
        <v>1.85</v>
      </c>
      <c r="AJ65" t="s">
        <v>73</v>
      </c>
      <c r="AK65" s="19">
        <v>0</v>
      </c>
      <c r="AL65" s="19">
        <v>52.15</v>
      </c>
      <c r="AM65" t="b">
        <f t="shared" si="0"/>
        <v>1</v>
      </c>
      <c r="AN65" s="21">
        <f t="shared" si="1"/>
        <v>1.0000000000000286E-4</v>
      </c>
      <c r="AO65" s="19">
        <f t="shared" si="2"/>
        <v>-2.4999999999999467E-3</v>
      </c>
      <c r="AP65" s="22">
        <v>15</v>
      </c>
      <c r="AQ65" s="18">
        <f t="shared" si="3"/>
        <v>15</v>
      </c>
      <c r="AR65" s="18">
        <f t="shared" si="4"/>
        <v>0</v>
      </c>
      <c r="AS65" s="23">
        <f t="shared" si="5"/>
        <v>0</v>
      </c>
      <c r="AT65" s="24">
        <v>46274.134722222225</v>
      </c>
      <c r="AU65" s="16" t="s">
        <v>125</v>
      </c>
      <c r="AV65" s="16">
        <v>291351048</v>
      </c>
      <c r="AW65" s="16">
        <v>738153397</v>
      </c>
      <c r="AX65" s="16" t="s">
        <v>372</v>
      </c>
      <c r="AY65" s="16">
        <v>54</v>
      </c>
      <c r="AZ65" s="16">
        <v>39</v>
      </c>
      <c r="BA65" s="16">
        <v>4.75</v>
      </c>
      <c r="BB65" s="16">
        <v>1.8525</v>
      </c>
      <c r="BC65" s="16">
        <v>15</v>
      </c>
      <c r="BD65" s="16">
        <v>0</v>
      </c>
      <c r="BE65" s="16">
        <v>14</v>
      </c>
      <c r="BF65" s="16" t="s">
        <v>69</v>
      </c>
      <c r="BG65" s="16" t="s">
        <v>373</v>
      </c>
      <c r="BH65" s="16">
        <v>0</v>
      </c>
      <c r="BI65" s="16">
        <v>0</v>
      </c>
      <c r="BJ65" s="16">
        <v>52.147500000000001</v>
      </c>
      <c r="BK65" s="16">
        <v>1.8525</v>
      </c>
      <c r="BL65" s="16">
        <v>15</v>
      </c>
    </row>
    <row r="66" spans="1:64" x14ac:dyDescent="0.25">
      <c r="A66" s="24">
        <v>46274</v>
      </c>
      <c r="B66" s="16" t="s">
        <v>374</v>
      </c>
      <c r="C66" s="25">
        <v>70924</v>
      </c>
      <c r="F66" s="25">
        <v>19180</v>
      </c>
      <c r="G66" s="25">
        <v>291351585</v>
      </c>
      <c r="H66" s="16" t="s">
        <v>64</v>
      </c>
      <c r="I66" s="16" t="s">
        <v>65</v>
      </c>
      <c r="J66" s="16" t="s">
        <v>66</v>
      </c>
      <c r="K66" s="17">
        <v>764</v>
      </c>
      <c r="L66" t="s">
        <v>375</v>
      </c>
      <c r="M66" t="s">
        <v>376</v>
      </c>
      <c r="N66" t="s">
        <v>69</v>
      </c>
      <c r="O66" s="16" t="s">
        <v>70</v>
      </c>
      <c r="P66" t="s">
        <v>86</v>
      </c>
      <c r="Q66" s="19">
        <v>75.75</v>
      </c>
      <c r="R66" t="s">
        <v>73</v>
      </c>
      <c r="S66" s="19">
        <v>0</v>
      </c>
      <c r="T66" s="19">
        <v>15</v>
      </c>
      <c r="U66" s="19">
        <v>11.84</v>
      </c>
      <c r="V66" s="19">
        <v>90.75</v>
      </c>
      <c r="W66" s="19">
        <v>90.75</v>
      </c>
      <c r="X66" t="s">
        <v>73</v>
      </c>
      <c r="Y66" s="20">
        <v>0.05</v>
      </c>
      <c r="Z66" s="19">
        <v>3.79</v>
      </c>
      <c r="AA66" s="19">
        <v>86.96</v>
      </c>
      <c r="AB66" s="19">
        <v>3.79</v>
      </c>
      <c r="AC66" t="s">
        <v>73</v>
      </c>
      <c r="AD66" s="19">
        <v>3.2</v>
      </c>
      <c r="AE66" s="19">
        <v>0.59</v>
      </c>
      <c r="AF66" s="19">
        <v>3.79</v>
      </c>
      <c r="AG66" s="19">
        <v>0</v>
      </c>
      <c r="AH66" s="19">
        <v>90.75</v>
      </c>
      <c r="AI66" s="19">
        <v>3.79</v>
      </c>
      <c r="AJ66" t="s">
        <v>73</v>
      </c>
      <c r="AK66" s="19">
        <v>0</v>
      </c>
      <c r="AL66" s="19">
        <v>86.96</v>
      </c>
      <c r="AM66" t="b">
        <f t="shared" si="0"/>
        <v>1</v>
      </c>
      <c r="AN66" s="21">
        <f t="shared" si="1"/>
        <v>0</v>
      </c>
      <c r="AO66" s="19">
        <f t="shared" si="2"/>
        <v>2.4999999999999467E-3</v>
      </c>
      <c r="AP66" s="22">
        <v>15</v>
      </c>
      <c r="AQ66" s="18">
        <f t="shared" si="3"/>
        <v>15</v>
      </c>
      <c r="AR66" s="18">
        <f t="shared" si="4"/>
        <v>0</v>
      </c>
      <c r="AS66" s="23">
        <f t="shared" si="5"/>
        <v>0</v>
      </c>
      <c r="AT66" s="24">
        <v>46274.206250000003</v>
      </c>
      <c r="AU66" s="16" t="s">
        <v>377</v>
      </c>
      <c r="AV66" s="16">
        <v>291351585</v>
      </c>
      <c r="AW66" s="16">
        <v>738160560</v>
      </c>
      <c r="AX66" s="16" t="s">
        <v>378</v>
      </c>
      <c r="AY66" s="16">
        <v>90.75</v>
      </c>
      <c r="AZ66" s="16">
        <v>75.75</v>
      </c>
      <c r="BA66" s="16">
        <v>5</v>
      </c>
      <c r="BB66" s="16">
        <v>3.7875000000000001</v>
      </c>
      <c r="BC66" s="16">
        <v>15</v>
      </c>
      <c r="BD66" s="16">
        <v>0</v>
      </c>
      <c r="BE66" s="16">
        <v>14</v>
      </c>
      <c r="BF66" s="16" t="s">
        <v>69</v>
      </c>
      <c r="BG66" s="16" t="s">
        <v>379</v>
      </c>
      <c r="BH66" s="16">
        <v>0</v>
      </c>
      <c r="BI66" s="16">
        <v>0</v>
      </c>
      <c r="BJ66" s="16">
        <v>86.962500000000006</v>
      </c>
      <c r="BK66" s="16">
        <v>3.7875000000000001</v>
      </c>
      <c r="BL66" s="16">
        <v>15</v>
      </c>
    </row>
    <row r="67" spans="1:64" x14ac:dyDescent="0.25">
      <c r="A67" s="24">
        <v>46274</v>
      </c>
      <c r="B67" s="16" t="s">
        <v>380</v>
      </c>
      <c r="C67" s="25">
        <v>79035</v>
      </c>
      <c r="F67" s="25">
        <v>19181</v>
      </c>
      <c r="G67" s="25">
        <v>291351878</v>
      </c>
      <c r="H67" s="16" t="s">
        <v>64</v>
      </c>
      <c r="I67" s="16" t="s">
        <v>65</v>
      </c>
      <c r="J67" s="16" t="s">
        <v>66</v>
      </c>
      <c r="K67" s="17">
        <v>20</v>
      </c>
      <c r="L67" t="s">
        <v>118</v>
      </c>
      <c r="M67" t="s">
        <v>381</v>
      </c>
      <c r="N67" t="s">
        <v>69</v>
      </c>
      <c r="O67" s="16" t="s">
        <v>70</v>
      </c>
      <c r="P67" t="s">
        <v>71</v>
      </c>
      <c r="Q67" s="19">
        <v>54.5</v>
      </c>
      <c r="R67" t="s">
        <v>73</v>
      </c>
      <c r="S67" s="19">
        <v>0</v>
      </c>
      <c r="T67" s="19">
        <v>9</v>
      </c>
      <c r="U67" s="19">
        <v>9.07</v>
      </c>
      <c r="V67" s="19">
        <v>63.5</v>
      </c>
      <c r="W67" s="19">
        <v>63.5</v>
      </c>
      <c r="X67" t="s">
        <v>73</v>
      </c>
      <c r="Y67" s="20">
        <v>0.04</v>
      </c>
      <c r="Z67" s="19">
        <v>2.1800000000000002</v>
      </c>
      <c r="AA67" s="19">
        <v>61.32</v>
      </c>
      <c r="AB67" s="19">
        <v>2.1800000000000002</v>
      </c>
      <c r="AC67" t="s">
        <v>73</v>
      </c>
      <c r="AD67" s="19">
        <v>1.82</v>
      </c>
      <c r="AE67" s="19">
        <v>0.36</v>
      </c>
      <c r="AF67" s="19">
        <v>2.1800000000000002</v>
      </c>
      <c r="AG67" s="19">
        <v>2</v>
      </c>
      <c r="AH67" s="19">
        <v>61.5</v>
      </c>
      <c r="AI67" s="19">
        <v>2.1800000000000002</v>
      </c>
      <c r="AJ67" t="s">
        <v>73</v>
      </c>
      <c r="AK67" s="19">
        <v>0</v>
      </c>
      <c r="AL67" s="19">
        <v>61.32</v>
      </c>
      <c r="AM67" t="b">
        <f t="shared" ref="AM67:AM130" si="6">AV67=G67</f>
        <v>1</v>
      </c>
      <c r="AN67" s="21">
        <f t="shared" ref="AN67:AN130" si="7">(BA67/100)-Y67</f>
        <v>0</v>
      </c>
      <c r="AO67" s="19">
        <f t="shared" ref="AO67:AO130" si="8">Z67-BB67</f>
        <v>0</v>
      </c>
      <c r="AP67" s="22">
        <v>15</v>
      </c>
      <c r="AQ67" s="18">
        <f t="shared" ref="AQ67:AQ130" si="9">T67</f>
        <v>9</v>
      </c>
      <c r="AR67" s="18">
        <f t="shared" ref="AR67:AR130" si="10">AP67-AQ67-AS67</f>
        <v>6</v>
      </c>
      <c r="AS67" s="23">
        <f t="shared" ref="AS67:AS130" si="11">BI67</f>
        <v>0</v>
      </c>
      <c r="AT67" s="24">
        <v>46274.22152777778</v>
      </c>
      <c r="AU67" s="16" t="s">
        <v>120</v>
      </c>
      <c r="AV67" s="16">
        <v>291351878</v>
      </c>
      <c r="AW67" s="16">
        <v>738164692</v>
      </c>
      <c r="AX67" s="16" t="s">
        <v>382</v>
      </c>
      <c r="AY67" s="16">
        <v>63.5</v>
      </c>
      <c r="AZ67" s="16">
        <v>54.5</v>
      </c>
      <c r="BA67" s="16">
        <v>4</v>
      </c>
      <c r="BB67" s="16">
        <v>2.1800000000000002</v>
      </c>
      <c r="BC67" s="16">
        <v>15</v>
      </c>
      <c r="BD67" s="16">
        <v>6</v>
      </c>
      <c r="BE67" s="16">
        <v>8</v>
      </c>
      <c r="BF67" s="16" t="s">
        <v>69</v>
      </c>
      <c r="BG67" s="16" t="s">
        <v>383</v>
      </c>
      <c r="BH67" s="16">
        <v>6</v>
      </c>
      <c r="BI67" s="16">
        <v>0</v>
      </c>
      <c r="BJ67" s="16">
        <v>67.319999999999993</v>
      </c>
      <c r="BK67" s="16">
        <v>2.1800000000000002</v>
      </c>
      <c r="BL67" s="16">
        <v>15</v>
      </c>
    </row>
    <row r="68" spans="1:64" x14ac:dyDescent="0.25">
      <c r="A68" s="24">
        <v>46274</v>
      </c>
      <c r="B68" s="16" t="s">
        <v>384</v>
      </c>
      <c r="C68" s="25">
        <v>59162</v>
      </c>
      <c r="F68" s="25">
        <v>19182</v>
      </c>
      <c r="G68" s="25">
        <v>291351995</v>
      </c>
      <c r="H68" s="16" t="s">
        <v>64</v>
      </c>
      <c r="I68" s="16" t="s">
        <v>65</v>
      </c>
      <c r="J68" s="16" t="s">
        <v>66</v>
      </c>
      <c r="K68" s="17">
        <v>8318</v>
      </c>
      <c r="L68" t="s">
        <v>385</v>
      </c>
      <c r="M68" t="s">
        <v>386</v>
      </c>
      <c r="N68" t="s">
        <v>69</v>
      </c>
      <c r="O68" s="16" t="s">
        <v>70</v>
      </c>
      <c r="P68" t="s">
        <v>79</v>
      </c>
      <c r="Q68" s="19">
        <v>46.4</v>
      </c>
      <c r="R68" t="s">
        <v>73</v>
      </c>
      <c r="S68" s="19">
        <v>0</v>
      </c>
      <c r="T68" s="19">
        <v>0</v>
      </c>
      <c r="U68" s="19">
        <v>8.01</v>
      </c>
      <c r="V68" s="19">
        <v>46.4</v>
      </c>
      <c r="W68" s="19">
        <v>46.4</v>
      </c>
      <c r="X68" t="s">
        <v>73</v>
      </c>
      <c r="Y68" s="20">
        <v>0.05</v>
      </c>
      <c r="Z68" s="19">
        <v>2.3199999999999998</v>
      </c>
      <c r="AA68" s="19">
        <v>44.08</v>
      </c>
      <c r="AB68" s="19">
        <v>2.3199999999999998</v>
      </c>
      <c r="AC68" t="s">
        <v>73</v>
      </c>
      <c r="AD68" s="19">
        <v>1.92</v>
      </c>
      <c r="AE68" s="19">
        <v>0.4</v>
      </c>
      <c r="AF68" s="19">
        <v>2.3199999999999998</v>
      </c>
      <c r="AG68" s="19">
        <v>0</v>
      </c>
      <c r="AH68" s="19">
        <v>46.4</v>
      </c>
      <c r="AI68" s="19">
        <v>2.3199999999999998</v>
      </c>
      <c r="AJ68" t="s">
        <v>73</v>
      </c>
      <c r="AK68" s="19">
        <v>0</v>
      </c>
      <c r="AL68" s="19">
        <v>44.08</v>
      </c>
      <c r="AM68" t="b">
        <f t="shared" si="6"/>
        <v>1</v>
      </c>
      <c r="AN68" s="21">
        <f t="shared" si="7"/>
        <v>0</v>
      </c>
      <c r="AO68" s="19">
        <f t="shared" si="8"/>
        <v>0</v>
      </c>
      <c r="AP68" s="22">
        <v>15</v>
      </c>
      <c r="AQ68" s="18">
        <f t="shared" si="9"/>
        <v>0</v>
      </c>
      <c r="AR68" s="18">
        <f t="shared" si="10"/>
        <v>5</v>
      </c>
      <c r="AS68" s="23">
        <f t="shared" si="11"/>
        <v>10</v>
      </c>
      <c r="AT68" s="24">
        <v>46274.234722222223</v>
      </c>
      <c r="AU68" s="16" t="s">
        <v>385</v>
      </c>
      <c r="AV68" s="16">
        <v>291351995</v>
      </c>
      <c r="AW68" s="16">
        <v>738166061</v>
      </c>
      <c r="AX68" s="16" t="s">
        <v>387</v>
      </c>
      <c r="AY68" s="16">
        <v>46.400001525878906</v>
      </c>
      <c r="AZ68" s="16">
        <v>46.4</v>
      </c>
      <c r="BA68" s="16">
        <v>5</v>
      </c>
      <c r="BB68" s="16">
        <v>2.3199999999999998</v>
      </c>
      <c r="BC68" s="16">
        <v>15</v>
      </c>
      <c r="BD68" s="16">
        <v>5</v>
      </c>
      <c r="BE68" s="16">
        <v>0</v>
      </c>
      <c r="BF68" s="16" t="s">
        <v>69</v>
      </c>
      <c r="BG68" s="16" t="s">
        <v>388</v>
      </c>
      <c r="BH68" s="16">
        <v>15</v>
      </c>
      <c r="BI68" s="16">
        <v>10</v>
      </c>
      <c r="BJ68" s="16">
        <v>49.080001525878906</v>
      </c>
      <c r="BK68" s="16">
        <v>2.3199999999999998</v>
      </c>
      <c r="BL68" s="16">
        <v>5</v>
      </c>
    </row>
    <row r="69" spans="1:64" x14ac:dyDescent="0.25">
      <c r="A69" s="24">
        <v>46274</v>
      </c>
      <c r="B69" s="16" t="s">
        <v>389</v>
      </c>
      <c r="C69" s="25">
        <v>55855</v>
      </c>
      <c r="F69" s="25">
        <v>19183</v>
      </c>
      <c r="G69" s="25">
        <v>291355736</v>
      </c>
      <c r="H69" s="16" t="s">
        <v>64</v>
      </c>
      <c r="I69" s="16" t="s">
        <v>65</v>
      </c>
      <c r="J69" s="16" t="s">
        <v>66</v>
      </c>
      <c r="K69" s="17">
        <v>16040</v>
      </c>
      <c r="L69" t="s">
        <v>390</v>
      </c>
      <c r="M69" t="s">
        <v>391</v>
      </c>
      <c r="N69" t="s">
        <v>69</v>
      </c>
      <c r="O69" s="16" t="s">
        <v>70</v>
      </c>
      <c r="P69" t="s">
        <v>71</v>
      </c>
      <c r="Q69" s="19">
        <v>38</v>
      </c>
      <c r="R69" t="s">
        <v>72</v>
      </c>
      <c r="S69" s="19">
        <v>3.8</v>
      </c>
      <c r="T69" s="19">
        <v>2</v>
      </c>
      <c r="U69" s="19">
        <v>7.18</v>
      </c>
      <c r="V69" s="19">
        <v>36.200000000000003</v>
      </c>
      <c r="W69" s="19">
        <v>40</v>
      </c>
      <c r="X69" t="s">
        <v>73</v>
      </c>
      <c r="Y69" s="20">
        <v>0.05</v>
      </c>
      <c r="Z69" s="19">
        <v>1.9</v>
      </c>
      <c r="AA69" s="19">
        <v>38.1</v>
      </c>
      <c r="AB69" s="19">
        <v>1.9</v>
      </c>
      <c r="AC69" t="s">
        <v>73</v>
      </c>
      <c r="AD69" s="19">
        <v>1.54</v>
      </c>
      <c r="AE69" s="19">
        <v>0.36</v>
      </c>
      <c r="AF69" s="19">
        <v>1.9</v>
      </c>
      <c r="AG69" s="19">
        <v>20</v>
      </c>
      <c r="AH69" s="19">
        <v>16.2</v>
      </c>
      <c r="AI69" s="19">
        <v>1.9</v>
      </c>
      <c r="AJ69" t="s">
        <v>73</v>
      </c>
      <c r="AK69" s="19">
        <v>0</v>
      </c>
      <c r="AL69" s="19">
        <v>38.1</v>
      </c>
      <c r="AM69" t="b">
        <f t="shared" si="6"/>
        <v>1</v>
      </c>
      <c r="AN69" s="21">
        <f t="shared" si="7"/>
        <v>0</v>
      </c>
      <c r="AO69" s="19">
        <f t="shared" si="8"/>
        <v>0</v>
      </c>
      <c r="AP69" s="22">
        <v>17</v>
      </c>
      <c r="AQ69" s="18">
        <f t="shared" si="9"/>
        <v>2</v>
      </c>
      <c r="AR69" s="18">
        <f t="shared" si="10"/>
        <v>15</v>
      </c>
      <c r="AS69" s="23">
        <f t="shared" si="11"/>
        <v>0</v>
      </c>
      <c r="AT69" s="24">
        <v>46274.345138888886</v>
      </c>
      <c r="AU69" s="16" t="s">
        <v>392</v>
      </c>
      <c r="AV69" s="16">
        <v>291355736</v>
      </c>
      <c r="AW69" s="16">
        <v>738188573</v>
      </c>
      <c r="AX69" s="16" t="s">
        <v>393</v>
      </c>
      <c r="AY69" s="16">
        <v>40</v>
      </c>
      <c r="AZ69" s="16">
        <v>38</v>
      </c>
      <c r="BA69" s="16">
        <v>5</v>
      </c>
      <c r="BB69" s="16">
        <v>1.9</v>
      </c>
      <c r="BC69" s="16">
        <v>17</v>
      </c>
      <c r="BD69" s="16">
        <v>15</v>
      </c>
      <c r="BE69" s="16">
        <v>1</v>
      </c>
      <c r="BF69" s="16" t="s">
        <v>69</v>
      </c>
      <c r="BG69" s="16" t="s">
        <v>394</v>
      </c>
      <c r="BH69" s="16">
        <v>15</v>
      </c>
      <c r="BI69" s="16">
        <v>0</v>
      </c>
      <c r="BJ69" s="16">
        <v>53.1</v>
      </c>
      <c r="BK69" s="16">
        <v>1.9</v>
      </c>
      <c r="BL69" s="16">
        <v>17</v>
      </c>
    </row>
    <row r="70" spans="1:64" x14ac:dyDescent="0.25">
      <c r="A70" s="24">
        <v>46274</v>
      </c>
      <c r="B70" s="16" t="s">
        <v>395</v>
      </c>
      <c r="C70" s="25">
        <v>79233</v>
      </c>
      <c r="F70" s="25">
        <v>19184</v>
      </c>
      <c r="G70" s="25">
        <v>291356092</v>
      </c>
      <c r="H70" s="16" t="s">
        <v>64</v>
      </c>
      <c r="I70" s="16" t="s">
        <v>65</v>
      </c>
      <c r="J70" s="16" t="s">
        <v>66</v>
      </c>
      <c r="K70" s="17">
        <v>20</v>
      </c>
      <c r="L70" t="s">
        <v>118</v>
      </c>
      <c r="M70" t="s">
        <v>396</v>
      </c>
      <c r="N70" t="s">
        <v>69</v>
      </c>
      <c r="O70" s="16" t="s">
        <v>70</v>
      </c>
      <c r="P70" t="s">
        <v>71</v>
      </c>
      <c r="Q70" s="19">
        <v>36</v>
      </c>
      <c r="R70" t="s">
        <v>72</v>
      </c>
      <c r="S70" s="19">
        <v>3.6</v>
      </c>
      <c r="T70" s="19">
        <v>9</v>
      </c>
      <c r="U70" s="19">
        <v>6.66</v>
      </c>
      <c r="V70" s="19">
        <v>41.4</v>
      </c>
      <c r="W70" s="19">
        <v>45</v>
      </c>
      <c r="X70" t="s">
        <v>73</v>
      </c>
      <c r="Y70" s="20">
        <v>0.04</v>
      </c>
      <c r="Z70" s="19">
        <v>1.44</v>
      </c>
      <c r="AA70" s="19">
        <v>43.56</v>
      </c>
      <c r="AB70" s="19">
        <v>1.44</v>
      </c>
      <c r="AC70" t="s">
        <v>73</v>
      </c>
      <c r="AD70" s="19">
        <v>1.17</v>
      </c>
      <c r="AE70" s="19">
        <v>0.27</v>
      </c>
      <c r="AF70" s="19">
        <v>1.44</v>
      </c>
      <c r="AG70" s="19">
        <v>20</v>
      </c>
      <c r="AH70" s="19">
        <v>21.4</v>
      </c>
      <c r="AI70" s="19">
        <v>1.44</v>
      </c>
      <c r="AJ70" t="s">
        <v>73</v>
      </c>
      <c r="AK70" s="19">
        <v>33</v>
      </c>
      <c r="AL70" s="19">
        <v>43.56</v>
      </c>
      <c r="AM70" t="b">
        <f t="shared" si="6"/>
        <v>1</v>
      </c>
      <c r="AN70" s="21">
        <f t="shared" si="7"/>
        <v>0</v>
      </c>
      <c r="AO70" s="19">
        <f t="shared" si="8"/>
        <v>0</v>
      </c>
      <c r="AP70" s="22">
        <v>15</v>
      </c>
      <c r="AQ70" s="18">
        <f t="shared" si="9"/>
        <v>9</v>
      </c>
      <c r="AR70" s="18">
        <f t="shared" si="10"/>
        <v>6</v>
      </c>
      <c r="AS70" s="23">
        <f t="shared" si="11"/>
        <v>0</v>
      </c>
      <c r="AT70" s="24">
        <v>46274.355555555558</v>
      </c>
      <c r="AU70" s="16" t="s">
        <v>120</v>
      </c>
      <c r="AV70" s="16">
        <v>291356092</v>
      </c>
      <c r="AW70" s="16">
        <v>738188990</v>
      </c>
      <c r="AX70" s="16" t="s">
        <v>397</v>
      </c>
      <c r="AY70" s="16">
        <v>45</v>
      </c>
      <c r="AZ70" s="16">
        <v>36</v>
      </c>
      <c r="BA70" s="16">
        <v>4</v>
      </c>
      <c r="BB70" s="16">
        <v>1.44</v>
      </c>
      <c r="BC70" s="16">
        <v>15</v>
      </c>
      <c r="BD70" s="16">
        <v>6</v>
      </c>
      <c r="BE70" s="16">
        <v>8</v>
      </c>
      <c r="BF70" s="16" t="s">
        <v>69</v>
      </c>
      <c r="BG70" s="16" t="s">
        <v>398</v>
      </c>
      <c r="BH70" s="16">
        <v>6</v>
      </c>
      <c r="BI70" s="16">
        <v>0</v>
      </c>
      <c r="BJ70" s="16">
        <v>49.56</v>
      </c>
      <c r="BK70" s="16">
        <v>1.44</v>
      </c>
      <c r="BL70" s="16">
        <v>15</v>
      </c>
    </row>
    <row r="71" spans="1:64" x14ac:dyDescent="0.25">
      <c r="A71" s="24">
        <v>46274</v>
      </c>
      <c r="B71" s="16" t="s">
        <v>399</v>
      </c>
      <c r="C71" s="25">
        <v>56764</v>
      </c>
      <c r="F71" s="25">
        <v>19190</v>
      </c>
      <c r="G71" s="25">
        <v>291359758</v>
      </c>
      <c r="H71" s="16" t="s">
        <v>64</v>
      </c>
      <c r="I71" s="16" t="s">
        <v>65</v>
      </c>
      <c r="J71" s="16" t="s">
        <v>66</v>
      </c>
      <c r="K71" s="17">
        <v>20</v>
      </c>
      <c r="L71" t="s">
        <v>118</v>
      </c>
      <c r="M71" t="s">
        <v>400</v>
      </c>
      <c r="N71" t="s">
        <v>69</v>
      </c>
      <c r="O71" s="16" t="s">
        <v>70</v>
      </c>
      <c r="P71" t="s">
        <v>71</v>
      </c>
      <c r="Q71" s="19">
        <v>49.5</v>
      </c>
      <c r="R71" t="s">
        <v>72</v>
      </c>
      <c r="S71" s="19">
        <v>4.95</v>
      </c>
      <c r="T71" s="19">
        <v>9</v>
      </c>
      <c r="U71" s="19">
        <v>8.42</v>
      </c>
      <c r="V71" s="19">
        <v>53.55</v>
      </c>
      <c r="W71" s="19">
        <v>58.5</v>
      </c>
      <c r="X71" t="s">
        <v>73</v>
      </c>
      <c r="Y71" s="20">
        <v>0.04</v>
      </c>
      <c r="Z71" s="19">
        <v>1.98</v>
      </c>
      <c r="AA71" s="19">
        <v>56.52</v>
      </c>
      <c r="AB71" s="19">
        <v>1.98</v>
      </c>
      <c r="AC71" t="s">
        <v>73</v>
      </c>
      <c r="AD71" s="19">
        <v>1.64</v>
      </c>
      <c r="AE71" s="19">
        <v>0.34</v>
      </c>
      <c r="AF71" s="19">
        <v>1.98</v>
      </c>
      <c r="AG71" s="19">
        <v>29.25</v>
      </c>
      <c r="AH71" s="19">
        <v>24.3</v>
      </c>
      <c r="AI71" s="19">
        <v>1.98</v>
      </c>
      <c r="AJ71" t="s">
        <v>73</v>
      </c>
      <c r="AK71" s="19">
        <v>0</v>
      </c>
      <c r="AL71" s="19">
        <v>56.52</v>
      </c>
      <c r="AM71" t="b">
        <f t="shared" si="6"/>
        <v>1</v>
      </c>
      <c r="AN71" s="21">
        <f t="shared" si="7"/>
        <v>0</v>
      </c>
      <c r="AO71" s="19">
        <f t="shared" si="8"/>
        <v>0</v>
      </c>
      <c r="AP71" s="22">
        <v>15</v>
      </c>
      <c r="AQ71" s="18">
        <f t="shared" si="9"/>
        <v>9</v>
      </c>
      <c r="AR71" s="18">
        <f t="shared" si="10"/>
        <v>6</v>
      </c>
      <c r="AS71" s="23">
        <f t="shared" si="11"/>
        <v>0</v>
      </c>
      <c r="AT71" s="24">
        <v>46274.402083333334</v>
      </c>
      <c r="AU71" s="16" t="s">
        <v>120</v>
      </c>
      <c r="AV71" s="16">
        <v>291359758</v>
      </c>
      <c r="AW71" s="16">
        <v>738200995</v>
      </c>
      <c r="AX71" s="16" t="s">
        <v>401</v>
      </c>
      <c r="AY71" s="16">
        <v>58.5</v>
      </c>
      <c r="AZ71" s="16">
        <v>49.5</v>
      </c>
      <c r="BA71" s="16">
        <v>4</v>
      </c>
      <c r="BB71" s="16">
        <v>1.98</v>
      </c>
      <c r="BC71" s="16">
        <v>15</v>
      </c>
      <c r="BD71" s="16">
        <v>6</v>
      </c>
      <c r="BE71" s="16">
        <v>8</v>
      </c>
      <c r="BF71" s="16" t="s">
        <v>69</v>
      </c>
      <c r="BG71" s="16" t="s">
        <v>402</v>
      </c>
      <c r="BH71" s="16">
        <v>6</v>
      </c>
      <c r="BI71" s="16">
        <v>0</v>
      </c>
      <c r="BJ71" s="16">
        <v>62.52</v>
      </c>
      <c r="BK71" s="16">
        <v>1.98</v>
      </c>
      <c r="BL71" s="16">
        <v>15</v>
      </c>
    </row>
    <row r="72" spans="1:64" x14ac:dyDescent="0.25">
      <c r="A72" s="24">
        <v>46274</v>
      </c>
      <c r="B72" s="16" t="s">
        <v>403</v>
      </c>
      <c r="C72" s="25">
        <v>73309</v>
      </c>
      <c r="F72" s="25">
        <v>19191</v>
      </c>
      <c r="G72" s="25">
        <v>291365757</v>
      </c>
      <c r="H72" s="16" t="s">
        <v>64</v>
      </c>
      <c r="I72" s="16" t="s">
        <v>65</v>
      </c>
      <c r="J72" s="16" t="s">
        <v>66</v>
      </c>
      <c r="K72" s="17">
        <v>23</v>
      </c>
      <c r="L72" t="s">
        <v>157</v>
      </c>
      <c r="M72" t="s">
        <v>404</v>
      </c>
      <c r="N72" t="s">
        <v>69</v>
      </c>
      <c r="O72" s="16" t="s">
        <v>70</v>
      </c>
      <c r="P72" t="s">
        <v>79</v>
      </c>
      <c r="Q72" s="19">
        <v>37</v>
      </c>
      <c r="R72" t="s">
        <v>72</v>
      </c>
      <c r="S72" s="19">
        <v>3.7</v>
      </c>
      <c r="T72" s="19">
        <v>8</v>
      </c>
      <c r="U72" s="19">
        <v>6.79</v>
      </c>
      <c r="V72" s="19">
        <v>41.3</v>
      </c>
      <c r="W72" s="19">
        <v>45</v>
      </c>
      <c r="X72" t="s">
        <v>73</v>
      </c>
      <c r="Y72" s="20">
        <v>0.05</v>
      </c>
      <c r="Z72" s="19">
        <v>1.85</v>
      </c>
      <c r="AA72" s="19">
        <v>43.15</v>
      </c>
      <c r="AB72" s="19">
        <v>1.85</v>
      </c>
      <c r="AC72" t="s">
        <v>73</v>
      </c>
      <c r="AD72" s="19">
        <v>1.51</v>
      </c>
      <c r="AE72" s="19">
        <v>0.34</v>
      </c>
      <c r="AF72" s="19">
        <v>1.85</v>
      </c>
      <c r="AG72" s="19">
        <v>0</v>
      </c>
      <c r="AH72" s="19">
        <v>41.3</v>
      </c>
      <c r="AI72" s="19">
        <v>1.85</v>
      </c>
      <c r="AJ72" t="s">
        <v>73</v>
      </c>
      <c r="AK72" s="19">
        <v>0</v>
      </c>
      <c r="AL72" s="19">
        <v>43.15</v>
      </c>
      <c r="AM72" t="b">
        <f t="shared" si="6"/>
        <v>1</v>
      </c>
      <c r="AN72" s="21">
        <f t="shared" si="7"/>
        <v>0</v>
      </c>
      <c r="AO72" s="19">
        <f t="shared" si="8"/>
        <v>0</v>
      </c>
      <c r="AP72" s="22">
        <v>15</v>
      </c>
      <c r="AQ72" s="18">
        <f t="shared" si="9"/>
        <v>8</v>
      </c>
      <c r="AR72" s="18">
        <f t="shared" si="10"/>
        <v>3.5</v>
      </c>
      <c r="AS72" s="23">
        <f t="shared" si="11"/>
        <v>3.5</v>
      </c>
      <c r="AT72" s="24">
        <v>46274.454861111109</v>
      </c>
      <c r="AU72" s="16" t="s">
        <v>159</v>
      </c>
      <c r="AV72" s="16">
        <v>291365757</v>
      </c>
      <c r="AW72" s="16">
        <v>738218925</v>
      </c>
      <c r="AX72" s="16" t="s">
        <v>405</v>
      </c>
      <c r="AY72" s="16">
        <v>45</v>
      </c>
      <c r="AZ72" s="16">
        <v>37</v>
      </c>
      <c r="BA72" s="16">
        <v>5</v>
      </c>
      <c r="BB72" s="16">
        <v>1.85</v>
      </c>
      <c r="BC72" s="16">
        <v>15</v>
      </c>
      <c r="BD72" s="16">
        <v>3.5</v>
      </c>
      <c r="BE72" s="16">
        <v>7</v>
      </c>
      <c r="BF72" s="16" t="s">
        <v>69</v>
      </c>
      <c r="BG72" s="16" t="s">
        <v>406</v>
      </c>
      <c r="BH72" s="16">
        <v>7</v>
      </c>
      <c r="BI72" s="16">
        <v>3.5</v>
      </c>
      <c r="BJ72" s="16">
        <v>46.65</v>
      </c>
      <c r="BK72" s="16">
        <v>1.85</v>
      </c>
      <c r="BL72" s="16">
        <v>11.5</v>
      </c>
    </row>
    <row r="73" spans="1:64" x14ac:dyDescent="0.25">
      <c r="A73" s="24">
        <v>46274</v>
      </c>
      <c r="B73" s="16" t="s">
        <v>407</v>
      </c>
      <c r="C73" s="25">
        <v>74622</v>
      </c>
      <c r="F73" s="25">
        <v>19192</v>
      </c>
      <c r="G73" s="25">
        <v>291370488</v>
      </c>
      <c r="H73" s="16" t="s">
        <v>64</v>
      </c>
      <c r="I73" s="16" t="s">
        <v>65</v>
      </c>
      <c r="J73" s="16" t="s">
        <v>66</v>
      </c>
      <c r="K73" s="17">
        <v>20</v>
      </c>
      <c r="L73" t="s">
        <v>118</v>
      </c>
      <c r="M73" t="s">
        <v>408</v>
      </c>
      <c r="N73" t="s">
        <v>69</v>
      </c>
      <c r="O73" s="16" t="s">
        <v>70</v>
      </c>
      <c r="P73" t="s">
        <v>169</v>
      </c>
      <c r="Q73" s="19">
        <v>70.5</v>
      </c>
      <c r="R73" t="s">
        <v>72</v>
      </c>
      <c r="S73" s="19">
        <v>7.05</v>
      </c>
      <c r="T73" s="19">
        <v>9</v>
      </c>
      <c r="U73" s="19">
        <v>11.16</v>
      </c>
      <c r="V73" s="19">
        <v>72.45</v>
      </c>
      <c r="W73" s="19">
        <v>79.5</v>
      </c>
      <c r="X73" t="s">
        <v>73</v>
      </c>
      <c r="Y73" s="20">
        <v>0.04</v>
      </c>
      <c r="Z73" s="19">
        <v>2.82</v>
      </c>
      <c r="AA73" s="19">
        <v>76.680000000000007</v>
      </c>
      <c r="AB73" s="19">
        <v>2.82</v>
      </c>
      <c r="AC73" t="s">
        <v>73</v>
      </c>
      <c r="AD73" s="19">
        <v>2.37</v>
      </c>
      <c r="AE73" s="19">
        <v>0.45</v>
      </c>
      <c r="AF73" s="19">
        <v>2.82</v>
      </c>
      <c r="AG73" s="19">
        <v>5</v>
      </c>
      <c r="AH73" s="19">
        <v>67.45</v>
      </c>
      <c r="AI73" s="19">
        <v>2.82</v>
      </c>
      <c r="AJ73" t="s">
        <v>73</v>
      </c>
      <c r="AK73" s="19">
        <v>0</v>
      </c>
      <c r="AL73" s="19">
        <v>76.680000000000007</v>
      </c>
      <c r="AM73" t="b">
        <f t="shared" si="6"/>
        <v>1</v>
      </c>
      <c r="AN73" s="21">
        <f t="shared" si="7"/>
        <v>0</v>
      </c>
      <c r="AO73" s="19">
        <f t="shared" si="8"/>
        <v>0</v>
      </c>
      <c r="AP73" s="22">
        <v>15</v>
      </c>
      <c r="AQ73" s="18">
        <f t="shared" si="9"/>
        <v>9</v>
      </c>
      <c r="AR73" s="18">
        <f t="shared" si="10"/>
        <v>6</v>
      </c>
      <c r="AS73" s="23">
        <f t="shared" si="11"/>
        <v>0</v>
      </c>
      <c r="AT73" s="24">
        <v>46274.490277777775</v>
      </c>
      <c r="AU73" s="16" t="s">
        <v>120</v>
      </c>
      <c r="AV73" s="16">
        <v>291370488</v>
      </c>
      <c r="AW73" s="16">
        <v>734937289</v>
      </c>
      <c r="AX73" s="16" t="s">
        <v>110</v>
      </c>
      <c r="AY73" s="16">
        <v>79.5</v>
      </c>
      <c r="AZ73" s="16">
        <v>70.5</v>
      </c>
      <c r="BA73" s="16">
        <v>4</v>
      </c>
      <c r="BB73" s="16">
        <v>2.82</v>
      </c>
      <c r="BC73" s="16">
        <v>15</v>
      </c>
      <c r="BD73" s="16">
        <v>6</v>
      </c>
      <c r="BE73" s="16">
        <v>8</v>
      </c>
      <c r="BF73" s="16" t="s">
        <v>69</v>
      </c>
      <c r="BG73" s="16" t="s">
        <v>409</v>
      </c>
      <c r="BH73" s="16">
        <v>6</v>
      </c>
      <c r="BI73" s="16">
        <v>0</v>
      </c>
      <c r="BJ73" s="16">
        <v>82.68</v>
      </c>
      <c r="BK73" s="16">
        <v>2.82</v>
      </c>
      <c r="BL73" s="16">
        <v>15</v>
      </c>
    </row>
    <row r="74" spans="1:64" x14ac:dyDescent="0.25">
      <c r="A74" s="24">
        <v>46274</v>
      </c>
      <c r="B74" s="16" t="s">
        <v>410</v>
      </c>
      <c r="C74" s="25">
        <v>29170</v>
      </c>
      <c r="F74" s="25">
        <v>19193</v>
      </c>
      <c r="G74" s="25">
        <v>291372931</v>
      </c>
      <c r="H74" s="16" t="s">
        <v>64</v>
      </c>
      <c r="I74" s="16" t="s">
        <v>65</v>
      </c>
      <c r="J74" s="16" t="s">
        <v>66</v>
      </c>
      <c r="K74" s="17">
        <v>16073</v>
      </c>
      <c r="L74" t="s">
        <v>411</v>
      </c>
      <c r="M74" t="s">
        <v>412</v>
      </c>
      <c r="N74" t="s">
        <v>69</v>
      </c>
      <c r="O74" s="16" t="s">
        <v>70</v>
      </c>
      <c r="P74" t="s">
        <v>175</v>
      </c>
      <c r="Q74" s="19">
        <v>46</v>
      </c>
      <c r="R74" t="s">
        <v>73</v>
      </c>
      <c r="S74" s="19">
        <v>0</v>
      </c>
      <c r="T74" s="19">
        <v>0</v>
      </c>
      <c r="U74" s="19">
        <v>7.96</v>
      </c>
      <c r="V74" s="19">
        <v>46</v>
      </c>
      <c r="W74" s="19">
        <v>46</v>
      </c>
      <c r="X74" t="s">
        <v>73</v>
      </c>
      <c r="Y74" s="20">
        <v>0.05</v>
      </c>
      <c r="Z74" s="19">
        <v>2.2999999999999998</v>
      </c>
      <c r="AA74" s="19">
        <v>43.7</v>
      </c>
      <c r="AB74" s="19">
        <v>2.2999999999999998</v>
      </c>
      <c r="AC74" t="s">
        <v>73</v>
      </c>
      <c r="AD74" s="19">
        <v>1.9</v>
      </c>
      <c r="AE74" s="19">
        <v>0.4</v>
      </c>
      <c r="AF74" s="19">
        <v>2.2999999999999998</v>
      </c>
      <c r="AG74" s="19">
        <v>1.05</v>
      </c>
      <c r="AH74" s="19">
        <v>44.95</v>
      </c>
      <c r="AI74" s="19">
        <v>2.2999999999999998</v>
      </c>
      <c r="AJ74" t="s">
        <v>73</v>
      </c>
      <c r="AK74" s="19">
        <v>0</v>
      </c>
      <c r="AL74" s="19">
        <v>43.7</v>
      </c>
      <c r="AM74" t="b">
        <f t="shared" si="6"/>
        <v>1</v>
      </c>
      <c r="AN74" s="21">
        <f t="shared" si="7"/>
        <v>0</v>
      </c>
      <c r="AO74" s="19">
        <f t="shared" si="8"/>
        <v>0</v>
      </c>
      <c r="AP74" s="22">
        <v>15</v>
      </c>
      <c r="AQ74" s="18">
        <f t="shared" si="9"/>
        <v>0</v>
      </c>
      <c r="AR74" s="18">
        <f t="shared" si="10"/>
        <v>4.9499999999999993</v>
      </c>
      <c r="AS74" s="23">
        <f t="shared" si="11"/>
        <v>10.050000000000001</v>
      </c>
      <c r="AT74" s="24">
        <v>46274.506249999999</v>
      </c>
      <c r="AU74" s="16" t="s">
        <v>413</v>
      </c>
      <c r="AV74" s="16">
        <v>291372931</v>
      </c>
      <c r="AW74" s="16">
        <v>738243877</v>
      </c>
      <c r="AX74" s="16" t="s">
        <v>226</v>
      </c>
      <c r="AY74" s="16">
        <v>46</v>
      </c>
      <c r="AZ74" s="16">
        <v>46</v>
      </c>
      <c r="BA74" s="16">
        <v>5</v>
      </c>
      <c r="BB74" s="16">
        <v>2.2999999999999998</v>
      </c>
      <c r="BC74" s="16">
        <v>15</v>
      </c>
      <c r="BD74" s="16">
        <v>4.95</v>
      </c>
      <c r="BE74" s="16">
        <v>0</v>
      </c>
      <c r="BF74" s="16" t="s">
        <v>69</v>
      </c>
      <c r="BG74" s="16" t="s">
        <v>414</v>
      </c>
      <c r="BH74" s="16">
        <v>15</v>
      </c>
      <c r="BI74" s="16">
        <v>10.050000000000001</v>
      </c>
      <c r="BJ74" s="16">
        <v>48.650000000000006</v>
      </c>
      <c r="BK74" s="16">
        <v>2.2999999999999998</v>
      </c>
      <c r="BL74" s="16">
        <v>4.9499999999999993</v>
      </c>
    </row>
    <row r="75" spans="1:64" x14ac:dyDescent="0.25">
      <c r="A75" s="24">
        <v>46274</v>
      </c>
      <c r="B75" s="16" t="s">
        <v>415</v>
      </c>
      <c r="C75" s="25">
        <v>45521</v>
      </c>
      <c r="F75" s="25">
        <v>19194</v>
      </c>
      <c r="G75" s="25">
        <v>291384904</v>
      </c>
      <c r="H75" s="16" t="s">
        <v>64</v>
      </c>
      <c r="I75" s="16" t="s">
        <v>65</v>
      </c>
      <c r="J75" s="16" t="s">
        <v>66</v>
      </c>
      <c r="K75" s="17">
        <v>11562</v>
      </c>
      <c r="L75" t="s">
        <v>416</v>
      </c>
      <c r="M75" t="s">
        <v>417</v>
      </c>
      <c r="N75" t="s">
        <v>69</v>
      </c>
      <c r="O75" s="16" t="s">
        <v>70</v>
      </c>
      <c r="P75" t="s">
        <v>175</v>
      </c>
      <c r="Q75" s="19">
        <v>44</v>
      </c>
      <c r="R75" t="s">
        <v>72</v>
      </c>
      <c r="S75" s="19">
        <v>4.4000000000000004</v>
      </c>
      <c r="T75" s="19">
        <v>13</v>
      </c>
      <c r="U75" s="19">
        <v>9.39</v>
      </c>
      <c r="V75" s="19">
        <v>52.6</v>
      </c>
      <c r="W75" s="19">
        <v>57</v>
      </c>
      <c r="X75" t="s">
        <v>73</v>
      </c>
      <c r="Y75" s="20">
        <v>0.05</v>
      </c>
      <c r="Z75" s="19">
        <v>2.2000000000000002</v>
      </c>
      <c r="AA75" s="19">
        <v>54.8</v>
      </c>
      <c r="AB75" s="19">
        <v>2.2000000000000002</v>
      </c>
      <c r="AC75" t="s">
        <v>73</v>
      </c>
      <c r="AD75" s="19">
        <v>1.73</v>
      </c>
      <c r="AE75" s="19">
        <v>0.47</v>
      </c>
      <c r="AF75" s="19">
        <v>2.2000000000000002</v>
      </c>
      <c r="AG75" s="19">
        <v>0.35</v>
      </c>
      <c r="AH75" s="19">
        <v>52.25</v>
      </c>
      <c r="AI75" s="19">
        <v>2.2000000000000002</v>
      </c>
      <c r="AJ75" t="s">
        <v>73</v>
      </c>
      <c r="AK75" s="19">
        <v>20</v>
      </c>
      <c r="AL75" s="19">
        <v>54.8</v>
      </c>
      <c r="AM75" t="b">
        <f t="shared" si="6"/>
        <v>1</v>
      </c>
      <c r="AN75" s="21">
        <f t="shared" si="7"/>
        <v>0</v>
      </c>
      <c r="AO75" s="19">
        <f t="shared" si="8"/>
        <v>0</v>
      </c>
      <c r="AP75" s="22">
        <v>28</v>
      </c>
      <c r="AQ75" s="18">
        <f t="shared" si="9"/>
        <v>13</v>
      </c>
      <c r="AR75" s="18">
        <f t="shared" si="10"/>
        <v>6.9</v>
      </c>
      <c r="AS75" s="23">
        <f t="shared" si="11"/>
        <v>8.1</v>
      </c>
      <c r="AT75" s="24">
        <v>46274.609722222223</v>
      </c>
      <c r="AU75" s="16" t="s">
        <v>418</v>
      </c>
      <c r="AV75" s="16">
        <v>291384904</v>
      </c>
      <c r="AW75" s="16">
        <v>738273865</v>
      </c>
      <c r="AX75" s="16" t="s">
        <v>248</v>
      </c>
      <c r="AY75" s="16">
        <v>57</v>
      </c>
      <c r="AZ75" s="16">
        <v>44</v>
      </c>
      <c r="BA75" s="16">
        <v>5</v>
      </c>
      <c r="BB75" s="16">
        <v>2.2000000000000002</v>
      </c>
      <c r="BC75" s="16">
        <v>28</v>
      </c>
      <c r="BD75" s="16">
        <v>6.9</v>
      </c>
      <c r="BE75" s="16">
        <v>12</v>
      </c>
      <c r="BF75" s="16" t="s">
        <v>69</v>
      </c>
      <c r="BG75" s="16" t="s">
        <v>419</v>
      </c>
      <c r="BH75" s="16">
        <v>15</v>
      </c>
      <c r="BI75" s="16">
        <v>8.1</v>
      </c>
      <c r="BJ75" s="16">
        <v>61.699999999999996</v>
      </c>
      <c r="BK75" s="16">
        <v>2.2000000000000002</v>
      </c>
      <c r="BL75" s="16">
        <v>19.899999999999999</v>
      </c>
    </row>
    <row r="76" spans="1:64" x14ac:dyDescent="0.25">
      <c r="A76" s="24">
        <v>46274</v>
      </c>
      <c r="B76" s="16" t="s">
        <v>420</v>
      </c>
      <c r="C76" s="25">
        <v>29878</v>
      </c>
      <c r="F76" s="25">
        <v>19195</v>
      </c>
      <c r="G76" s="25">
        <v>291397514</v>
      </c>
      <c r="H76" s="16" t="s">
        <v>64</v>
      </c>
      <c r="I76" s="16" t="s">
        <v>65</v>
      </c>
      <c r="J76" s="16" t="s">
        <v>66</v>
      </c>
      <c r="K76" s="17">
        <v>86</v>
      </c>
      <c r="L76" t="s">
        <v>421</v>
      </c>
      <c r="M76" t="s">
        <v>422</v>
      </c>
      <c r="N76" t="s">
        <v>69</v>
      </c>
      <c r="O76" s="16" t="s">
        <v>70</v>
      </c>
      <c r="P76" t="s">
        <v>71</v>
      </c>
      <c r="Q76" s="19">
        <v>43</v>
      </c>
      <c r="R76" t="s">
        <v>72</v>
      </c>
      <c r="S76" s="19">
        <v>4.3</v>
      </c>
      <c r="T76" s="19">
        <v>0</v>
      </c>
      <c r="U76" s="19">
        <v>7.57</v>
      </c>
      <c r="V76" s="19">
        <v>38.700000000000003</v>
      </c>
      <c r="W76" s="19">
        <v>43</v>
      </c>
      <c r="X76" t="s">
        <v>73</v>
      </c>
      <c r="Y76" s="20">
        <v>0.05</v>
      </c>
      <c r="Z76" s="19">
        <v>2.15</v>
      </c>
      <c r="AA76" s="19">
        <v>40.85</v>
      </c>
      <c r="AB76" s="19">
        <v>2.15</v>
      </c>
      <c r="AC76" t="s">
        <v>73</v>
      </c>
      <c r="AD76" s="19">
        <v>1.77</v>
      </c>
      <c r="AE76" s="19">
        <v>0.38</v>
      </c>
      <c r="AF76" s="19">
        <v>2.15</v>
      </c>
      <c r="AG76" s="19">
        <v>2</v>
      </c>
      <c r="AH76" s="19">
        <v>36.700000000000003</v>
      </c>
      <c r="AI76" s="19">
        <v>2.15</v>
      </c>
      <c r="AJ76" t="s">
        <v>73</v>
      </c>
      <c r="AK76" s="19">
        <v>0</v>
      </c>
      <c r="AL76" s="19">
        <v>40.85</v>
      </c>
      <c r="AM76" t="b">
        <f t="shared" si="6"/>
        <v>1</v>
      </c>
      <c r="AN76" s="21">
        <f t="shared" si="7"/>
        <v>0</v>
      </c>
      <c r="AO76" s="19">
        <f t="shared" si="8"/>
        <v>0</v>
      </c>
      <c r="AP76" s="22">
        <v>15</v>
      </c>
      <c r="AQ76" s="18">
        <f t="shared" si="9"/>
        <v>0</v>
      </c>
      <c r="AR76" s="18">
        <f t="shared" si="10"/>
        <v>5</v>
      </c>
      <c r="AS76" s="23">
        <f t="shared" si="11"/>
        <v>10</v>
      </c>
      <c r="AT76" s="24">
        <v>46274.634722222225</v>
      </c>
      <c r="AU76" s="16" t="s">
        <v>423</v>
      </c>
      <c r="AV76" s="16">
        <v>291397514</v>
      </c>
      <c r="AW76" s="16">
        <v>738301027</v>
      </c>
      <c r="AX76" s="16" t="s">
        <v>424</v>
      </c>
      <c r="AY76" s="16">
        <v>43</v>
      </c>
      <c r="AZ76" s="16">
        <v>43</v>
      </c>
      <c r="BA76" s="16">
        <v>5</v>
      </c>
      <c r="BB76" s="16">
        <v>2.15</v>
      </c>
      <c r="BC76" s="16">
        <v>15</v>
      </c>
      <c r="BD76" s="16">
        <v>5</v>
      </c>
      <c r="BE76" s="16">
        <v>0</v>
      </c>
      <c r="BF76" s="16" t="s">
        <v>69</v>
      </c>
      <c r="BG76" s="16" t="s">
        <v>425</v>
      </c>
      <c r="BH76" s="16">
        <v>15</v>
      </c>
      <c r="BI76" s="16">
        <v>10</v>
      </c>
      <c r="BJ76" s="16">
        <v>45.85</v>
      </c>
      <c r="BK76" s="16">
        <v>2.15</v>
      </c>
      <c r="BL76" s="16">
        <v>5</v>
      </c>
    </row>
    <row r="77" spans="1:64" x14ac:dyDescent="0.25">
      <c r="A77" s="24">
        <v>46274</v>
      </c>
      <c r="B77" s="16" t="s">
        <v>426</v>
      </c>
      <c r="C77" s="25">
        <v>22</v>
      </c>
      <c r="D77" s="17" t="s">
        <v>427</v>
      </c>
      <c r="F77" s="25">
        <v>19196</v>
      </c>
      <c r="G77" s="25">
        <v>291410010</v>
      </c>
      <c r="H77" s="16" t="s">
        <v>64</v>
      </c>
      <c r="I77" s="16" t="s">
        <v>65</v>
      </c>
      <c r="J77" s="16" t="s">
        <v>66</v>
      </c>
      <c r="K77" s="17">
        <v>16106</v>
      </c>
      <c r="L77" t="s">
        <v>428</v>
      </c>
      <c r="M77" t="s">
        <v>73</v>
      </c>
      <c r="N77" t="s">
        <v>69</v>
      </c>
      <c r="O77" s="16" t="s">
        <v>70</v>
      </c>
      <c r="P77" t="s">
        <v>92</v>
      </c>
      <c r="Q77" s="19">
        <v>89</v>
      </c>
      <c r="R77" t="s">
        <v>73</v>
      </c>
      <c r="S77" s="19">
        <v>0</v>
      </c>
      <c r="T77" s="19">
        <v>15</v>
      </c>
      <c r="U77" s="19">
        <v>13.57</v>
      </c>
      <c r="V77" s="19">
        <v>104</v>
      </c>
      <c r="W77" s="19">
        <v>104</v>
      </c>
      <c r="X77" t="s">
        <v>73</v>
      </c>
      <c r="Y77" s="20">
        <v>0.05</v>
      </c>
      <c r="Z77" s="19">
        <v>4.45</v>
      </c>
      <c r="AA77" s="19">
        <v>99.55</v>
      </c>
      <c r="AB77" s="19">
        <v>4.45</v>
      </c>
      <c r="AC77" t="s">
        <v>73</v>
      </c>
      <c r="AD77" s="19">
        <v>3.77</v>
      </c>
      <c r="AE77" s="19">
        <v>0.68</v>
      </c>
      <c r="AF77" s="19">
        <v>4.45</v>
      </c>
      <c r="AG77" s="19">
        <v>104</v>
      </c>
      <c r="AH77" s="19">
        <v>0</v>
      </c>
      <c r="AI77" s="19">
        <v>4.45</v>
      </c>
      <c r="AJ77" t="s">
        <v>73</v>
      </c>
      <c r="AK77" s="19">
        <v>0</v>
      </c>
      <c r="AL77" s="19">
        <v>99.55</v>
      </c>
      <c r="AM77" t="b">
        <f t="shared" si="6"/>
        <v>1</v>
      </c>
      <c r="AN77" s="21">
        <f t="shared" si="7"/>
        <v>0</v>
      </c>
      <c r="AO77" s="19">
        <f t="shared" si="8"/>
        <v>0</v>
      </c>
      <c r="AP77" s="22">
        <v>15</v>
      </c>
      <c r="AQ77" s="18">
        <f t="shared" si="9"/>
        <v>15</v>
      </c>
      <c r="AR77" s="18">
        <f t="shared" si="10"/>
        <v>0</v>
      </c>
      <c r="AS77" s="23">
        <f t="shared" si="11"/>
        <v>0</v>
      </c>
      <c r="AT77" s="24">
        <v>46274.684027777781</v>
      </c>
      <c r="AU77" s="16" t="s">
        <v>428</v>
      </c>
      <c r="AV77" s="16">
        <v>291410010</v>
      </c>
      <c r="AW77" s="16">
        <v>738342016</v>
      </c>
      <c r="AX77" s="16" t="s">
        <v>110</v>
      </c>
      <c r="AY77" s="16">
        <v>104</v>
      </c>
      <c r="AZ77" s="16">
        <v>89</v>
      </c>
      <c r="BA77" s="16">
        <v>5</v>
      </c>
      <c r="BB77" s="16">
        <v>4.45</v>
      </c>
      <c r="BC77" s="16">
        <v>15</v>
      </c>
      <c r="BD77" s="16">
        <v>0</v>
      </c>
      <c r="BE77" s="16">
        <v>14</v>
      </c>
      <c r="BF77" s="16" t="s">
        <v>69</v>
      </c>
      <c r="BG77" s="16" t="s">
        <v>429</v>
      </c>
      <c r="BH77" s="16">
        <v>0</v>
      </c>
      <c r="BI77" s="16">
        <v>0</v>
      </c>
      <c r="BJ77" s="16">
        <v>99.55</v>
      </c>
      <c r="BK77" s="16">
        <v>4.45</v>
      </c>
      <c r="BL77" s="16">
        <v>15</v>
      </c>
    </row>
    <row r="78" spans="1:64" x14ac:dyDescent="0.25">
      <c r="A78" s="24">
        <v>46274</v>
      </c>
      <c r="B78" s="16" t="s">
        <v>430</v>
      </c>
      <c r="C78" s="25">
        <v>70924</v>
      </c>
      <c r="F78" s="25">
        <v>19203</v>
      </c>
      <c r="G78" s="25">
        <v>291442330</v>
      </c>
      <c r="H78" s="16" t="s">
        <v>64</v>
      </c>
      <c r="I78" s="16" t="s">
        <v>65</v>
      </c>
      <c r="J78" s="16" t="s">
        <v>66</v>
      </c>
      <c r="K78" s="17">
        <v>53</v>
      </c>
      <c r="L78" t="s">
        <v>431</v>
      </c>
      <c r="M78" t="s">
        <v>432</v>
      </c>
      <c r="N78" t="s">
        <v>69</v>
      </c>
      <c r="O78" s="16" t="s">
        <v>70</v>
      </c>
      <c r="P78" t="s">
        <v>86</v>
      </c>
      <c r="Q78" s="19">
        <v>45</v>
      </c>
      <c r="R78" t="s">
        <v>73</v>
      </c>
      <c r="S78" s="19">
        <v>0</v>
      </c>
      <c r="T78" s="19">
        <v>9</v>
      </c>
      <c r="U78" s="19">
        <v>7.83</v>
      </c>
      <c r="V78" s="19">
        <v>54</v>
      </c>
      <c r="W78" s="19">
        <v>54</v>
      </c>
      <c r="X78" t="s">
        <v>73</v>
      </c>
      <c r="Y78" s="20">
        <v>0.05</v>
      </c>
      <c r="Z78" s="19">
        <v>2.25</v>
      </c>
      <c r="AA78" s="19">
        <v>51.75</v>
      </c>
      <c r="AB78" s="19">
        <v>2.25</v>
      </c>
      <c r="AC78" t="s">
        <v>73</v>
      </c>
      <c r="AD78" s="19">
        <v>1.86</v>
      </c>
      <c r="AE78" s="19">
        <v>0.39</v>
      </c>
      <c r="AF78" s="19">
        <v>2.25</v>
      </c>
      <c r="AG78" s="19">
        <v>0</v>
      </c>
      <c r="AH78" s="19">
        <v>54</v>
      </c>
      <c r="AI78" s="19">
        <v>2.25</v>
      </c>
      <c r="AJ78" t="s">
        <v>73</v>
      </c>
      <c r="AK78" s="19">
        <v>0</v>
      </c>
      <c r="AL78" s="19">
        <v>51.75</v>
      </c>
      <c r="AM78" t="b">
        <f t="shared" si="6"/>
        <v>1</v>
      </c>
      <c r="AN78" s="21">
        <f t="shared" si="7"/>
        <v>0</v>
      </c>
      <c r="AO78" s="19">
        <f t="shared" si="8"/>
        <v>0</v>
      </c>
      <c r="AP78" s="22">
        <v>15</v>
      </c>
      <c r="AQ78" s="18">
        <f t="shared" si="9"/>
        <v>9</v>
      </c>
      <c r="AR78" s="18">
        <f t="shared" si="10"/>
        <v>6</v>
      </c>
      <c r="AS78" s="23">
        <f t="shared" si="11"/>
        <v>0</v>
      </c>
      <c r="AT78" s="24">
        <v>46274.777777777781</v>
      </c>
      <c r="AU78" s="16" t="s">
        <v>433</v>
      </c>
      <c r="AV78" s="16">
        <v>291442330</v>
      </c>
      <c r="AW78" s="16">
        <v>738423137</v>
      </c>
      <c r="AX78" s="16" t="s">
        <v>378</v>
      </c>
      <c r="AY78" s="16">
        <v>54</v>
      </c>
      <c r="AZ78" s="16">
        <v>45</v>
      </c>
      <c r="BA78" s="16">
        <v>5</v>
      </c>
      <c r="BB78" s="16">
        <v>2.25</v>
      </c>
      <c r="BC78" s="16">
        <v>15</v>
      </c>
      <c r="BD78" s="16">
        <v>6</v>
      </c>
      <c r="BE78" s="16">
        <v>8</v>
      </c>
      <c r="BF78" s="16" t="s">
        <v>69</v>
      </c>
      <c r="BG78" s="16" t="s">
        <v>434</v>
      </c>
      <c r="BH78" s="16">
        <v>6</v>
      </c>
      <c r="BI78" s="16">
        <v>0</v>
      </c>
      <c r="BJ78" s="16">
        <v>57.75</v>
      </c>
      <c r="BK78" s="16">
        <v>2.25</v>
      </c>
      <c r="BL78" s="16">
        <v>15</v>
      </c>
    </row>
    <row r="79" spans="1:64" x14ac:dyDescent="0.25">
      <c r="A79" s="24">
        <v>46274</v>
      </c>
      <c r="B79" s="16" t="s">
        <v>435</v>
      </c>
      <c r="C79" s="25">
        <v>79452</v>
      </c>
      <c r="F79" s="25">
        <v>19204</v>
      </c>
      <c r="G79" s="25">
        <v>291473766</v>
      </c>
      <c r="H79" s="16" t="s">
        <v>64</v>
      </c>
      <c r="I79" s="16" t="s">
        <v>65</v>
      </c>
      <c r="J79" s="16" t="s">
        <v>66</v>
      </c>
      <c r="K79" s="17">
        <v>108</v>
      </c>
      <c r="L79" t="s">
        <v>436</v>
      </c>
      <c r="M79" t="s">
        <v>437</v>
      </c>
      <c r="N79" t="s">
        <v>69</v>
      </c>
      <c r="O79" s="16" t="s">
        <v>70</v>
      </c>
      <c r="P79" t="s">
        <v>86</v>
      </c>
      <c r="Q79" s="19">
        <v>57</v>
      </c>
      <c r="R79" t="s">
        <v>72</v>
      </c>
      <c r="S79" s="19">
        <v>5.7</v>
      </c>
      <c r="T79" s="19">
        <v>2</v>
      </c>
      <c r="U79" s="19">
        <v>9.65</v>
      </c>
      <c r="V79" s="19">
        <v>53.3</v>
      </c>
      <c r="W79" s="19">
        <v>59</v>
      </c>
      <c r="X79" t="s">
        <v>73</v>
      </c>
      <c r="Y79" s="20">
        <v>0.05</v>
      </c>
      <c r="Z79" s="19">
        <v>2.85</v>
      </c>
      <c r="AA79" s="19">
        <v>56.15</v>
      </c>
      <c r="AB79" s="19">
        <v>2.85</v>
      </c>
      <c r="AC79" t="s">
        <v>73</v>
      </c>
      <c r="AD79" s="19">
        <v>2.37</v>
      </c>
      <c r="AE79" s="19">
        <v>0.48</v>
      </c>
      <c r="AF79" s="19">
        <v>2.85</v>
      </c>
      <c r="AG79" s="19">
        <v>0</v>
      </c>
      <c r="AH79" s="19">
        <v>53.3</v>
      </c>
      <c r="AI79" s="19">
        <v>2.85</v>
      </c>
      <c r="AJ79" t="s">
        <v>73</v>
      </c>
      <c r="AK79" s="19">
        <v>0</v>
      </c>
      <c r="AL79" s="19">
        <v>56.15</v>
      </c>
      <c r="AM79" t="b">
        <f t="shared" si="6"/>
        <v>1</v>
      </c>
      <c r="AN79" s="21">
        <f t="shared" si="7"/>
        <v>0</v>
      </c>
      <c r="AO79" s="19">
        <f t="shared" si="8"/>
        <v>0</v>
      </c>
      <c r="AP79" s="22">
        <v>17</v>
      </c>
      <c r="AQ79" s="18">
        <f t="shared" si="9"/>
        <v>2</v>
      </c>
      <c r="AR79" s="18">
        <f t="shared" si="10"/>
        <v>9.9</v>
      </c>
      <c r="AS79" s="23">
        <f t="shared" si="11"/>
        <v>5.0999999999999996</v>
      </c>
      <c r="AT79" s="24">
        <v>46274.884722222225</v>
      </c>
      <c r="AU79" s="16" t="s">
        <v>438</v>
      </c>
      <c r="AV79" s="16">
        <v>291473766</v>
      </c>
      <c r="AW79" s="16">
        <v>738504448</v>
      </c>
      <c r="AX79" s="16" t="s">
        <v>110</v>
      </c>
      <c r="AY79" s="16">
        <v>59</v>
      </c>
      <c r="AZ79" s="16">
        <v>57</v>
      </c>
      <c r="BA79" s="16">
        <v>5</v>
      </c>
      <c r="BB79" s="16">
        <v>2.85</v>
      </c>
      <c r="BC79" s="16">
        <v>17</v>
      </c>
      <c r="BD79" s="16">
        <v>9.9</v>
      </c>
      <c r="BE79" s="16">
        <v>1</v>
      </c>
      <c r="BF79" s="16" t="s">
        <v>69</v>
      </c>
      <c r="BG79" s="16" t="s">
        <v>439</v>
      </c>
      <c r="BH79" s="16">
        <v>15</v>
      </c>
      <c r="BI79" s="16">
        <v>5.0999999999999996</v>
      </c>
      <c r="BJ79" s="16">
        <v>66.050000000000011</v>
      </c>
      <c r="BK79" s="16">
        <v>2.85</v>
      </c>
      <c r="BL79" s="16">
        <v>11.9</v>
      </c>
    </row>
    <row r="80" spans="1:64" x14ac:dyDescent="0.25">
      <c r="A80" s="24">
        <v>46274</v>
      </c>
      <c r="B80" s="16" t="s">
        <v>440</v>
      </c>
      <c r="C80" s="25">
        <v>23088</v>
      </c>
      <c r="F80" s="25">
        <v>19205</v>
      </c>
      <c r="G80" s="25">
        <v>291477417</v>
      </c>
      <c r="H80" s="16" t="s">
        <v>64</v>
      </c>
      <c r="I80" s="16" t="s">
        <v>65</v>
      </c>
      <c r="J80" s="16" t="s">
        <v>66</v>
      </c>
      <c r="K80" s="17">
        <v>12741</v>
      </c>
      <c r="L80" t="s">
        <v>441</v>
      </c>
      <c r="M80" t="s">
        <v>442</v>
      </c>
      <c r="N80" t="s">
        <v>69</v>
      </c>
      <c r="O80" s="16" t="s">
        <v>70</v>
      </c>
      <c r="P80" t="s">
        <v>71</v>
      </c>
      <c r="Q80" s="19">
        <v>35</v>
      </c>
      <c r="R80" t="s">
        <v>72</v>
      </c>
      <c r="S80" s="19">
        <v>3.5</v>
      </c>
      <c r="T80" s="19">
        <v>13</v>
      </c>
      <c r="U80" s="19">
        <v>3.65</v>
      </c>
      <c r="V80" s="19">
        <v>44.5</v>
      </c>
      <c r="W80" s="19">
        <v>48</v>
      </c>
      <c r="X80" t="s">
        <v>73</v>
      </c>
      <c r="Y80" s="20">
        <v>0.05</v>
      </c>
      <c r="Z80" s="19">
        <v>1.75</v>
      </c>
      <c r="AA80" s="19">
        <v>46.25</v>
      </c>
      <c r="AB80" s="19">
        <v>1.75</v>
      </c>
      <c r="AC80" t="s">
        <v>73</v>
      </c>
      <c r="AD80" s="19">
        <v>1.57</v>
      </c>
      <c r="AE80" s="19">
        <v>0.18</v>
      </c>
      <c r="AF80" s="19">
        <v>1.75</v>
      </c>
      <c r="AG80" s="19">
        <v>2</v>
      </c>
      <c r="AH80" s="19">
        <v>42.5</v>
      </c>
      <c r="AI80" s="19">
        <v>1.75</v>
      </c>
      <c r="AJ80" t="s">
        <v>73</v>
      </c>
      <c r="AK80" s="19">
        <v>0</v>
      </c>
      <c r="AL80" s="19">
        <v>46.25</v>
      </c>
      <c r="AM80" t="b">
        <f t="shared" si="6"/>
        <v>1</v>
      </c>
      <c r="AN80" s="21">
        <f t="shared" si="7"/>
        <v>0</v>
      </c>
      <c r="AO80" s="19">
        <f t="shared" si="8"/>
        <v>0</v>
      </c>
      <c r="AP80" s="22">
        <v>28</v>
      </c>
      <c r="AQ80" s="18">
        <f t="shared" si="9"/>
        <v>13</v>
      </c>
      <c r="AR80" s="18">
        <f t="shared" si="10"/>
        <v>4.9499999999999993</v>
      </c>
      <c r="AS80" s="23">
        <f t="shared" si="11"/>
        <v>10.050000000000001</v>
      </c>
      <c r="AT80" s="24">
        <v>46274.904166666667</v>
      </c>
      <c r="AU80" s="16" t="s">
        <v>443</v>
      </c>
      <c r="AV80" s="16">
        <v>291477417</v>
      </c>
      <c r="AW80" s="16">
        <v>738342089</v>
      </c>
      <c r="AX80" s="16" t="s">
        <v>444</v>
      </c>
      <c r="AY80" s="16">
        <v>48</v>
      </c>
      <c r="AZ80" s="16">
        <v>35</v>
      </c>
      <c r="BA80" s="16">
        <v>5</v>
      </c>
      <c r="BB80" s="16">
        <v>1.75</v>
      </c>
      <c r="BC80" s="16">
        <v>28</v>
      </c>
      <c r="BD80" s="16">
        <v>4.95</v>
      </c>
      <c r="BE80" s="16">
        <v>12</v>
      </c>
      <c r="BF80" s="16" t="s">
        <v>69</v>
      </c>
      <c r="BG80" s="16" t="s">
        <v>445</v>
      </c>
      <c r="BH80" s="16">
        <v>15</v>
      </c>
      <c r="BI80" s="16">
        <v>10.050000000000001</v>
      </c>
      <c r="BJ80" s="16">
        <v>51.2</v>
      </c>
      <c r="BK80" s="16">
        <v>1.75</v>
      </c>
      <c r="BL80" s="16">
        <v>17.95</v>
      </c>
    </row>
    <row r="81" spans="1:64" x14ac:dyDescent="0.25">
      <c r="A81" s="24">
        <v>46274</v>
      </c>
      <c r="B81" s="16" t="s">
        <v>446</v>
      </c>
      <c r="C81" s="25">
        <v>21288</v>
      </c>
      <c r="D81" s="17" t="s">
        <v>353</v>
      </c>
      <c r="F81" s="25">
        <v>19206</v>
      </c>
      <c r="G81" s="25">
        <v>291478698</v>
      </c>
      <c r="H81" s="16" t="s">
        <v>64</v>
      </c>
      <c r="I81" s="16" t="s">
        <v>65</v>
      </c>
      <c r="J81" s="16" t="s">
        <v>66</v>
      </c>
      <c r="K81" s="17">
        <v>98</v>
      </c>
      <c r="L81" t="s">
        <v>447</v>
      </c>
      <c r="M81" t="s">
        <v>448</v>
      </c>
      <c r="N81" t="s">
        <v>69</v>
      </c>
      <c r="O81" s="16" t="s">
        <v>70</v>
      </c>
      <c r="P81" t="s">
        <v>71</v>
      </c>
      <c r="Q81" s="19">
        <v>35</v>
      </c>
      <c r="R81" t="s">
        <v>73</v>
      </c>
      <c r="S81" s="19">
        <v>0</v>
      </c>
      <c r="T81" s="19">
        <v>2</v>
      </c>
      <c r="U81" s="19">
        <v>6.79</v>
      </c>
      <c r="V81" s="19">
        <v>37</v>
      </c>
      <c r="W81" s="19">
        <v>37</v>
      </c>
      <c r="X81" t="s">
        <v>73</v>
      </c>
      <c r="Y81" s="20">
        <v>0.05</v>
      </c>
      <c r="Z81" s="19">
        <v>1.75</v>
      </c>
      <c r="AA81" s="19">
        <v>35.25</v>
      </c>
      <c r="AB81" s="19">
        <v>1.75</v>
      </c>
      <c r="AC81" t="s">
        <v>73</v>
      </c>
      <c r="AD81" s="19">
        <v>1.41</v>
      </c>
      <c r="AE81" s="19">
        <v>0.34</v>
      </c>
      <c r="AF81" s="19">
        <v>1.75</v>
      </c>
      <c r="AG81" s="19">
        <v>10.37</v>
      </c>
      <c r="AH81" s="19">
        <v>26.63</v>
      </c>
      <c r="AI81" s="19">
        <v>1.75</v>
      </c>
      <c r="AJ81" t="s">
        <v>73</v>
      </c>
      <c r="AK81" s="19">
        <v>37</v>
      </c>
      <c r="AL81" s="19">
        <v>35.25</v>
      </c>
      <c r="AM81" t="b">
        <f t="shared" si="6"/>
        <v>1</v>
      </c>
      <c r="AN81" s="21">
        <f t="shared" si="7"/>
        <v>0</v>
      </c>
      <c r="AO81" s="19">
        <f t="shared" si="8"/>
        <v>0</v>
      </c>
      <c r="AP81" s="22">
        <v>17</v>
      </c>
      <c r="AQ81" s="18">
        <f t="shared" si="9"/>
        <v>2</v>
      </c>
      <c r="AR81" s="18">
        <f t="shared" si="10"/>
        <v>6.9</v>
      </c>
      <c r="AS81" s="23">
        <f t="shared" si="11"/>
        <v>8.1</v>
      </c>
      <c r="AT81" s="24">
        <v>46274.90347222222</v>
      </c>
      <c r="AU81" s="16" t="s">
        <v>449</v>
      </c>
      <c r="AV81" s="16">
        <v>291478698</v>
      </c>
      <c r="AW81" s="16">
        <v>738521156</v>
      </c>
      <c r="AX81" s="16" t="s">
        <v>355</v>
      </c>
      <c r="AY81" s="16">
        <v>37</v>
      </c>
      <c r="AZ81" s="16">
        <v>35</v>
      </c>
      <c r="BA81" s="16">
        <v>5</v>
      </c>
      <c r="BB81" s="16">
        <v>1.75</v>
      </c>
      <c r="BC81" s="16">
        <v>17</v>
      </c>
      <c r="BD81" s="16">
        <v>6.9</v>
      </c>
      <c r="BE81" s="16">
        <v>1</v>
      </c>
      <c r="BF81" s="16" t="s">
        <v>69</v>
      </c>
      <c r="BG81" s="16" t="s">
        <v>450</v>
      </c>
      <c r="BH81" s="16">
        <v>15</v>
      </c>
      <c r="BI81" s="16">
        <v>8.1</v>
      </c>
      <c r="BJ81" s="16">
        <v>42.15</v>
      </c>
      <c r="BK81" s="16">
        <v>1.75</v>
      </c>
      <c r="BL81" s="16">
        <v>8.9</v>
      </c>
    </row>
    <row r="82" spans="1:64" x14ac:dyDescent="0.25">
      <c r="A82" s="24">
        <v>46274</v>
      </c>
      <c r="B82" s="16" t="s">
        <v>451</v>
      </c>
      <c r="C82" s="25">
        <v>5</v>
      </c>
      <c r="D82" s="17" t="s">
        <v>229</v>
      </c>
      <c r="F82" s="25">
        <v>19207</v>
      </c>
      <c r="G82" s="25">
        <v>291482491</v>
      </c>
      <c r="H82" s="16" t="s">
        <v>64</v>
      </c>
      <c r="I82" s="16" t="s">
        <v>65</v>
      </c>
      <c r="J82" s="16" t="s">
        <v>66</v>
      </c>
      <c r="K82" s="17">
        <v>1586</v>
      </c>
      <c r="L82" t="s">
        <v>452</v>
      </c>
      <c r="M82" t="s">
        <v>453</v>
      </c>
      <c r="N82" t="s">
        <v>69</v>
      </c>
      <c r="O82" s="16" t="s">
        <v>70</v>
      </c>
      <c r="P82" t="s">
        <v>246</v>
      </c>
      <c r="Q82" s="19">
        <v>360</v>
      </c>
      <c r="R82" t="s">
        <v>73</v>
      </c>
      <c r="S82" s="19">
        <v>0</v>
      </c>
      <c r="T82" s="19">
        <v>17</v>
      </c>
      <c r="U82" s="19">
        <v>49.18</v>
      </c>
      <c r="V82" s="19">
        <v>377</v>
      </c>
      <c r="W82" s="19">
        <v>377</v>
      </c>
      <c r="X82" t="s">
        <v>73</v>
      </c>
      <c r="Y82" s="20">
        <v>0.05</v>
      </c>
      <c r="Z82" s="19">
        <v>18</v>
      </c>
      <c r="AA82" s="19">
        <v>359</v>
      </c>
      <c r="AB82" s="19">
        <v>18</v>
      </c>
      <c r="AC82" t="s">
        <v>73</v>
      </c>
      <c r="AD82" s="19">
        <v>15.54</v>
      </c>
      <c r="AE82" s="19">
        <v>2.46</v>
      </c>
      <c r="AF82" s="19">
        <v>18</v>
      </c>
      <c r="AG82" s="19">
        <v>0</v>
      </c>
      <c r="AH82" s="19">
        <v>377</v>
      </c>
      <c r="AI82" s="19">
        <v>18</v>
      </c>
      <c r="AJ82" t="s">
        <v>73</v>
      </c>
      <c r="AK82" s="19">
        <v>0</v>
      </c>
      <c r="AL82" s="19">
        <v>359</v>
      </c>
      <c r="AM82" t="b">
        <f t="shared" si="6"/>
        <v>1</v>
      </c>
      <c r="AN82" s="21">
        <f t="shared" si="7"/>
        <v>0</v>
      </c>
      <c r="AO82" s="19">
        <f t="shared" si="8"/>
        <v>0</v>
      </c>
      <c r="AP82" s="22">
        <v>17</v>
      </c>
      <c r="AQ82" s="18">
        <f t="shared" si="9"/>
        <v>17</v>
      </c>
      <c r="AR82" s="18">
        <f t="shared" si="10"/>
        <v>0</v>
      </c>
      <c r="AS82" s="23">
        <f t="shared" si="11"/>
        <v>0</v>
      </c>
      <c r="AT82" s="24">
        <v>46274.92083333333</v>
      </c>
      <c r="AU82" s="16" t="s">
        <v>454</v>
      </c>
      <c r="AV82" s="16">
        <v>291482491</v>
      </c>
      <c r="AW82" s="16">
        <v>738531411</v>
      </c>
      <c r="AX82" s="16" t="s">
        <v>233</v>
      </c>
      <c r="AY82" s="16">
        <v>377</v>
      </c>
      <c r="AZ82" s="16">
        <v>360</v>
      </c>
      <c r="BA82" s="16">
        <v>5</v>
      </c>
      <c r="BB82" s="16">
        <v>18</v>
      </c>
      <c r="BC82" s="16">
        <v>17</v>
      </c>
      <c r="BD82" s="16">
        <v>0</v>
      </c>
      <c r="BE82" s="16">
        <v>16</v>
      </c>
      <c r="BF82" s="16" t="s">
        <v>69</v>
      </c>
      <c r="BG82" s="16" t="s">
        <v>455</v>
      </c>
      <c r="BH82" s="16">
        <v>0</v>
      </c>
      <c r="BI82" s="16">
        <v>0</v>
      </c>
      <c r="BJ82" s="16">
        <v>359</v>
      </c>
      <c r="BK82" s="16">
        <v>18</v>
      </c>
      <c r="BL82" s="16">
        <v>17</v>
      </c>
    </row>
    <row r="83" spans="1:64" x14ac:dyDescent="0.25">
      <c r="A83" s="24">
        <v>46274</v>
      </c>
      <c r="B83" s="16" t="s">
        <v>456</v>
      </c>
      <c r="C83" s="25">
        <v>79460</v>
      </c>
      <c r="F83" s="25">
        <v>19208</v>
      </c>
      <c r="G83" s="25">
        <v>291483377</v>
      </c>
      <c r="H83" s="16" t="s">
        <v>64</v>
      </c>
      <c r="I83" s="16" t="s">
        <v>65</v>
      </c>
      <c r="J83" s="16" t="s">
        <v>66</v>
      </c>
      <c r="K83" s="17">
        <v>169</v>
      </c>
      <c r="L83" t="s">
        <v>163</v>
      </c>
      <c r="M83" t="s">
        <v>457</v>
      </c>
      <c r="N83" t="s">
        <v>69</v>
      </c>
      <c r="O83" s="16" t="s">
        <v>70</v>
      </c>
      <c r="P83" t="s">
        <v>79</v>
      </c>
      <c r="Q83" s="19">
        <v>42</v>
      </c>
      <c r="R83" t="s">
        <v>72</v>
      </c>
      <c r="S83" s="19">
        <v>4.2</v>
      </c>
      <c r="T83" s="19">
        <v>0</v>
      </c>
      <c r="U83" s="19">
        <v>7.44</v>
      </c>
      <c r="V83" s="19">
        <v>37.799999999999997</v>
      </c>
      <c r="W83" s="19">
        <v>42</v>
      </c>
      <c r="X83" t="s">
        <v>73</v>
      </c>
      <c r="Y83" s="20">
        <v>0.05</v>
      </c>
      <c r="Z83" s="19">
        <v>2.1</v>
      </c>
      <c r="AA83" s="19">
        <v>39.9</v>
      </c>
      <c r="AB83" s="19">
        <v>2.1</v>
      </c>
      <c r="AC83" t="s">
        <v>73</v>
      </c>
      <c r="AD83" s="19">
        <v>1.73</v>
      </c>
      <c r="AE83" s="19">
        <v>0.37</v>
      </c>
      <c r="AF83" s="19">
        <v>2.1</v>
      </c>
      <c r="AG83" s="19">
        <v>0</v>
      </c>
      <c r="AH83" s="19">
        <v>37.799999999999997</v>
      </c>
      <c r="AI83" s="19">
        <v>2.1</v>
      </c>
      <c r="AJ83" t="s">
        <v>73</v>
      </c>
      <c r="AK83" s="19">
        <v>0</v>
      </c>
      <c r="AL83" s="19">
        <v>39.9</v>
      </c>
      <c r="AM83" t="b">
        <f t="shared" si="6"/>
        <v>1</v>
      </c>
      <c r="AN83" s="21">
        <f t="shared" si="7"/>
        <v>0</v>
      </c>
      <c r="AO83" s="19">
        <f t="shared" si="8"/>
        <v>0</v>
      </c>
      <c r="AP83" s="22">
        <v>15</v>
      </c>
      <c r="AQ83" s="18">
        <f t="shared" si="9"/>
        <v>0</v>
      </c>
      <c r="AR83" s="18">
        <f t="shared" si="10"/>
        <v>7.95</v>
      </c>
      <c r="AS83" s="23">
        <f t="shared" si="11"/>
        <v>7.05</v>
      </c>
      <c r="AT83" s="24">
        <v>46274.913194444445</v>
      </c>
      <c r="AU83" s="16" t="s">
        <v>165</v>
      </c>
      <c r="AV83" s="16">
        <v>291483377</v>
      </c>
      <c r="AW83" s="16">
        <v>738534449</v>
      </c>
      <c r="AX83" s="16" t="s">
        <v>458</v>
      </c>
      <c r="AY83" s="16">
        <v>42</v>
      </c>
      <c r="AZ83" s="16">
        <v>42</v>
      </c>
      <c r="BA83" s="16">
        <v>5</v>
      </c>
      <c r="BB83" s="16">
        <v>2.1</v>
      </c>
      <c r="BC83" s="16">
        <v>15</v>
      </c>
      <c r="BD83" s="16">
        <v>7.95</v>
      </c>
      <c r="BE83" s="16">
        <v>0</v>
      </c>
      <c r="BF83" s="16" t="s">
        <v>69</v>
      </c>
      <c r="BG83" s="16" t="s">
        <v>459</v>
      </c>
      <c r="BH83" s="16">
        <v>15</v>
      </c>
      <c r="BI83" s="16">
        <v>7.05</v>
      </c>
      <c r="BJ83" s="16">
        <v>47.85</v>
      </c>
      <c r="BK83" s="16">
        <v>2.1</v>
      </c>
      <c r="BL83" s="16">
        <v>7.95</v>
      </c>
    </row>
    <row r="84" spans="1:64" x14ac:dyDescent="0.25">
      <c r="A84" s="24">
        <v>46274</v>
      </c>
      <c r="B84" s="16" t="s">
        <v>460</v>
      </c>
      <c r="C84" s="25">
        <v>79465</v>
      </c>
      <c r="F84" s="25">
        <v>19209</v>
      </c>
      <c r="G84" s="25">
        <v>291487290</v>
      </c>
      <c r="H84" s="16" t="s">
        <v>64</v>
      </c>
      <c r="I84" s="16" t="s">
        <v>65</v>
      </c>
      <c r="J84" s="16" t="s">
        <v>66</v>
      </c>
      <c r="K84" s="17">
        <v>20</v>
      </c>
      <c r="L84" t="s">
        <v>118</v>
      </c>
      <c r="M84" t="s">
        <v>461</v>
      </c>
      <c r="N84" t="s">
        <v>69</v>
      </c>
      <c r="O84" s="16" t="s">
        <v>70</v>
      </c>
      <c r="P84" t="s">
        <v>79</v>
      </c>
      <c r="Q84" s="19">
        <v>38</v>
      </c>
      <c r="R84" t="s">
        <v>72</v>
      </c>
      <c r="S84" s="19">
        <v>3.8</v>
      </c>
      <c r="T84" s="19">
        <v>16</v>
      </c>
      <c r="U84" s="19">
        <v>7.83</v>
      </c>
      <c r="V84" s="19">
        <v>50.2</v>
      </c>
      <c r="W84" s="19">
        <v>54</v>
      </c>
      <c r="X84" t="s">
        <v>73</v>
      </c>
      <c r="Y84" s="20">
        <v>0.04</v>
      </c>
      <c r="Z84" s="19">
        <v>1.52</v>
      </c>
      <c r="AA84" s="19">
        <v>52.48</v>
      </c>
      <c r="AB84" s="19">
        <v>1.52</v>
      </c>
      <c r="AC84" t="s">
        <v>73</v>
      </c>
      <c r="AD84" s="19">
        <v>1.21</v>
      </c>
      <c r="AE84" s="19">
        <v>0.31</v>
      </c>
      <c r="AF84" s="19">
        <v>1.52</v>
      </c>
      <c r="AG84" s="19">
        <v>0</v>
      </c>
      <c r="AH84" s="19">
        <v>50.2</v>
      </c>
      <c r="AI84" s="19">
        <v>1.52</v>
      </c>
      <c r="AJ84" t="s">
        <v>73</v>
      </c>
      <c r="AK84" s="19">
        <v>20</v>
      </c>
      <c r="AL84" s="19">
        <v>52.48</v>
      </c>
      <c r="AM84" t="b">
        <f t="shared" si="6"/>
        <v>1</v>
      </c>
      <c r="AN84" s="21">
        <f t="shared" si="7"/>
        <v>0</v>
      </c>
      <c r="AO84" s="19">
        <f t="shared" si="8"/>
        <v>0</v>
      </c>
      <c r="AP84" s="22">
        <v>22</v>
      </c>
      <c r="AQ84" s="18">
        <f t="shared" si="9"/>
        <v>16</v>
      </c>
      <c r="AR84" s="18">
        <f t="shared" si="10"/>
        <v>6</v>
      </c>
      <c r="AS84" s="23">
        <f t="shared" si="11"/>
        <v>0</v>
      </c>
      <c r="AT84" s="24">
        <v>46274.943055555559</v>
      </c>
      <c r="AU84" s="16" t="s">
        <v>120</v>
      </c>
      <c r="AV84" s="16">
        <v>291487290</v>
      </c>
      <c r="AW84" s="16">
        <v>738545377</v>
      </c>
      <c r="AX84" s="16" t="s">
        <v>462</v>
      </c>
      <c r="AY84" s="16">
        <v>54</v>
      </c>
      <c r="AZ84" s="16">
        <v>38</v>
      </c>
      <c r="BA84" s="16">
        <v>4</v>
      </c>
      <c r="BB84" s="16">
        <v>1.52</v>
      </c>
      <c r="BC84" s="16">
        <v>22</v>
      </c>
      <c r="BD84" s="16">
        <v>6</v>
      </c>
      <c r="BE84" s="16">
        <v>15</v>
      </c>
      <c r="BF84" s="16" t="s">
        <v>69</v>
      </c>
      <c r="BG84" s="16" t="s">
        <v>463</v>
      </c>
      <c r="BH84" s="16">
        <v>6</v>
      </c>
      <c r="BI84" s="16">
        <v>0</v>
      </c>
      <c r="BJ84" s="16">
        <v>58.48</v>
      </c>
      <c r="BK84" s="16">
        <v>1.52</v>
      </c>
      <c r="BL84" s="16">
        <v>22</v>
      </c>
    </row>
    <row r="85" spans="1:64" x14ac:dyDescent="0.25">
      <c r="A85" s="24">
        <v>46274</v>
      </c>
      <c r="B85" s="16" t="s">
        <v>464</v>
      </c>
      <c r="C85" s="25">
        <v>57358</v>
      </c>
      <c r="F85" s="25">
        <v>19210</v>
      </c>
      <c r="G85" s="25">
        <v>291489198</v>
      </c>
      <c r="H85" s="16" t="s">
        <v>64</v>
      </c>
      <c r="I85" s="16" t="s">
        <v>65</v>
      </c>
      <c r="J85" s="16" t="s">
        <v>66</v>
      </c>
      <c r="K85" s="17">
        <v>65</v>
      </c>
      <c r="L85" t="s">
        <v>340</v>
      </c>
      <c r="M85" t="s">
        <v>465</v>
      </c>
      <c r="N85" t="s">
        <v>69</v>
      </c>
      <c r="O85" s="16" t="s">
        <v>70</v>
      </c>
      <c r="P85" t="s">
        <v>79</v>
      </c>
      <c r="Q85" s="19">
        <v>58</v>
      </c>
      <c r="R85" t="s">
        <v>72</v>
      </c>
      <c r="S85" s="19">
        <v>5.8</v>
      </c>
      <c r="T85" s="19">
        <v>0</v>
      </c>
      <c r="U85" s="19">
        <v>9.5299999999999994</v>
      </c>
      <c r="V85" s="19">
        <v>52.2</v>
      </c>
      <c r="W85" s="19">
        <v>58</v>
      </c>
      <c r="X85" t="s">
        <v>73</v>
      </c>
      <c r="Y85" s="20">
        <v>0.05</v>
      </c>
      <c r="Z85" s="19">
        <v>2.9</v>
      </c>
      <c r="AA85" s="19">
        <v>55.1</v>
      </c>
      <c r="AB85" s="19">
        <v>2.9</v>
      </c>
      <c r="AC85" t="s">
        <v>73</v>
      </c>
      <c r="AD85" s="19">
        <v>2.42</v>
      </c>
      <c r="AE85" s="19">
        <v>0.48</v>
      </c>
      <c r="AF85" s="19">
        <v>2.9</v>
      </c>
      <c r="AG85" s="19">
        <v>0</v>
      </c>
      <c r="AH85" s="19">
        <v>52.2</v>
      </c>
      <c r="AI85" s="19">
        <v>2.9</v>
      </c>
      <c r="AJ85" t="s">
        <v>73</v>
      </c>
      <c r="AK85" s="19">
        <v>0</v>
      </c>
      <c r="AL85" s="19">
        <v>55.1</v>
      </c>
      <c r="AM85" t="b">
        <f t="shared" si="6"/>
        <v>1</v>
      </c>
      <c r="AN85" s="21">
        <f t="shared" si="7"/>
        <v>0</v>
      </c>
      <c r="AO85" s="19">
        <f t="shared" si="8"/>
        <v>0</v>
      </c>
      <c r="AP85" s="22">
        <v>15</v>
      </c>
      <c r="AQ85" s="18">
        <f t="shared" si="9"/>
        <v>0</v>
      </c>
      <c r="AR85" s="18">
        <f t="shared" si="10"/>
        <v>6.9</v>
      </c>
      <c r="AS85" s="23">
        <f t="shared" si="11"/>
        <v>8.1</v>
      </c>
      <c r="AT85" s="24">
        <v>46274.941666666666</v>
      </c>
      <c r="AU85" s="16" t="s">
        <v>342</v>
      </c>
      <c r="AV85" s="16">
        <v>291489198</v>
      </c>
      <c r="AW85" s="16">
        <v>738526442</v>
      </c>
      <c r="AX85" s="16" t="s">
        <v>466</v>
      </c>
      <c r="AY85" s="16">
        <v>58</v>
      </c>
      <c r="AZ85" s="16">
        <v>58</v>
      </c>
      <c r="BA85" s="16">
        <v>5</v>
      </c>
      <c r="BB85" s="16">
        <v>2.9</v>
      </c>
      <c r="BC85" s="16">
        <v>15</v>
      </c>
      <c r="BD85" s="16">
        <v>6.9</v>
      </c>
      <c r="BE85" s="16">
        <v>0</v>
      </c>
      <c r="BF85" s="16" t="s">
        <v>69</v>
      </c>
      <c r="BG85" s="16" t="s">
        <v>467</v>
      </c>
      <c r="BH85" s="16">
        <v>15</v>
      </c>
      <c r="BI85" s="16">
        <v>8.1</v>
      </c>
      <c r="BJ85" s="16">
        <v>62.000000000000007</v>
      </c>
      <c r="BK85" s="16">
        <v>2.9</v>
      </c>
      <c r="BL85" s="16">
        <v>6.9</v>
      </c>
    </row>
    <row r="86" spans="1:64" x14ac:dyDescent="0.25">
      <c r="A86" s="24">
        <v>46274</v>
      </c>
      <c r="B86" s="16" t="s">
        <v>468</v>
      </c>
      <c r="C86" s="25">
        <v>33283</v>
      </c>
      <c r="F86" s="25">
        <v>19211</v>
      </c>
      <c r="G86" s="25">
        <v>291494436</v>
      </c>
      <c r="H86" s="16" t="s">
        <v>64</v>
      </c>
      <c r="I86" s="16" t="s">
        <v>65</v>
      </c>
      <c r="J86" s="16" t="s">
        <v>66</v>
      </c>
      <c r="K86" s="17">
        <v>20</v>
      </c>
      <c r="L86" t="s">
        <v>118</v>
      </c>
      <c r="M86" t="s">
        <v>469</v>
      </c>
      <c r="N86" t="s">
        <v>69</v>
      </c>
      <c r="O86" s="16" t="s">
        <v>70</v>
      </c>
      <c r="P86" t="s">
        <v>71</v>
      </c>
      <c r="Q86" s="19">
        <v>44.5</v>
      </c>
      <c r="R86" t="s">
        <v>72</v>
      </c>
      <c r="S86" s="19">
        <v>4.45</v>
      </c>
      <c r="T86" s="19">
        <v>11</v>
      </c>
      <c r="U86" s="19">
        <v>8.02</v>
      </c>
      <c r="V86" s="19">
        <v>51.05</v>
      </c>
      <c r="W86" s="19">
        <v>55.5</v>
      </c>
      <c r="X86" t="s">
        <v>73</v>
      </c>
      <c r="Y86" s="20">
        <v>0.04</v>
      </c>
      <c r="Z86" s="19">
        <v>1.78</v>
      </c>
      <c r="AA86" s="19">
        <v>53.72</v>
      </c>
      <c r="AB86" s="19">
        <v>1.78</v>
      </c>
      <c r="AC86" t="s">
        <v>73</v>
      </c>
      <c r="AD86" s="19">
        <v>1.46</v>
      </c>
      <c r="AE86" s="19">
        <v>0.32</v>
      </c>
      <c r="AF86" s="19">
        <v>1.78</v>
      </c>
      <c r="AG86" s="19">
        <v>5.77</v>
      </c>
      <c r="AH86" s="19">
        <v>45.28</v>
      </c>
      <c r="AI86" s="19">
        <v>1.78</v>
      </c>
      <c r="AJ86" t="s">
        <v>73</v>
      </c>
      <c r="AK86" s="19">
        <v>0</v>
      </c>
      <c r="AL86" s="19">
        <v>53.72</v>
      </c>
      <c r="AM86" t="b">
        <f t="shared" si="6"/>
        <v>1</v>
      </c>
      <c r="AN86" s="21">
        <f t="shared" si="7"/>
        <v>0</v>
      </c>
      <c r="AO86" s="19">
        <f t="shared" si="8"/>
        <v>0</v>
      </c>
      <c r="AP86" s="22">
        <v>17</v>
      </c>
      <c r="AQ86" s="18">
        <f t="shared" si="9"/>
        <v>11</v>
      </c>
      <c r="AR86" s="18">
        <f t="shared" si="10"/>
        <v>6</v>
      </c>
      <c r="AS86" s="23">
        <f t="shared" si="11"/>
        <v>0</v>
      </c>
      <c r="AT86" s="24">
        <v>46274.974305555559</v>
      </c>
      <c r="AU86" s="16" t="s">
        <v>120</v>
      </c>
      <c r="AV86" s="16">
        <v>291494436</v>
      </c>
      <c r="AW86" s="16">
        <v>738568231</v>
      </c>
      <c r="AX86" s="16" t="s">
        <v>470</v>
      </c>
      <c r="AY86" s="16">
        <v>55.5</v>
      </c>
      <c r="AZ86" s="16">
        <v>44.5</v>
      </c>
      <c r="BA86" s="16">
        <v>4</v>
      </c>
      <c r="BB86" s="16">
        <v>1.78</v>
      </c>
      <c r="BC86" s="16">
        <v>17</v>
      </c>
      <c r="BD86" s="16">
        <v>6</v>
      </c>
      <c r="BE86" s="16">
        <v>10</v>
      </c>
      <c r="BF86" s="16" t="s">
        <v>69</v>
      </c>
      <c r="BG86" s="16" t="s">
        <v>471</v>
      </c>
      <c r="BH86" s="16">
        <v>6</v>
      </c>
      <c r="BI86" s="16">
        <v>0</v>
      </c>
      <c r="BJ86" s="16">
        <v>59.72</v>
      </c>
      <c r="BK86" s="16">
        <v>1.78</v>
      </c>
      <c r="BL86" s="16">
        <v>17</v>
      </c>
    </row>
    <row r="87" spans="1:64" x14ac:dyDescent="0.25">
      <c r="A87" s="24">
        <v>46274</v>
      </c>
      <c r="B87" s="16" t="s">
        <v>472</v>
      </c>
      <c r="C87" s="25">
        <v>7374</v>
      </c>
      <c r="D87" s="17" t="s">
        <v>473</v>
      </c>
      <c r="F87" s="25">
        <v>19212</v>
      </c>
      <c r="G87" s="25">
        <v>291494937</v>
      </c>
      <c r="H87" s="16" t="s">
        <v>64</v>
      </c>
      <c r="I87" s="16" t="s">
        <v>65</v>
      </c>
      <c r="J87" s="16" t="s">
        <v>66</v>
      </c>
      <c r="K87" s="17">
        <v>2018</v>
      </c>
      <c r="L87" t="s">
        <v>474</v>
      </c>
      <c r="M87" t="s">
        <v>475</v>
      </c>
      <c r="N87" t="s">
        <v>69</v>
      </c>
      <c r="O87" s="16" t="s">
        <v>70</v>
      </c>
      <c r="P87" t="s">
        <v>79</v>
      </c>
      <c r="Q87" s="19">
        <v>168</v>
      </c>
      <c r="R87" t="s">
        <v>72</v>
      </c>
      <c r="S87" s="19">
        <v>16.8</v>
      </c>
      <c r="T87" s="19">
        <v>43</v>
      </c>
      <c r="U87" s="19">
        <v>27.52</v>
      </c>
      <c r="V87" s="19">
        <v>194.2</v>
      </c>
      <c r="W87" s="19">
        <v>211</v>
      </c>
      <c r="X87" t="s">
        <v>73</v>
      </c>
      <c r="Y87" s="20">
        <v>0.05</v>
      </c>
      <c r="Z87" s="19">
        <v>8.4</v>
      </c>
      <c r="AA87" s="19">
        <v>202.6</v>
      </c>
      <c r="AB87" s="19">
        <v>8.4</v>
      </c>
      <c r="AC87" t="s">
        <v>73</v>
      </c>
      <c r="AD87" s="19">
        <v>7.02</v>
      </c>
      <c r="AE87" s="19">
        <v>1.38</v>
      </c>
      <c r="AF87" s="19">
        <v>8.4</v>
      </c>
      <c r="AG87" s="19">
        <v>0</v>
      </c>
      <c r="AH87" s="19">
        <v>194.2</v>
      </c>
      <c r="AI87" s="19">
        <v>8.4</v>
      </c>
      <c r="AJ87" t="s">
        <v>73</v>
      </c>
      <c r="AK87" s="19">
        <v>0</v>
      </c>
      <c r="AL87" s="19">
        <v>202.6</v>
      </c>
      <c r="AM87" t="b">
        <f t="shared" si="6"/>
        <v>1</v>
      </c>
      <c r="AN87" s="21">
        <f t="shared" si="7"/>
        <v>0</v>
      </c>
      <c r="AO87" s="19">
        <f t="shared" si="8"/>
        <v>0</v>
      </c>
      <c r="AP87" s="22">
        <v>43</v>
      </c>
      <c r="AQ87" s="18">
        <f t="shared" si="9"/>
        <v>43</v>
      </c>
      <c r="AR87" s="18">
        <f t="shared" si="10"/>
        <v>0</v>
      </c>
      <c r="AS87" s="23">
        <f t="shared" si="11"/>
        <v>0</v>
      </c>
      <c r="AT87" s="24">
        <v>46274.990277777775</v>
      </c>
      <c r="AU87" s="16" t="s">
        <v>476</v>
      </c>
      <c r="AV87" s="16">
        <v>291494937</v>
      </c>
      <c r="AW87" s="16">
        <v>736320557</v>
      </c>
      <c r="AX87" s="16" t="s">
        <v>477</v>
      </c>
      <c r="AY87" s="16">
        <v>211</v>
      </c>
      <c r="AZ87" s="16">
        <v>168</v>
      </c>
      <c r="BA87" s="16">
        <v>5</v>
      </c>
      <c r="BB87" s="16">
        <v>8.4</v>
      </c>
      <c r="BC87" s="16">
        <v>43</v>
      </c>
      <c r="BD87" s="16">
        <v>0</v>
      </c>
      <c r="BE87" s="16">
        <v>41</v>
      </c>
      <c r="BF87" s="16" t="s">
        <v>69</v>
      </c>
      <c r="BG87" s="16" t="s">
        <v>478</v>
      </c>
      <c r="BH87" s="16">
        <v>0</v>
      </c>
      <c r="BI87" s="16">
        <v>0</v>
      </c>
      <c r="BJ87" s="16">
        <v>202.6</v>
      </c>
      <c r="BK87" s="16">
        <v>8.4</v>
      </c>
      <c r="BL87" s="16">
        <v>43</v>
      </c>
    </row>
    <row r="88" spans="1:64" x14ac:dyDescent="0.25">
      <c r="A88" s="24">
        <v>46274</v>
      </c>
      <c r="B88" s="16" t="s">
        <v>479</v>
      </c>
      <c r="C88" s="25">
        <v>5</v>
      </c>
      <c r="D88" s="17" t="s">
        <v>229</v>
      </c>
      <c r="F88" s="25">
        <v>19213</v>
      </c>
      <c r="G88" s="25">
        <v>291495304</v>
      </c>
      <c r="H88" s="16" t="s">
        <v>64</v>
      </c>
      <c r="I88" s="16" t="s">
        <v>65</v>
      </c>
      <c r="J88" s="16" t="s">
        <v>66</v>
      </c>
      <c r="K88" s="17">
        <v>161</v>
      </c>
      <c r="L88" t="s">
        <v>480</v>
      </c>
      <c r="M88" t="s">
        <v>481</v>
      </c>
      <c r="N88" t="s">
        <v>69</v>
      </c>
      <c r="O88" s="16" t="s">
        <v>70</v>
      </c>
      <c r="P88" t="s">
        <v>246</v>
      </c>
      <c r="Q88" s="19">
        <v>69</v>
      </c>
      <c r="R88" t="s">
        <v>73</v>
      </c>
      <c r="S88" s="19">
        <v>0</v>
      </c>
      <c r="T88" s="19">
        <v>15</v>
      </c>
      <c r="U88" s="19">
        <v>10.96</v>
      </c>
      <c r="V88" s="19">
        <v>84</v>
      </c>
      <c r="W88" s="19">
        <v>84</v>
      </c>
      <c r="X88" t="s">
        <v>73</v>
      </c>
      <c r="Y88" s="20">
        <v>3.7499999999999999E-2</v>
      </c>
      <c r="Z88" s="19">
        <v>2.59</v>
      </c>
      <c r="AA88" s="19">
        <v>81.41</v>
      </c>
      <c r="AB88" s="19">
        <v>2.59</v>
      </c>
      <c r="AC88" t="s">
        <v>73</v>
      </c>
      <c r="AD88" s="19">
        <v>2.1800000000000002</v>
      </c>
      <c r="AE88" s="19">
        <v>0.41</v>
      </c>
      <c r="AF88" s="19">
        <v>2.59</v>
      </c>
      <c r="AG88" s="19">
        <v>0</v>
      </c>
      <c r="AH88" s="19">
        <v>84</v>
      </c>
      <c r="AI88" s="19">
        <v>2.59</v>
      </c>
      <c r="AJ88" t="s">
        <v>73</v>
      </c>
      <c r="AK88" s="19">
        <v>0</v>
      </c>
      <c r="AL88" s="19">
        <v>81.41</v>
      </c>
      <c r="AM88" t="b">
        <f t="shared" si="6"/>
        <v>1</v>
      </c>
      <c r="AN88" s="21">
        <f t="shared" si="7"/>
        <v>0</v>
      </c>
      <c r="AO88" s="19">
        <f t="shared" si="8"/>
        <v>2.4999999999999467E-3</v>
      </c>
      <c r="AP88" s="22">
        <v>15</v>
      </c>
      <c r="AQ88" s="18">
        <f t="shared" si="9"/>
        <v>15</v>
      </c>
      <c r="AR88" s="18">
        <f t="shared" si="10"/>
        <v>0</v>
      </c>
      <c r="AS88" s="23">
        <f t="shared" si="11"/>
        <v>0</v>
      </c>
      <c r="AT88" s="24">
        <v>46274.972916666666</v>
      </c>
      <c r="AU88" s="16" t="s">
        <v>482</v>
      </c>
      <c r="AV88" s="16">
        <v>291495304</v>
      </c>
      <c r="AW88" s="16">
        <v>738572201</v>
      </c>
      <c r="AX88" s="16" t="s">
        <v>233</v>
      </c>
      <c r="AY88" s="16">
        <v>84</v>
      </c>
      <c r="AZ88" s="16">
        <v>69</v>
      </c>
      <c r="BA88" s="16">
        <v>3.75</v>
      </c>
      <c r="BB88" s="16">
        <v>2.5874999999999999</v>
      </c>
      <c r="BC88" s="16">
        <v>15</v>
      </c>
      <c r="BD88" s="16">
        <v>0</v>
      </c>
      <c r="BE88" s="16">
        <v>14</v>
      </c>
      <c r="BF88" s="16" t="s">
        <v>69</v>
      </c>
      <c r="BG88" s="16" t="s">
        <v>483</v>
      </c>
      <c r="BH88" s="16">
        <v>0</v>
      </c>
      <c r="BI88" s="16">
        <v>0</v>
      </c>
      <c r="BJ88" s="16">
        <v>81.412499999999994</v>
      </c>
      <c r="BK88" s="16">
        <v>2.5874999999999999</v>
      </c>
      <c r="BL88" s="16">
        <v>15</v>
      </c>
    </row>
    <row r="89" spans="1:64" x14ac:dyDescent="0.25">
      <c r="A89" s="24">
        <v>46274</v>
      </c>
      <c r="B89" s="16" t="s">
        <v>484</v>
      </c>
      <c r="C89" s="25">
        <v>70924</v>
      </c>
      <c r="F89" s="25">
        <v>19214</v>
      </c>
      <c r="G89" s="25">
        <v>291499530</v>
      </c>
      <c r="H89" s="16" t="s">
        <v>64</v>
      </c>
      <c r="I89" s="16" t="s">
        <v>65</v>
      </c>
      <c r="J89" s="16" t="s">
        <v>66</v>
      </c>
      <c r="K89" s="17">
        <v>4777</v>
      </c>
      <c r="L89" t="s">
        <v>485</v>
      </c>
      <c r="M89" t="s">
        <v>486</v>
      </c>
      <c r="N89" t="s">
        <v>69</v>
      </c>
      <c r="O89" s="16" t="s">
        <v>70</v>
      </c>
      <c r="P89" t="s">
        <v>86</v>
      </c>
      <c r="Q89" s="19">
        <v>65</v>
      </c>
      <c r="R89" t="s">
        <v>73</v>
      </c>
      <c r="S89" s="19">
        <v>0</v>
      </c>
      <c r="T89" s="19">
        <v>15</v>
      </c>
      <c r="U89" s="19">
        <v>10.44</v>
      </c>
      <c r="V89" s="19">
        <v>80</v>
      </c>
      <c r="W89" s="19">
        <v>80</v>
      </c>
      <c r="X89" t="s">
        <v>73</v>
      </c>
      <c r="Y89" s="20">
        <v>0.05</v>
      </c>
      <c r="Z89" s="19">
        <v>3.25</v>
      </c>
      <c r="AA89" s="19">
        <v>76.75</v>
      </c>
      <c r="AB89" s="19">
        <v>3.25</v>
      </c>
      <c r="AC89" t="s">
        <v>73</v>
      </c>
      <c r="AD89" s="19">
        <v>2.73</v>
      </c>
      <c r="AE89" s="19">
        <v>0.52</v>
      </c>
      <c r="AF89" s="19">
        <v>3.25</v>
      </c>
      <c r="AG89" s="19">
        <v>0</v>
      </c>
      <c r="AH89" s="19">
        <v>80</v>
      </c>
      <c r="AI89" s="19">
        <v>3.25</v>
      </c>
      <c r="AJ89" t="s">
        <v>73</v>
      </c>
      <c r="AK89" s="19">
        <v>0</v>
      </c>
      <c r="AL89" s="19">
        <v>76.75</v>
      </c>
      <c r="AM89" t="b">
        <f t="shared" si="6"/>
        <v>1</v>
      </c>
      <c r="AN89" s="21">
        <f t="shared" si="7"/>
        <v>0</v>
      </c>
      <c r="AO89" s="19">
        <f t="shared" si="8"/>
        <v>0</v>
      </c>
      <c r="AP89" s="22">
        <v>15</v>
      </c>
      <c r="AQ89" s="18">
        <f t="shared" si="9"/>
        <v>15</v>
      </c>
      <c r="AR89" s="18">
        <f t="shared" si="10"/>
        <v>0</v>
      </c>
      <c r="AS89" s="23">
        <f t="shared" si="11"/>
        <v>0</v>
      </c>
      <c r="AT89" s="24">
        <v>46275.011805555558</v>
      </c>
      <c r="AU89" s="16" t="s">
        <v>487</v>
      </c>
      <c r="AV89" s="16">
        <v>291499530</v>
      </c>
      <c r="AW89" s="16">
        <v>738589588</v>
      </c>
      <c r="AX89" s="16" t="s">
        <v>378</v>
      </c>
      <c r="AY89" s="16">
        <v>80</v>
      </c>
      <c r="AZ89" s="16">
        <v>65</v>
      </c>
      <c r="BA89" s="16">
        <v>5</v>
      </c>
      <c r="BB89" s="16">
        <v>3.25</v>
      </c>
      <c r="BC89" s="16">
        <v>15</v>
      </c>
      <c r="BD89" s="16">
        <v>0</v>
      </c>
      <c r="BE89" s="16">
        <v>14</v>
      </c>
      <c r="BF89" s="16" t="s">
        <v>69</v>
      </c>
      <c r="BG89" s="16" t="s">
        <v>488</v>
      </c>
      <c r="BH89" s="16">
        <v>0</v>
      </c>
      <c r="BI89" s="16">
        <v>0</v>
      </c>
      <c r="BJ89" s="16">
        <v>76.75</v>
      </c>
      <c r="BK89" s="16">
        <v>3.25</v>
      </c>
      <c r="BL89" s="16">
        <v>15</v>
      </c>
    </row>
    <row r="90" spans="1:64" x14ac:dyDescent="0.25">
      <c r="A90" s="24">
        <v>46274</v>
      </c>
      <c r="B90" s="16" t="s">
        <v>489</v>
      </c>
      <c r="C90" s="25">
        <v>21288</v>
      </c>
      <c r="D90" s="17" t="s">
        <v>353</v>
      </c>
      <c r="F90" s="25">
        <v>19216</v>
      </c>
      <c r="G90" s="25">
        <v>291501247</v>
      </c>
      <c r="H90" s="16" t="s">
        <v>64</v>
      </c>
      <c r="I90" s="16" t="s">
        <v>65</v>
      </c>
      <c r="J90" s="16" t="s">
        <v>66</v>
      </c>
      <c r="K90" s="17">
        <v>15150</v>
      </c>
      <c r="L90" t="s">
        <v>91</v>
      </c>
      <c r="M90" t="s">
        <v>73</v>
      </c>
      <c r="N90" t="s">
        <v>69</v>
      </c>
      <c r="O90" s="16" t="s">
        <v>70</v>
      </c>
      <c r="P90" t="s">
        <v>92</v>
      </c>
      <c r="Q90" s="19">
        <v>35</v>
      </c>
      <c r="R90" t="s">
        <v>73</v>
      </c>
      <c r="S90" s="19">
        <v>0</v>
      </c>
      <c r="T90" s="19">
        <v>0</v>
      </c>
      <c r="U90" s="19">
        <v>6.53</v>
      </c>
      <c r="V90" s="19">
        <v>35</v>
      </c>
      <c r="W90" s="19">
        <v>35</v>
      </c>
      <c r="X90" t="s">
        <v>73</v>
      </c>
      <c r="Y90" s="20">
        <v>0.05</v>
      </c>
      <c r="Z90" s="19">
        <v>1.75</v>
      </c>
      <c r="AA90" s="19">
        <v>33.25</v>
      </c>
      <c r="AB90" s="19">
        <v>1.75</v>
      </c>
      <c r="AC90" t="s">
        <v>73</v>
      </c>
      <c r="AD90" s="19">
        <v>1.42</v>
      </c>
      <c r="AE90" s="19">
        <v>0.33</v>
      </c>
      <c r="AF90" s="19">
        <v>1.75</v>
      </c>
      <c r="AG90" s="19">
        <v>35</v>
      </c>
      <c r="AH90" s="19">
        <v>0</v>
      </c>
      <c r="AI90" s="19">
        <v>1.75</v>
      </c>
      <c r="AJ90" t="s">
        <v>73</v>
      </c>
      <c r="AK90" s="19">
        <v>0</v>
      </c>
      <c r="AL90" s="19">
        <v>33.25</v>
      </c>
      <c r="AM90" t="b">
        <f t="shared" si="6"/>
        <v>1</v>
      </c>
      <c r="AN90" s="21">
        <f t="shared" si="7"/>
        <v>0</v>
      </c>
      <c r="AO90" s="19">
        <f t="shared" si="8"/>
        <v>0</v>
      </c>
      <c r="AP90" s="22">
        <v>15</v>
      </c>
      <c r="AQ90" s="18">
        <f t="shared" si="9"/>
        <v>0</v>
      </c>
      <c r="AR90" s="18">
        <f t="shared" si="10"/>
        <v>10</v>
      </c>
      <c r="AS90" s="23">
        <f t="shared" si="11"/>
        <v>5</v>
      </c>
      <c r="AT90" s="24">
        <v>46275.025694444441</v>
      </c>
      <c r="AU90" s="16" t="s">
        <v>93</v>
      </c>
      <c r="AV90" s="16">
        <v>291501247</v>
      </c>
      <c r="AW90" s="16">
        <v>738597773</v>
      </c>
      <c r="AX90" s="16" t="s">
        <v>355</v>
      </c>
      <c r="AY90" s="16">
        <v>35</v>
      </c>
      <c r="AZ90" s="16">
        <v>35</v>
      </c>
      <c r="BA90" s="16">
        <v>5</v>
      </c>
      <c r="BB90" s="16">
        <v>1.75</v>
      </c>
      <c r="BC90" s="16">
        <v>15</v>
      </c>
      <c r="BD90" s="16">
        <v>10</v>
      </c>
      <c r="BE90" s="16">
        <v>0</v>
      </c>
      <c r="BF90" s="16" t="s">
        <v>69</v>
      </c>
      <c r="BG90" s="16" t="s">
        <v>490</v>
      </c>
      <c r="BH90" s="16">
        <v>15</v>
      </c>
      <c r="BI90" s="16">
        <v>5</v>
      </c>
      <c r="BJ90" s="16">
        <v>43.25</v>
      </c>
      <c r="BK90" s="16">
        <v>1.75</v>
      </c>
      <c r="BL90" s="16">
        <v>10</v>
      </c>
    </row>
    <row r="91" spans="1:64" x14ac:dyDescent="0.25">
      <c r="A91" s="24">
        <v>46275</v>
      </c>
      <c r="B91" s="16" t="s">
        <v>100</v>
      </c>
      <c r="C91" s="25">
        <v>77083</v>
      </c>
      <c r="F91" s="25">
        <v>19217</v>
      </c>
      <c r="G91" s="25">
        <v>291502571</v>
      </c>
      <c r="H91" s="16" t="s">
        <v>64</v>
      </c>
      <c r="I91" s="16" t="s">
        <v>65</v>
      </c>
      <c r="J91" s="16" t="s">
        <v>66</v>
      </c>
      <c r="K91" s="17">
        <v>179</v>
      </c>
      <c r="L91" t="s">
        <v>491</v>
      </c>
      <c r="M91" t="s">
        <v>492</v>
      </c>
      <c r="N91" t="s">
        <v>69</v>
      </c>
      <c r="O91" s="16" t="s">
        <v>70</v>
      </c>
      <c r="P91" t="s">
        <v>86</v>
      </c>
      <c r="Q91" s="19">
        <v>41</v>
      </c>
      <c r="R91" t="s">
        <v>73</v>
      </c>
      <c r="S91" s="19">
        <v>0</v>
      </c>
      <c r="T91" s="19">
        <v>15</v>
      </c>
      <c r="U91" s="19">
        <v>7.31</v>
      </c>
      <c r="V91" s="19">
        <v>56</v>
      </c>
      <c r="W91" s="19">
        <v>56</v>
      </c>
      <c r="X91" t="s">
        <v>73</v>
      </c>
      <c r="Y91" s="20">
        <v>4.5100000000000001E-2</v>
      </c>
      <c r="Z91" s="19">
        <v>1.85</v>
      </c>
      <c r="AA91" s="19">
        <v>54.16</v>
      </c>
      <c r="AB91" s="19">
        <v>1.85</v>
      </c>
      <c r="AC91" t="s">
        <v>73</v>
      </c>
      <c r="AD91" s="19">
        <v>1.52</v>
      </c>
      <c r="AE91" s="19">
        <v>0.33</v>
      </c>
      <c r="AF91" s="19">
        <v>1.85</v>
      </c>
      <c r="AG91" s="19">
        <v>0</v>
      </c>
      <c r="AH91" s="19">
        <v>56</v>
      </c>
      <c r="AI91" s="19">
        <v>1.85</v>
      </c>
      <c r="AJ91" t="s">
        <v>73</v>
      </c>
      <c r="AK91" s="19">
        <v>0</v>
      </c>
      <c r="AL91" s="19">
        <v>54.16</v>
      </c>
      <c r="AM91" t="b">
        <f t="shared" si="6"/>
        <v>1</v>
      </c>
      <c r="AN91" s="21">
        <f t="shared" si="7"/>
        <v>-1.0000000000000286E-4</v>
      </c>
      <c r="AO91" s="19">
        <f t="shared" si="8"/>
        <v>5.0000000000001155E-3</v>
      </c>
      <c r="AP91" s="22">
        <v>15</v>
      </c>
      <c r="AQ91" s="18">
        <f t="shared" si="9"/>
        <v>15</v>
      </c>
      <c r="AR91" s="18">
        <f t="shared" si="10"/>
        <v>0</v>
      </c>
      <c r="AS91" s="23">
        <f t="shared" si="11"/>
        <v>0</v>
      </c>
      <c r="AT91" s="24">
        <v>46275.041666666664</v>
      </c>
      <c r="AU91" s="16" t="s">
        <v>493</v>
      </c>
      <c r="AV91" s="16">
        <v>291502571</v>
      </c>
      <c r="AW91" s="16">
        <v>738604677</v>
      </c>
      <c r="AX91" s="16" t="s">
        <v>180</v>
      </c>
      <c r="AY91" s="16">
        <v>56</v>
      </c>
      <c r="AZ91" s="16">
        <v>41</v>
      </c>
      <c r="BA91" s="16">
        <v>4.5</v>
      </c>
      <c r="BB91" s="16">
        <v>1.845</v>
      </c>
      <c r="BC91" s="16">
        <v>15</v>
      </c>
      <c r="BD91" s="16">
        <v>0</v>
      </c>
      <c r="BE91" s="16">
        <v>14</v>
      </c>
      <c r="BF91" s="16" t="s">
        <v>69</v>
      </c>
      <c r="BG91" s="16" t="s">
        <v>494</v>
      </c>
      <c r="BH91" s="16">
        <v>0</v>
      </c>
      <c r="BI91" s="16">
        <v>0</v>
      </c>
      <c r="BJ91" s="16">
        <v>54.155000000000001</v>
      </c>
      <c r="BK91" s="16">
        <v>1.845</v>
      </c>
      <c r="BL91" s="16">
        <v>15</v>
      </c>
    </row>
    <row r="92" spans="1:64" x14ac:dyDescent="0.25">
      <c r="A92" s="24">
        <v>46275</v>
      </c>
      <c r="B92" s="16" t="s">
        <v>495</v>
      </c>
      <c r="C92" s="25">
        <v>19670</v>
      </c>
      <c r="F92" s="25">
        <v>19219</v>
      </c>
      <c r="G92" s="25">
        <v>291503557</v>
      </c>
      <c r="H92" s="16" t="s">
        <v>64</v>
      </c>
      <c r="I92" s="16" t="s">
        <v>65</v>
      </c>
      <c r="J92" s="16" t="s">
        <v>66</v>
      </c>
      <c r="K92" s="17">
        <v>169</v>
      </c>
      <c r="L92" t="s">
        <v>163</v>
      </c>
      <c r="M92" t="s">
        <v>496</v>
      </c>
      <c r="N92" t="s">
        <v>69</v>
      </c>
      <c r="O92" s="16" t="s">
        <v>70</v>
      </c>
      <c r="P92" t="s">
        <v>71</v>
      </c>
      <c r="Q92" s="19">
        <v>46</v>
      </c>
      <c r="R92" t="s">
        <v>72</v>
      </c>
      <c r="S92" s="19">
        <v>4.5999999999999996</v>
      </c>
      <c r="T92" s="19">
        <v>7</v>
      </c>
      <c r="U92" s="19">
        <v>8.8699999999999992</v>
      </c>
      <c r="V92" s="19">
        <v>48.4</v>
      </c>
      <c r="W92" s="19">
        <v>53</v>
      </c>
      <c r="X92" t="s">
        <v>73</v>
      </c>
      <c r="Y92" s="20">
        <v>0.05</v>
      </c>
      <c r="Z92" s="19">
        <v>2.2999999999999998</v>
      </c>
      <c r="AA92" s="19">
        <v>50.7</v>
      </c>
      <c r="AB92" s="19">
        <v>2.2999999999999998</v>
      </c>
      <c r="AC92" t="s">
        <v>73</v>
      </c>
      <c r="AD92" s="19">
        <v>1.86</v>
      </c>
      <c r="AE92" s="19">
        <v>0.44</v>
      </c>
      <c r="AF92" s="19">
        <v>2.2999999999999998</v>
      </c>
      <c r="AG92" s="19">
        <v>5</v>
      </c>
      <c r="AH92" s="19">
        <v>43.4</v>
      </c>
      <c r="AI92" s="19">
        <v>2.2999999999999998</v>
      </c>
      <c r="AJ92" t="s">
        <v>73</v>
      </c>
      <c r="AK92" s="19">
        <v>0</v>
      </c>
      <c r="AL92" s="19">
        <v>50.7</v>
      </c>
      <c r="AM92" t="b">
        <f t="shared" si="6"/>
        <v>1</v>
      </c>
      <c r="AN92" s="21">
        <f t="shared" si="7"/>
        <v>0</v>
      </c>
      <c r="AO92" s="19">
        <f t="shared" si="8"/>
        <v>0</v>
      </c>
      <c r="AP92" s="22">
        <v>22</v>
      </c>
      <c r="AQ92" s="18">
        <f t="shared" si="9"/>
        <v>7</v>
      </c>
      <c r="AR92" s="18">
        <f t="shared" si="10"/>
        <v>7.95</v>
      </c>
      <c r="AS92" s="23">
        <f t="shared" si="11"/>
        <v>7.05</v>
      </c>
      <c r="AT92" s="24">
        <v>46275.059027777781</v>
      </c>
      <c r="AU92" s="16" t="s">
        <v>165</v>
      </c>
      <c r="AV92" s="16">
        <v>291503557</v>
      </c>
      <c r="AW92" s="16">
        <v>738609508</v>
      </c>
      <c r="AX92" s="16" t="s">
        <v>110</v>
      </c>
      <c r="AY92" s="16">
        <v>53</v>
      </c>
      <c r="AZ92" s="16">
        <v>46</v>
      </c>
      <c r="BA92" s="16">
        <v>5</v>
      </c>
      <c r="BB92" s="16">
        <v>2.2999999999999998</v>
      </c>
      <c r="BC92" s="16">
        <v>22</v>
      </c>
      <c r="BD92" s="16">
        <v>7.95</v>
      </c>
      <c r="BE92" s="16">
        <v>6</v>
      </c>
      <c r="BF92" s="16" t="s">
        <v>69</v>
      </c>
      <c r="BG92" s="16" t="s">
        <v>497</v>
      </c>
      <c r="BH92" s="16">
        <v>15</v>
      </c>
      <c r="BI92" s="16">
        <v>7.05</v>
      </c>
      <c r="BJ92" s="16">
        <v>58.650000000000006</v>
      </c>
      <c r="BK92" s="16">
        <v>2.2999999999999998</v>
      </c>
      <c r="BL92" s="16">
        <v>14.95</v>
      </c>
    </row>
    <row r="93" spans="1:64" x14ac:dyDescent="0.25">
      <c r="A93" s="24">
        <v>46275</v>
      </c>
      <c r="B93" s="16" t="s">
        <v>498</v>
      </c>
      <c r="C93" s="25">
        <v>79490</v>
      </c>
      <c r="F93" s="25">
        <v>19220</v>
      </c>
      <c r="G93" s="25">
        <v>291504411</v>
      </c>
      <c r="H93" s="16" t="s">
        <v>64</v>
      </c>
      <c r="I93" s="16" t="s">
        <v>65</v>
      </c>
      <c r="J93" s="16" t="s">
        <v>66</v>
      </c>
      <c r="K93" s="17">
        <v>20</v>
      </c>
      <c r="L93" t="s">
        <v>118</v>
      </c>
      <c r="M93" t="s">
        <v>499</v>
      </c>
      <c r="N93" t="s">
        <v>69</v>
      </c>
      <c r="O93" s="16" t="s">
        <v>70</v>
      </c>
      <c r="P93" t="s">
        <v>79</v>
      </c>
      <c r="Q93" s="19">
        <v>50</v>
      </c>
      <c r="R93" t="s">
        <v>73</v>
      </c>
      <c r="S93" s="19">
        <v>0</v>
      </c>
      <c r="T93" s="19">
        <v>9</v>
      </c>
      <c r="U93" s="19">
        <v>8.48</v>
      </c>
      <c r="V93" s="19">
        <v>59</v>
      </c>
      <c r="W93" s="19">
        <v>59</v>
      </c>
      <c r="X93" t="s">
        <v>73</v>
      </c>
      <c r="Y93" s="20">
        <v>0.04</v>
      </c>
      <c r="Z93" s="19">
        <v>2</v>
      </c>
      <c r="AA93" s="19">
        <v>57</v>
      </c>
      <c r="AB93" s="19">
        <v>2</v>
      </c>
      <c r="AC93" t="s">
        <v>73</v>
      </c>
      <c r="AD93" s="19">
        <v>1.66</v>
      </c>
      <c r="AE93" s="19">
        <v>0.34</v>
      </c>
      <c r="AF93" s="19">
        <v>2</v>
      </c>
      <c r="AG93" s="19">
        <v>0</v>
      </c>
      <c r="AH93" s="19">
        <v>59</v>
      </c>
      <c r="AI93" s="19">
        <v>2</v>
      </c>
      <c r="AJ93" t="s">
        <v>73</v>
      </c>
      <c r="AK93" s="19">
        <v>0</v>
      </c>
      <c r="AL93" s="19">
        <v>57</v>
      </c>
      <c r="AM93" t="b">
        <f t="shared" si="6"/>
        <v>1</v>
      </c>
      <c r="AN93" s="21">
        <f t="shared" si="7"/>
        <v>0</v>
      </c>
      <c r="AO93" s="19">
        <f t="shared" si="8"/>
        <v>0</v>
      </c>
      <c r="AP93" s="22">
        <v>15</v>
      </c>
      <c r="AQ93" s="18">
        <f t="shared" si="9"/>
        <v>9</v>
      </c>
      <c r="AR93" s="18">
        <f t="shared" si="10"/>
        <v>6</v>
      </c>
      <c r="AS93" s="23">
        <f t="shared" si="11"/>
        <v>0</v>
      </c>
      <c r="AT93" s="24">
        <v>46275.072222222225</v>
      </c>
      <c r="AU93" s="16" t="s">
        <v>120</v>
      </c>
      <c r="AV93" s="16">
        <v>291504411</v>
      </c>
      <c r="AW93" s="16">
        <v>738614102</v>
      </c>
      <c r="AX93" s="16" t="s">
        <v>500</v>
      </c>
      <c r="AY93" s="16">
        <v>59</v>
      </c>
      <c r="AZ93" s="16">
        <v>50</v>
      </c>
      <c r="BA93" s="16">
        <v>4</v>
      </c>
      <c r="BB93" s="16">
        <v>2</v>
      </c>
      <c r="BC93" s="16">
        <v>15</v>
      </c>
      <c r="BD93" s="16">
        <v>6</v>
      </c>
      <c r="BE93" s="16">
        <v>8</v>
      </c>
      <c r="BF93" s="16" t="s">
        <v>69</v>
      </c>
      <c r="BG93" s="16" t="s">
        <v>501</v>
      </c>
      <c r="BH93" s="16">
        <v>6</v>
      </c>
      <c r="BI93" s="16">
        <v>0</v>
      </c>
      <c r="BJ93" s="16">
        <v>63</v>
      </c>
      <c r="BK93" s="16">
        <v>2</v>
      </c>
      <c r="BL93" s="16">
        <v>15</v>
      </c>
    </row>
    <row r="94" spans="1:64" x14ac:dyDescent="0.25">
      <c r="A94" s="24">
        <v>46275</v>
      </c>
      <c r="B94" s="16" t="s">
        <v>502</v>
      </c>
      <c r="C94" s="25">
        <v>78821</v>
      </c>
      <c r="F94" s="25">
        <v>19221</v>
      </c>
      <c r="G94" s="25">
        <v>291507741</v>
      </c>
      <c r="H94" s="16" t="s">
        <v>64</v>
      </c>
      <c r="I94" s="16" t="s">
        <v>65</v>
      </c>
      <c r="J94" s="16" t="s">
        <v>66</v>
      </c>
      <c r="K94" s="17">
        <v>4927</v>
      </c>
      <c r="L94" t="s">
        <v>503</v>
      </c>
      <c r="M94" t="s">
        <v>504</v>
      </c>
      <c r="N94" t="s">
        <v>69</v>
      </c>
      <c r="O94" s="16" t="s">
        <v>70</v>
      </c>
      <c r="P94" t="s">
        <v>71</v>
      </c>
      <c r="Q94" s="19">
        <v>35</v>
      </c>
      <c r="R94" t="s">
        <v>73</v>
      </c>
      <c r="S94" s="19">
        <v>0</v>
      </c>
      <c r="T94" s="19">
        <v>22</v>
      </c>
      <c r="U94" s="19">
        <v>7.44</v>
      </c>
      <c r="V94" s="19">
        <v>57</v>
      </c>
      <c r="W94" s="19">
        <v>57</v>
      </c>
      <c r="X94" t="s">
        <v>73</v>
      </c>
      <c r="Y94" s="20">
        <v>0.05</v>
      </c>
      <c r="Z94" s="19">
        <v>1.75</v>
      </c>
      <c r="AA94" s="19">
        <v>55.25</v>
      </c>
      <c r="AB94" s="19">
        <v>1.75</v>
      </c>
      <c r="AC94" t="s">
        <v>73</v>
      </c>
      <c r="AD94" s="19">
        <v>1.38</v>
      </c>
      <c r="AE94" s="19">
        <v>0.37</v>
      </c>
      <c r="AF94" s="19">
        <v>1.75</v>
      </c>
      <c r="AG94" s="19">
        <v>0.69</v>
      </c>
      <c r="AH94" s="19">
        <v>56.31</v>
      </c>
      <c r="AI94" s="19">
        <v>1.75</v>
      </c>
      <c r="AJ94" t="s">
        <v>73</v>
      </c>
      <c r="AK94" s="19">
        <v>0</v>
      </c>
      <c r="AL94" s="19">
        <v>55.25</v>
      </c>
      <c r="AM94" t="b">
        <f t="shared" si="6"/>
        <v>1</v>
      </c>
      <c r="AN94" s="21">
        <f t="shared" si="7"/>
        <v>0</v>
      </c>
      <c r="AO94" s="19">
        <f t="shared" si="8"/>
        <v>0</v>
      </c>
      <c r="AP94" s="22">
        <v>22</v>
      </c>
      <c r="AQ94" s="18">
        <f t="shared" si="9"/>
        <v>22</v>
      </c>
      <c r="AR94" s="18">
        <f t="shared" si="10"/>
        <v>0</v>
      </c>
      <c r="AS94" s="23">
        <f t="shared" si="11"/>
        <v>0</v>
      </c>
      <c r="AT94" s="24">
        <v>46275.18472222222</v>
      </c>
      <c r="AU94" s="16" t="s">
        <v>505</v>
      </c>
      <c r="AV94" s="16">
        <v>291507741</v>
      </c>
      <c r="AW94" s="16">
        <v>738637686</v>
      </c>
      <c r="AX94" s="16" t="s">
        <v>106</v>
      </c>
      <c r="AY94" s="16">
        <v>57</v>
      </c>
      <c r="AZ94" s="16">
        <v>35</v>
      </c>
      <c r="BA94" s="16">
        <v>5</v>
      </c>
      <c r="BB94" s="16">
        <v>1.75</v>
      </c>
      <c r="BC94" s="16">
        <v>22</v>
      </c>
      <c r="BD94" s="16">
        <v>0</v>
      </c>
      <c r="BE94" s="16">
        <v>21</v>
      </c>
      <c r="BF94" s="16" t="s">
        <v>69</v>
      </c>
      <c r="BG94" s="16" t="s">
        <v>506</v>
      </c>
      <c r="BH94" s="16">
        <v>0</v>
      </c>
      <c r="BI94" s="16">
        <v>0</v>
      </c>
      <c r="BJ94" s="16">
        <v>55.25</v>
      </c>
      <c r="BK94" s="16">
        <v>1.75</v>
      </c>
      <c r="BL94" s="16">
        <v>22</v>
      </c>
    </row>
    <row r="95" spans="1:64" x14ac:dyDescent="0.25">
      <c r="A95" s="24">
        <v>46275</v>
      </c>
      <c r="B95" s="16" t="s">
        <v>507</v>
      </c>
      <c r="C95" s="25">
        <v>78821</v>
      </c>
      <c r="F95" s="25">
        <v>19222</v>
      </c>
      <c r="G95" s="25">
        <v>291507772</v>
      </c>
      <c r="H95" s="16" t="s">
        <v>64</v>
      </c>
      <c r="I95" s="16" t="s">
        <v>65</v>
      </c>
      <c r="J95" s="16" t="s">
        <v>66</v>
      </c>
      <c r="K95" s="17">
        <v>417</v>
      </c>
      <c r="L95" t="s">
        <v>262</v>
      </c>
      <c r="M95" t="s">
        <v>508</v>
      </c>
      <c r="N95" t="s">
        <v>69</v>
      </c>
      <c r="O95" s="16" t="s">
        <v>70</v>
      </c>
      <c r="P95" t="s">
        <v>79</v>
      </c>
      <c r="Q95" s="19">
        <v>54</v>
      </c>
      <c r="R95" t="s">
        <v>73</v>
      </c>
      <c r="S95" s="19">
        <v>0</v>
      </c>
      <c r="T95" s="19">
        <v>28</v>
      </c>
      <c r="U95" s="19">
        <v>10.69</v>
      </c>
      <c r="V95" s="19">
        <v>82</v>
      </c>
      <c r="W95" s="19">
        <v>82</v>
      </c>
      <c r="X95" t="s">
        <v>73</v>
      </c>
      <c r="Y95" s="20">
        <v>0.05</v>
      </c>
      <c r="Z95" s="19">
        <v>2.7</v>
      </c>
      <c r="AA95" s="19">
        <v>79.3</v>
      </c>
      <c r="AB95" s="19">
        <v>2.7</v>
      </c>
      <c r="AC95" t="s">
        <v>73</v>
      </c>
      <c r="AD95" s="19">
        <v>2.17</v>
      </c>
      <c r="AE95" s="19">
        <v>0.53</v>
      </c>
      <c r="AF95" s="19">
        <v>2.7</v>
      </c>
      <c r="AG95" s="19">
        <v>0</v>
      </c>
      <c r="AH95" s="19">
        <v>82</v>
      </c>
      <c r="AI95" s="19">
        <v>2.7</v>
      </c>
      <c r="AJ95" t="s">
        <v>73</v>
      </c>
      <c r="AK95" s="19">
        <v>0</v>
      </c>
      <c r="AL95" s="19">
        <v>79.3</v>
      </c>
      <c r="AM95" t="b">
        <f t="shared" si="6"/>
        <v>1</v>
      </c>
      <c r="AN95" s="21">
        <f t="shared" si="7"/>
        <v>0</v>
      </c>
      <c r="AO95" s="19">
        <f t="shared" si="8"/>
        <v>0</v>
      </c>
      <c r="AP95" s="22">
        <v>28</v>
      </c>
      <c r="AQ95" s="18">
        <f t="shared" si="9"/>
        <v>28</v>
      </c>
      <c r="AR95" s="18">
        <f t="shared" si="10"/>
        <v>0</v>
      </c>
      <c r="AS95" s="23">
        <f t="shared" si="11"/>
        <v>0</v>
      </c>
      <c r="AT95" s="24">
        <v>46275.178472222222</v>
      </c>
      <c r="AU95" s="16" t="s">
        <v>264</v>
      </c>
      <c r="AV95" s="16">
        <v>291507772</v>
      </c>
      <c r="AW95" s="16">
        <v>738638187</v>
      </c>
      <c r="AX95" s="16" t="s">
        <v>106</v>
      </c>
      <c r="AY95" s="16">
        <v>82</v>
      </c>
      <c r="AZ95" s="16">
        <v>54</v>
      </c>
      <c r="BA95" s="16">
        <v>5</v>
      </c>
      <c r="BB95" s="16">
        <v>2.7</v>
      </c>
      <c r="BC95" s="16">
        <v>28</v>
      </c>
      <c r="BD95" s="16">
        <v>0</v>
      </c>
      <c r="BE95" s="16">
        <v>27</v>
      </c>
      <c r="BF95" s="16" t="s">
        <v>69</v>
      </c>
      <c r="BG95" s="16" t="s">
        <v>265</v>
      </c>
      <c r="BH95" s="16">
        <v>0</v>
      </c>
      <c r="BI95" s="16">
        <v>0</v>
      </c>
      <c r="BJ95" s="16">
        <v>79.3</v>
      </c>
      <c r="BK95" s="16">
        <v>2.7</v>
      </c>
      <c r="BL95" s="16">
        <v>28</v>
      </c>
    </row>
    <row r="96" spans="1:64" x14ac:dyDescent="0.25">
      <c r="A96" s="24">
        <v>46275</v>
      </c>
      <c r="B96" s="16" t="s">
        <v>509</v>
      </c>
      <c r="C96" s="25">
        <v>78922</v>
      </c>
      <c r="F96" s="25">
        <v>19223</v>
      </c>
      <c r="G96" s="25">
        <v>291532177</v>
      </c>
      <c r="H96" s="16" t="s">
        <v>64</v>
      </c>
      <c r="I96" s="16" t="s">
        <v>65</v>
      </c>
      <c r="J96" s="16" t="s">
        <v>66</v>
      </c>
      <c r="K96" s="17">
        <v>3244</v>
      </c>
      <c r="L96" t="s">
        <v>510</v>
      </c>
      <c r="M96" t="s">
        <v>511</v>
      </c>
      <c r="N96" t="s">
        <v>69</v>
      </c>
      <c r="O96" s="16" t="s">
        <v>70</v>
      </c>
      <c r="P96" t="s">
        <v>71</v>
      </c>
      <c r="Q96" s="19">
        <v>47</v>
      </c>
      <c r="R96" t="s">
        <v>72</v>
      </c>
      <c r="S96" s="19">
        <v>4.7</v>
      </c>
      <c r="T96" s="19">
        <v>13</v>
      </c>
      <c r="U96" s="19">
        <v>9.7799999999999994</v>
      </c>
      <c r="V96" s="19">
        <v>55.3</v>
      </c>
      <c r="W96" s="19">
        <v>60</v>
      </c>
      <c r="X96" t="s">
        <v>73</v>
      </c>
      <c r="Y96" s="20">
        <v>0.05</v>
      </c>
      <c r="Z96" s="19">
        <v>2.35</v>
      </c>
      <c r="AA96" s="19">
        <v>57.65</v>
      </c>
      <c r="AB96" s="19">
        <v>2.35</v>
      </c>
      <c r="AC96" t="s">
        <v>73</v>
      </c>
      <c r="AD96" s="19">
        <v>1.86</v>
      </c>
      <c r="AE96" s="19">
        <v>0.49</v>
      </c>
      <c r="AF96" s="19">
        <v>2.35</v>
      </c>
      <c r="AG96" s="19">
        <v>2</v>
      </c>
      <c r="AH96" s="19">
        <v>53.3</v>
      </c>
      <c r="AI96" s="19">
        <v>2.35</v>
      </c>
      <c r="AJ96" t="s">
        <v>73</v>
      </c>
      <c r="AK96" s="19">
        <v>0</v>
      </c>
      <c r="AL96" s="19">
        <v>57.65</v>
      </c>
      <c r="AM96" t="b">
        <f t="shared" si="6"/>
        <v>1</v>
      </c>
      <c r="AN96" s="21">
        <f t="shared" si="7"/>
        <v>0</v>
      </c>
      <c r="AO96" s="19">
        <f t="shared" si="8"/>
        <v>0</v>
      </c>
      <c r="AP96" s="22">
        <v>28</v>
      </c>
      <c r="AQ96" s="18">
        <f t="shared" si="9"/>
        <v>13</v>
      </c>
      <c r="AR96" s="18">
        <f t="shared" si="10"/>
        <v>4.9499999999999993</v>
      </c>
      <c r="AS96" s="23">
        <f t="shared" si="11"/>
        <v>10.050000000000001</v>
      </c>
      <c r="AT96" s="24">
        <v>46275.495138888888</v>
      </c>
      <c r="AU96" s="16" t="s">
        <v>512</v>
      </c>
      <c r="AV96" s="16">
        <v>291532177</v>
      </c>
      <c r="AW96" s="16">
        <v>738727971</v>
      </c>
      <c r="AX96" s="16" t="s">
        <v>110</v>
      </c>
      <c r="AY96" s="16">
        <v>60</v>
      </c>
      <c r="AZ96" s="16">
        <v>47</v>
      </c>
      <c r="BA96" s="16">
        <v>5</v>
      </c>
      <c r="BB96" s="16">
        <v>2.35</v>
      </c>
      <c r="BC96" s="16">
        <v>28</v>
      </c>
      <c r="BD96" s="16">
        <v>4.95</v>
      </c>
      <c r="BE96" s="16">
        <v>12</v>
      </c>
      <c r="BF96" s="16" t="s">
        <v>69</v>
      </c>
      <c r="BG96" s="16" t="s">
        <v>513</v>
      </c>
      <c r="BH96" s="16">
        <v>15</v>
      </c>
      <c r="BI96" s="16">
        <v>10.050000000000001</v>
      </c>
      <c r="BJ96" s="16">
        <v>62.6</v>
      </c>
      <c r="BK96" s="16">
        <v>2.35</v>
      </c>
      <c r="BL96" s="16">
        <v>17.95</v>
      </c>
    </row>
    <row r="97" spans="1:64" x14ac:dyDescent="0.25">
      <c r="A97" s="24">
        <v>46275</v>
      </c>
      <c r="B97" s="16" t="s">
        <v>514</v>
      </c>
      <c r="C97" s="25">
        <v>8922</v>
      </c>
      <c r="F97" s="25">
        <v>19224</v>
      </c>
      <c r="G97" s="25">
        <v>291541303</v>
      </c>
      <c r="H97" s="16" t="s">
        <v>64</v>
      </c>
      <c r="I97" s="16" t="s">
        <v>65</v>
      </c>
      <c r="J97" s="16" t="s">
        <v>66</v>
      </c>
      <c r="K97" s="17">
        <v>102</v>
      </c>
      <c r="L97" t="s">
        <v>133</v>
      </c>
      <c r="M97" t="s">
        <v>515</v>
      </c>
      <c r="N97" t="s">
        <v>69</v>
      </c>
      <c r="O97" s="16" t="s">
        <v>70</v>
      </c>
      <c r="P97" t="s">
        <v>79</v>
      </c>
      <c r="Q97" s="19">
        <v>85</v>
      </c>
      <c r="R97" t="s">
        <v>73</v>
      </c>
      <c r="S97" s="19">
        <v>0</v>
      </c>
      <c r="T97" s="19">
        <v>2</v>
      </c>
      <c r="U97" s="19">
        <v>13.31</v>
      </c>
      <c r="V97" s="19">
        <v>87</v>
      </c>
      <c r="W97" s="19">
        <v>87</v>
      </c>
      <c r="X97" t="s">
        <v>73</v>
      </c>
      <c r="Y97" s="20">
        <v>0.05</v>
      </c>
      <c r="Z97" s="19">
        <v>4.25</v>
      </c>
      <c r="AA97" s="19">
        <v>82.75</v>
      </c>
      <c r="AB97" s="19">
        <v>4.25</v>
      </c>
      <c r="AC97" t="s">
        <v>73</v>
      </c>
      <c r="AD97" s="19">
        <v>3.58</v>
      </c>
      <c r="AE97" s="19">
        <v>0.67</v>
      </c>
      <c r="AF97" s="19">
        <v>4.25</v>
      </c>
      <c r="AG97" s="19">
        <v>0</v>
      </c>
      <c r="AH97" s="19">
        <v>87</v>
      </c>
      <c r="AI97" s="19">
        <v>4.25</v>
      </c>
      <c r="AJ97" t="s">
        <v>73</v>
      </c>
      <c r="AK97" s="19">
        <v>0</v>
      </c>
      <c r="AL97" s="19">
        <v>82.75</v>
      </c>
      <c r="AM97" t="b">
        <f t="shared" si="6"/>
        <v>1</v>
      </c>
      <c r="AN97" s="21">
        <f t="shared" si="7"/>
        <v>0</v>
      </c>
      <c r="AO97" s="19">
        <f t="shared" si="8"/>
        <v>0</v>
      </c>
      <c r="AP97" s="22">
        <v>17</v>
      </c>
      <c r="AQ97" s="18">
        <f t="shared" si="9"/>
        <v>2</v>
      </c>
      <c r="AR97" s="18">
        <f t="shared" si="10"/>
        <v>4.9499999999999993</v>
      </c>
      <c r="AS97" s="23">
        <f t="shared" si="11"/>
        <v>10.050000000000001</v>
      </c>
      <c r="AT97" s="24">
        <v>46275.541666666664</v>
      </c>
      <c r="AU97" s="16" t="s">
        <v>135</v>
      </c>
      <c r="AV97" s="16">
        <v>291541303</v>
      </c>
      <c r="AW97" s="16">
        <v>738753490</v>
      </c>
      <c r="AX97" s="16" t="s">
        <v>110</v>
      </c>
      <c r="AY97" s="16">
        <v>87</v>
      </c>
      <c r="AZ97" s="16">
        <v>85</v>
      </c>
      <c r="BA97" s="16">
        <v>5</v>
      </c>
      <c r="BB97" s="16">
        <v>4.25</v>
      </c>
      <c r="BC97" s="16">
        <v>17</v>
      </c>
      <c r="BD97" s="16">
        <v>4.95</v>
      </c>
      <c r="BE97" s="16">
        <v>1</v>
      </c>
      <c r="BF97" s="16" t="s">
        <v>69</v>
      </c>
      <c r="BG97" s="16" t="s">
        <v>516</v>
      </c>
      <c r="BH97" s="16">
        <v>15</v>
      </c>
      <c r="BI97" s="16">
        <v>10.050000000000001</v>
      </c>
      <c r="BJ97" s="16">
        <v>87.7</v>
      </c>
      <c r="BK97" s="16">
        <v>4.25</v>
      </c>
      <c r="BL97" s="16">
        <v>6.9499999999999993</v>
      </c>
    </row>
    <row r="98" spans="1:64" x14ac:dyDescent="0.25">
      <c r="A98" s="24">
        <v>46275</v>
      </c>
      <c r="B98" s="16" t="s">
        <v>517</v>
      </c>
      <c r="C98" s="25">
        <v>66480</v>
      </c>
      <c r="F98" s="25">
        <v>19225</v>
      </c>
      <c r="G98" s="25">
        <v>291546987</v>
      </c>
      <c r="H98" s="16" t="s">
        <v>64</v>
      </c>
      <c r="I98" s="16" t="s">
        <v>65</v>
      </c>
      <c r="J98" s="16" t="s">
        <v>66</v>
      </c>
      <c r="K98" s="17">
        <v>7163</v>
      </c>
      <c r="L98" t="s">
        <v>239</v>
      </c>
      <c r="M98" t="s">
        <v>518</v>
      </c>
      <c r="N98" t="s">
        <v>69</v>
      </c>
      <c r="O98" s="16" t="s">
        <v>70</v>
      </c>
      <c r="P98" t="s">
        <v>86</v>
      </c>
      <c r="Q98" s="19">
        <v>38</v>
      </c>
      <c r="R98" t="s">
        <v>73</v>
      </c>
      <c r="S98" s="19">
        <v>0</v>
      </c>
      <c r="T98" s="19">
        <v>3</v>
      </c>
      <c r="U98" s="19">
        <v>6.92</v>
      </c>
      <c r="V98" s="19">
        <v>41</v>
      </c>
      <c r="W98" s="19">
        <v>41</v>
      </c>
      <c r="X98" t="s">
        <v>73</v>
      </c>
      <c r="Y98" s="20">
        <v>0.05</v>
      </c>
      <c r="Z98" s="19">
        <v>1.9</v>
      </c>
      <c r="AA98" s="19">
        <v>39.1</v>
      </c>
      <c r="AB98" s="19">
        <v>1.9</v>
      </c>
      <c r="AC98" t="s">
        <v>73</v>
      </c>
      <c r="AD98" s="19">
        <v>1.55</v>
      </c>
      <c r="AE98" s="19">
        <v>0.35</v>
      </c>
      <c r="AF98" s="19">
        <v>1.9</v>
      </c>
      <c r="AG98" s="19">
        <v>0</v>
      </c>
      <c r="AH98" s="19">
        <v>41</v>
      </c>
      <c r="AI98" s="19">
        <v>1.9</v>
      </c>
      <c r="AJ98" t="s">
        <v>73</v>
      </c>
      <c r="AK98" s="19">
        <v>0</v>
      </c>
      <c r="AL98" s="19">
        <v>39.1</v>
      </c>
      <c r="AM98" t="b">
        <f t="shared" si="6"/>
        <v>1</v>
      </c>
      <c r="AN98" s="21">
        <f t="shared" si="7"/>
        <v>0</v>
      </c>
      <c r="AO98" s="19">
        <f t="shared" si="8"/>
        <v>0</v>
      </c>
      <c r="AP98" s="22">
        <v>15</v>
      </c>
      <c r="AQ98" s="18">
        <f t="shared" si="9"/>
        <v>3</v>
      </c>
      <c r="AR98" s="18">
        <f t="shared" si="10"/>
        <v>7</v>
      </c>
      <c r="AS98" s="23">
        <f t="shared" si="11"/>
        <v>5</v>
      </c>
      <c r="AT98" s="24">
        <v>46275.558333333334</v>
      </c>
      <c r="AU98" s="16" t="s">
        <v>241</v>
      </c>
      <c r="AV98" s="16">
        <v>291546987</v>
      </c>
      <c r="AW98" s="16">
        <v>738767046</v>
      </c>
      <c r="AX98" s="16" t="s">
        <v>110</v>
      </c>
      <c r="AY98" s="16">
        <v>41</v>
      </c>
      <c r="AZ98" s="16">
        <v>38</v>
      </c>
      <c r="BA98" s="16">
        <v>5</v>
      </c>
      <c r="BB98" s="16">
        <v>1.9</v>
      </c>
      <c r="BC98" s="16">
        <v>15</v>
      </c>
      <c r="BD98" s="16">
        <v>7</v>
      </c>
      <c r="BE98" s="16">
        <v>2</v>
      </c>
      <c r="BF98" s="16" t="s">
        <v>69</v>
      </c>
      <c r="BG98" s="16" t="s">
        <v>282</v>
      </c>
      <c r="BH98" s="16">
        <v>12</v>
      </c>
      <c r="BI98" s="16">
        <v>5</v>
      </c>
      <c r="BJ98" s="16">
        <v>46.1</v>
      </c>
      <c r="BK98" s="16">
        <v>1.9</v>
      </c>
      <c r="BL98" s="16">
        <v>10</v>
      </c>
    </row>
    <row r="99" spans="1:64" x14ac:dyDescent="0.25">
      <c r="A99" s="24">
        <v>46275</v>
      </c>
      <c r="B99" s="16" t="s">
        <v>519</v>
      </c>
      <c r="C99" s="25">
        <v>44</v>
      </c>
      <c r="F99" s="25">
        <v>19226</v>
      </c>
      <c r="G99" s="25">
        <v>291549258</v>
      </c>
      <c r="H99" s="16" t="s">
        <v>64</v>
      </c>
      <c r="I99" s="16" t="s">
        <v>65</v>
      </c>
      <c r="J99" s="16" t="s">
        <v>66</v>
      </c>
      <c r="K99" s="17">
        <v>11</v>
      </c>
      <c r="L99" t="s">
        <v>520</v>
      </c>
      <c r="M99" t="s">
        <v>521</v>
      </c>
      <c r="N99" t="s">
        <v>69</v>
      </c>
      <c r="O99" s="16" t="s">
        <v>70</v>
      </c>
      <c r="P99" t="s">
        <v>71</v>
      </c>
      <c r="Q99" s="19">
        <v>71</v>
      </c>
      <c r="R99" t="s">
        <v>73</v>
      </c>
      <c r="S99" s="19">
        <v>0</v>
      </c>
      <c r="T99" s="19">
        <v>15</v>
      </c>
      <c r="U99" s="19">
        <v>11.22</v>
      </c>
      <c r="V99" s="19">
        <v>86</v>
      </c>
      <c r="W99" s="19">
        <v>86</v>
      </c>
      <c r="X99" t="s">
        <v>73</v>
      </c>
      <c r="Y99" s="20">
        <v>0.05</v>
      </c>
      <c r="Z99" s="19">
        <v>3.55</v>
      </c>
      <c r="AA99" s="19">
        <v>82.45</v>
      </c>
      <c r="AB99" s="19">
        <v>3.55</v>
      </c>
      <c r="AC99" t="s">
        <v>73</v>
      </c>
      <c r="AD99" s="19">
        <v>2.99</v>
      </c>
      <c r="AE99" s="19">
        <v>0.56000000000000005</v>
      </c>
      <c r="AF99" s="19">
        <v>3.55</v>
      </c>
      <c r="AG99" s="19">
        <v>0.63</v>
      </c>
      <c r="AH99" s="19">
        <v>85.37</v>
      </c>
      <c r="AI99" s="19">
        <v>3.55</v>
      </c>
      <c r="AJ99" t="s">
        <v>73</v>
      </c>
      <c r="AK99" s="19">
        <v>0</v>
      </c>
      <c r="AL99" s="19">
        <v>82.45</v>
      </c>
      <c r="AM99" t="b">
        <f t="shared" si="6"/>
        <v>1</v>
      </c>
      <c r="AN99" s="21">
        <f t="shared" si="7"/>
        <v>0</v>
      </c>
      <c r="AO99" s="19">
        <f t="shared" si="8"/>
        <v>0</v>
      </c>
      <c r="AP99" s="22">
        <v>15</v>
      </c>
      <c r="AQ99" s="18">
        <f t="shared" si="9"/>
        <v>15</v>
      </c>
      <c r="AR99" s="18">
        <f t="shared" si="10"/>
        <v>0</v>
      </c>
      <c r="AS99" s="23">
        <f t="shared" si="11"/>
        <v>0</v>
      </c>
      <c r="AT99" s="24">
        <v>46275.568055555559</v>
      </c>
      <c r="AU99" s="16" t="s">
        <v>522</v>
      </c>
      <c r="AV99" s="16">
        <v>291549258</v>
      </c>
      <c r="AW99" s="16">
        <v>738772834</v>
      </c>
      <c r="AX99" s="16" t="s">
        <v>110</v>
      </c>
      <c r="AY99" s="16">
        <v>86</v>
      </c>
      <c r="AZ99" s="16">
        <v>71</v>
      </c>
      <c r="BA99" s="16">
        <v>5</v>
      </c>
      <c r="BB99" s="16">
        <v>3.55</v>
      </c>
      <c r="BC99" s="16">
        <v>15</v>
      </c>
      <c r="BD99" s="16">
        <v>0</v>
      </c>
      <c r="BE99" s="16">
        <v>14</v>
      </c>
      <c r="BF99" s="16" t="s">
        <v>69</v>
      </c>
      <c r="BG99" s="16" t="s">
        <v>523</v>
      </c>
      <c r="BH99" s="16">
        <v>0</v>
      </c>
      <c r="BI99" s="16">
        <v>0</v>
      </c>
      <c r="BJ99" s="16">
        <v>82.45</v>
      </c>
      <c r="BK99" s="16">
        <v>3.55</v>
      </c>
      <c r="BL99" s="16">
        <v>15</v>
      </c>
    </row>
    <row r="100" spans="1:64" x14ac:dyDescent="0.25">
      <c r="A100" s="24">
        <v>46275</v>
      </c>
      <c r="B100" s="16" t="s">
        <v>524</v>
      </c>
      <c r="C100" s="25">
        <v>47710</v>
      </c>
      <c r="F100" s="25">
        <v>19227</v>
      </c>
      <c r="G100" s="25">
        <v>291554517</v>
      </c>
      <c r="H100" s="16" t="s">
        <v>64</v>
      </c>
      <c r="I100" s="16" t="s">
        <v>65</v>
      </c>
      <c r="J100" s="16" t="s">
        <v>66</v>
      </c>
      <c r="K100" s="17">
        <v>20</v>
      </c>
      <c r="L100" t="s">
        <v>118</v>
      </c>
      <c r="M100" t="s">
        <v>525</v>
      </c>
      <c r="N100" t="s">
        <v>69</v>
      </c>
      <c r="O100" s="16" t="s">
        <v>70</v>
      </c>
      <c r="P100" t="s">
        <v>175</v>
      </c>
      <c r="Q100" s="19">
        <v>67</v>
      </c>
      <c r="R100" t="s">
        <v>73</v>
      </c>
      <c r="S100" s="19">
        <v>0</v>
      </c>
      <c r="T100" s="19">
        <v>9</v>
      </c>
      <c r="U100" s="19">
        <v>10.7</v>
      </c>
      <c r="V100" s="19">
        <v>76</v>
      </c>
      <c r="W100" s="19">
        <v>76</v>
      </c>
      <c r="X100" t="s">
        <v>73</v>
      </c>
      <c r="Y100" s="20">
        <v>0.04</v>
      </c>
      <c r="Z100" s="19">
        <v>2.68</v>
      </c>
      <c r="AA100" s="19">
        <v>73.319999999999993</v>
      </c>
      <c r="AB100" s="19">
        <v>2.68</v>
      </c>
      <c r="AC100" t="s">
        <v>73</v>
      </c>
      <c r="AD100" s="19">
        <v>2.25</v>
      </c>
      <c r="AE100" s="19">
        <v>0.43</v>
      </c>
      <c r="AF100" s="19">
        <v>2.68</v>
      </c>
      <c r="AG100" s="19">
        <v>19.46</v>
      </c>
      <c r="AH100" s="19">
        <v>56.54</v>
      </c>
      <c r="AI100" s="19">
        <v>2.68</v>
      </c>
      <c r="AJ100" t="s">
        <v>73</v>
      </c>
      <c r="AK100" s="19">
        <v>0</v>
      </c>
      <c r="AL100" s="19">
        <v>73.319999999999993</v>
      </c>
      <c r="AM100" t="b">
        <f t="shared" si="6"/>
        <v>1</v>
      </c>
      <c r="AN100" s="21">
        <f t="shared" si="7"/>
        <v>0</v>
      </c>
      <c r="AO100" s="19">
        <f t="shared" si="8"/>
        <v>0</v>
      </c>
      <c r="AP100" s="22">
        <v>15</v>
      </c>
      <c r="AQ100" s="18">
        <f t="shared" si="9"/>
        <v>9</v>
      </c>
      <c r="AR100" s="18">
        <f t="shared" si="10"/>
        <v>6</v>
      </c>
      <c r="AS100" s="23">
        <f t="shared" si="11"/>
        <v>0</v>
      </c>
      <c r="AT100" s="24">
        <v>46275.582638888889</v>
      </c>
      <c r="AU100" s="16" t="s">
        <v>120</v>
      </c>
      <c r="AV100" s="16">
        <v>291554517</v>
      </c>
      <c r="AW100" s="16">
        <v>738785158</v>
      </c>
      <c r="AX100" s="16" t="s">
        <v>526</v>
      </c>
      <c r="AY100" s="16">
        <v>76</v>
      </c>
      <c r="AZ100" s="16">
        <v>67</v>
      </c>
      <c r="BA100" s="16">
        <v>4</v>
      </c>
      <c r="BB100" s="16">
        <v>2.68</v>
      </c>
      <c r="BC100" s="16">
        <v>15</v>
      </c>
      <c r="BD100" s="16">
        <v>6</v>
      </c>
      <c r="BE100" s="16">
        <v>8</v>
      </c>
      <c r="BF100" s="16" t="s">
        <v>69</v>
      </c>
      <c r="BG100" s="16" t="s">
        <v>527</v>
      </c>
      <c r="BH100" s="16">
        <v>6</v>
      </c>
      <c r="BI100" s="16">
        <v>0</v>
      </c>
      <c r="BJ100" s="16">
        <v>79.319999999999993</v>
      </c>
      <c r="BK100" s="16">
        <v>2.68</v>
      </c>
      <c r="BL100" s="16">
        <v>15</v>
      </c>
    </row>
    <row r="101" spans="1:64" x14ac:dyDescent="0.25">
      <c r="A101" s="24">
        <v>46275</v>
      </c>
      <c r="B101" s="16" t="s">
        <v>528</v>
      </c>
      <c r="C101" s="25">
        <v>66722</v>
      </c>
      <c r="F101" s="25">
        <v>19228</v>
      </c>
      <c r="G101" s="25">
        <v>291556006</v>
      </c>
      <c r="H101" s="16" t="s">
        <v>64</v>
      </c>
      <c r="I101" s="16" t="s">
        <v>65</v>
      </c>
      <c r="J101" s="16" t="s">
        <v>66</v>
      </c>
      <c r="K101" s="17">
        <v>20</v>
      </c>
      <c r="L101" t="s">
        <v>118</v>
      </c>
      <c r="M101" t="s">
        <v>529</v>
      </c>
      <c r="N101" t="s">
        <v>69</v>
      </c>
      <c r="O101" s="16" t="s">
        <v>70</v>
      </c>
      <c r="P101" t="s">
        <v>71</v>
      </c>
      <c r="Q101" s="19">
        <v>41.5</v>
      </c>
      <c r="R101" t="s">
        <v>72</v>
      </c>
      <c r="S101" s="19">
        <v>4.1500000000000004</v>
      </c>
      <c r="T101" s="19">
        <v>9</v>
      </c>
      <c r="U101" s="19">
        <v>7.37</v>
      </c>
      <c r="V101" s="19">
        <v>46.35</v>
      </c>
      <c r="W101" s="19">
        <v>50.5</v>
      </c>
      <c r="X101" t="s">
        <v>73</v>
      </c>
      <c r="Y101" s="20">
        <v>0.04</v>
      </c>
      <c r="Z101" s="19">
        <v>1.66</v>
      </c>
      <c r="AA101" s="19">
        <v>48.84</v>
      </c>
      <c r="AB101" s="19">
        <v>1.66</v>
      </c>
      <c r="AC101" t="s">
        <v>73</v>
      </c>
      <c r="AD101" s="19">
        <v>1.37</v>
      </c>
      <c r="AE101" s="19">
        <v>0.28999999999999998</v>
      </c>
      <c r="AF101" s="19">
        <v>1.66</v>
      </c>
      <c r="AG101" s="19">
        <v>20</v>
      </c>
      <c r="AH101" s="19">
        <v>26.35</v>
      </c>
      <c r="AI101" s="19">
        <v>1.66</v>
      </c>
      <c r="AJ101" t="s">
        <v>73</v>
      </c>
      <c r="AK101" s="19">
        <v>0</v>
      </c>
      <c r="AL101" s="19">
        <v>48.84</v>
      </c>
      <c r="AM101" t="b">
        <f t="shared" si="6"/>
        <v>1</v>
      </c>
      <c r="AN101" s="21">
        <f t="shared" si="7"/>
        <v>0</v>
      </c>
      <c r="AO101" s="19">
        <f t="shared" si="8"/>
        <v>0</v>
      </c>
      <c r="AP101" s="22">
        <v>15</v>
      </c>
      <c r="AQ101" s="18">
        <f t="shared" si="9"/>
        <v>9</v>
      </c>
      <c r="AR101" s="18">
        <f t="shared" si="10"/>
        <v>6</v>
      </c>
      <c r="AS101" s="23">
        <f t="shared" si="11"/>
        <v>0</v>
      </c>
      <c r="AT101" s="24">
        <v>46275.584722222222</v>
      </c>
      <c r="AU101" s="16" t="s">
        <v>120</v>
      </c>
      <c r="AV101" s="16">
        <v>291556006</v>
      </c>
      <c r="AW101" s="16">
        <v>738786853</v>
      </c>
      <c r="AX101" s="16" t="s">
        <v>210</v>
      </c>
      <c r="AY101" s="16">
        <v>50.5</v>
      </c>
      <c r="AZ101" s="16">
        <v>41.5</v>
      </c>
      <c r="BA101" s="16">
        <v>4</v>
      </c>
      <c r="BB101" s="16">
        <v>1.66</v>
      </c>
      <c r="BC101" s="16">
        <v>15</v>
      </c>
      <c r="BD101" s="16">
        <v>6</v>
      </c>
      <c r="BE101" s="16">
        <v>8</v>
      </c>
      <c r="BF101" s="16" t="s">
        <v>69</v>
      </c>
      <c r="BG101" s="16" t="s">
        <v>530</v>
      </c>
      <c r="BH101" s="16">
        <v>6</v>
      </c>
      <c r="BI101" s="16">
        <v>0</v>
      </c>
      <c r="BJ101" s="16">
        <v>54.84</v>
      </c>
      <c r="BK101" s="16">
        <v>1.66</v>
      </c>
      <c r="BL101" s="16">
        <v>15</v>
      </c>
    </row>
    <row r="102" spans="1:64" x14ac:dyDescent="0.25">
      <c r="A102" s="24">
        <v>46275</v>
      </c>
      <c r="B102" s="16" t="s">
        <v>288</v>
      </c>
      <c r="C102" s="25">
        <v>73086</v>
      </c>
      <c r="F102" s="25">
        <v>19230</v>
      </c>
      <c r="G102" s="25">
        <v>291561213</v>
      </c>
      <c r="H102" s="16" t="s">
        <v>64</v>
      </c>
      <c r="I102" s="16" t="s">
        <v>65</v>
      </c>
      <c r="J102" s="16" t="s">
        <v>66</v>
      </c>
      <c r="K102" s="17">
        <v>20</v>
      </c>
      <c r="L102" t="s">
        <v>118</v>
      </c>
      <c r="M102" t="s">
        <v>531</v>
      </c>
      <c r="N102" t="s">
        <v>69</v>
      </c>
      <c r="O102" s="16" t="s">
        <v>70</v>
      </c>
      <c r="P102" t="s">
        <v>79</v>
      </c>
      <c r="Q102" s="19">
        <v>40.5</v>
      </c>
      <c r="R102" t="s">
        <v>72</v>
      </c>
      <c r="S102" s="19">
        <v>4.05</v>
      </c>
      <c r="T102" s="19">
        <v>11</v>
      </c>
      <c r="U102" s="19">
        <v>7.5</v>
      </c>
      <c r="V102" s="19">
        <v>47.45</v>
      </c>
      <c r="W102" s="19">
        <v>51.5</v>
      </c>
      <c r="X102" t="s">
        <v>73</v>
      </c>
      <c r="Y102" s="20">
        <v>0.04</v>
      </c>
      <c r="Z102" s="19">
        <v>1.62</v>
      </c>
      <c r="AA102" s="19">
        <v>49.88</v>
      </c>
      <c r="AB102" s="19">
        <v>1.62</v>
      </c>
      <c r="AC102" t="s">
        <v>73</v>
      </c>
      <c r="AD102" s="19">
        <v>1.32</v>
      </c>
      <c r="AE102" s="19">
        <v>0.3</v>
      </c>
      <c r="AF102" s="19">
        <v>1.62</v>
      </c>
      <c r="AG102" s="19">
        <v>0</v>
      </c>
      <c r="AH102" s="19">
        <v>47.45</v>
      </c>
      <c r="AI102" s="19">
        <v>1.62</v>
      </c>
      <c r="AJ102" t="s">
        <v>73</v>
      </c>
      <c r="AK102" s="19">
        <v>0</v>
      </c>
      <c r="AL102" s="19">
        <v>49.88</v>
      </c>
      <c r="AM102" t="b">
        <f t="shared" si="6"/>
        <v>1</v>
      </c>
      <c r="AN102" s="21">
        <f t="shared" si="7"/>
        <v>0</v>
      </c>
      <c r="AO102" s="19">
        <f t="shared" si="8"/>
        <v>0</v>
      </c>
      <c r="AP102" s="22">
        <v>17</v>
      </c>
      <c r="AQ102" s="18">
        <f t="shared" si="9"/>
        <v>11</v>
      </c>
      <c r="AR102" s="18">
        <f t="shared" si="10"/>
        <v>6</v>
      </c>
      <c r="AS102" s="23">
        <f t="shared" si="11"/>
        <v>0</v>
      </c>
      <c r="AT102" s="24">
        <v>46275.602083333331</v>
      </c>
      <c r="AU102" s="16" t="s">
        <v>120</v>
      </c>
      <c r="AV102" s="16">
        <v>291561213</v>
      </c>
      <c r="AW102" s="16">
        <v>738803425</v>
      </c>
      <c r="AX102" s="16" t="s">
        <v>532</v>
      </c>
      <c r="AY102" s="16">
        <v>51.5</v>
      </c>
      <c r="AZ102" s="16">
        <v>40.5</v>
      </c>
      <c r="BA102" s="16">
        <v>4</v>
      </c>
      <c r="BB102" s="16">
        <v>1.62</v>
      </c>
      <c r="BC102" s="16">
        <v>17</v>
      </c>
      <c r="BD102" s="16">
        <v>6</v>
      </c>
      <c r="BE102" s="16">
        <v>10</v>
      </c>
      <c r="BF102" s="16" t="s">
        <v>69</v>
      </c>
      <c r="BG102" s="16" t="s">
        <v>533</v>
      </c>
      <c r="BH102" s="16">
        <v>6</v>
      </c>
      <c r="BI102" s="16">
        <v>0</v>
      </c>
      <c r="BJ102" s="16">
        <v>55.88</v>
      </c>
      <c r="BK102" s="16">
        <v>1.62</v>
      </c>
      <c r="BL102" s="16">
        <v>17</v>
      </c>
    </row>
    <row r="103" spans="1:64" x14ac:dyDescent="0.25">
      <c r="A103" s="24">
        <v>46275</v>
      </c>
      <c r="B103" s="16" t="s">
        <v>534</v>
      </c>
      <c r="C103" s="25">
        <v>75753</v>
      </c>
      <c r="F103" s="25">
        <v>19231</v>
      </c>
      <c r="G103" s="25">
        <v>291567682</v>
      </c>
      <c r="H103" s="16" t="s">
        <v>64</v>
      </c>
      <c r="I103" s="16" t="s">
        <v>65</v>
      </c>
      <c r="J103" s="16" t="s">
        <v>66</v>
      </c>
      <c r="K103" s="17">
        <v>20</v>
      </c>
      <c r="L103" t="s">
        <v>118</v>
      </c>
      <c r="M103" t="s">
        <v>535</v>
      </c>
      <c r="N103" t="s">
        <v>69</v>
      </c>
      <c r="O103" s="16" t="s">
        <v>70</v>
      </c>
      <c r="P103" t="s">
        <v>86</v>
      </c>
      <c r="Q103" s="19">
        <v>68.5</v>
      </c>
      <c r="R103" t="s">
        <v>73</v>
      </c>
      <c r="S103" s="19">
        <v>0</v>
      </c>
      <c r="T103" s="19">
        <v>9</v>
      </c>
      <c r="U103" s="19">
        <v>10.89</v>
      </c>
      <c r="V103" s="19">
        <v>77.5</v>
      </c>
      <c r="W103" s="19">
        <v>77.5</v>
      </c>
      <c r="X103" t="s">
        <v>73</v>
      </c>
      <c r="Y103" s="20">
        <v>0.04</v>
      </c>
      <c r="Z103" s="19">
        <v>2.74</v>
      </c>
      <c r="AA103" s="19">
        <v>74.760000000000005</v>
      </c>
      <c r="AB103" s="19">
        <v>2.74</v>
      </c>
      <c r="AC103" t="s">
        <v>73</v>
      </c>
      <c r="AD103" s="19">
        <v>2.2999999999999998</v>
      </c>
      <c r="AE103" s="19">
        <v>0.44</v>
      </c>
      <c r="AF103" s="19">
        <v>2.74</v>
      </c>
      <c r="AG103" s="19">
        <v>0</v>
      </c>
      <c r="AH103" s="19">
        <v>77.5</v>
      </c>
      <c r="AI103" s="19">
        <v>2.74</v>
      </c>
      <c r="AJ103" t="s">
        <v>73</v>
      </c>
      <c r="AK103" s="19">
        <v>0</v>
      </c>
      <c r="AL103" s="19">
        <v>74.760000000000005</v>
      </c>
      <c r="AM103" t="b">
        <f t="shared" si="6"/>
        <v>1</v>
      </c>
      <c r="AN103" s="21">
        <f t="shared" si="7"/>
        <v>0</v>
      </c>
      <c r="AO103" s="19">
        <f t="shared" si="8"/>
        <v>0</v>
      </c>
      <c r="AP103" s="22">
        <v>15</v>
      </c>
      <c r="AQ103" s="18">
        <f t="shared" si="9"/>
        <v>9</v>
      </c>
      <c r="AR103" s="18">
        <f t="shared" si="10"/>
        <v>6</v>
      </c>
      <c r="AS103" s="23">
        <f t="shared" si="11"/>
        <v>0</v>
      </c>
      <c r="AT103" s="24">
        <v>46275.62222222222</v>
      </c>
      <c r="AU103" s="16" t="s">
        <v>120</v>
      </c>
      <c r="AV103" s="16">
        <v>291567682</v>
      </c>
      <c r="AW103" s="16">
        <v>738818040</v>
      </c>
      <c r="AX103" s="16" t="s">
        <v>303</v>
      </c>
      <c r="AY103" s="16">
        <v>77.5</v>
      </c>
      <c r="AZ103" s="16">
        <v>68.5</v>
      </c>
      <c r="BA103" s="16">
        <v>4</v>
      </c>
      <c r="BB103" s="16">
        <v>2.74</v>
      </c>
      <c r="BC103" s="16">
        <v>15</v>
      </c>
      <c r="BD103" s="16">
        <v>6</v>
      </c>
      <c r="BE103" s="16">
        <v>8</v>
      </c>
      <c r="BF103" s="16" t="s">
        <v>69</v>
      </c>
      <c r="BG103" s="16" t="s">
        <v>536</v>
      </c>
      <c r="BH103" s="16">
        <v>6</v>
      </c>
      <c r="BI103" s="16">
        <v>0</v>
      </c>
      <c r="BJ103" s="16">
        <v>80.760000000000005</v>
      </c>
      <c r="BK103" s="16">
        <v>2.74</v>
      </c>
      <c r="BL103" s="16">
        <v>15</v>
      </c>
    </row>
    <row r="104" spans="1:64" x14ac:dyDescent="0.25">
      <c r="A104" s="24">
        <v>46275</v>
      </c>
      <c r="B104" s="16" t="s">
        <v>537</v>
      </c>
      <c r="C104" s="25">
        <v>18</v>
      </c>
      <c r="D104" s="17" t="s">
        <v>538</v>
      </c>
      <c r="F104" s="25">
        <v>19232</v>
      </c>
      <c r="G104" s="25">
        <v>291575871</v>
      </c>
      <c r="H104" s="16" t="s">
        <v>64</v>
      </c>
      <c r="I104" s="16" t="s">
        <v>65</v>
      </c>
      <c r="J104" s="16" t="s">
        <v>66</v>
      </c>
      <c r="K104" s="17">
        <v>16106</v>
      </c>
      <c r="L104" t="s">
        <v>428</v>
      </c>
      <c r="M104" t="s">
        <v>539</v>
      </c>
      <c r="N104" t="s">
        <v>69</v>
      </c>
      <c r="O104" s="16" t="s">
        <v>70</v>
      </c>
      <c r="P104" t="s">
        <v>79</v>
      </c>
      <c r="Q104" s="19">
        <v>58</v>
      </c>
      <c r="R104" t="s">
        <v>72</v>
      </c>
      <c r="S104" s="19">
        <v>5.8</v>
      </c>
      <c r="T104" s="19">
        <v>15</v>
      </c>
      <c r="U104" s="19">
        <v>9.5299999999999994</v>
      </c>
      <c r="V104" s="19">
        <v>67.2</v>
      </c>
      <c r="W104" s="19">
        <v>73</v>
      </c>
      <c r="X104" t="s">
        <v>73</v>
      </c>
      <c r="Y104" s="20">
        <v>0.05</v>
      </c>
      <c r="Z104" s="19">
        <v>2.9</v>
      </c>
      <c r="AA104" s="19">
        <v>70.099999999999994</v>
      </c>
      <c r="AB104" s="19">
        <v>2.9</v>
      </c>
      <c r="AC104" t="s">
        <v>73</v>
      </c>
      <c r="AD104" s="19">
        <v>2.42</v>
      </c>
      <c r="AE104" s="19">
        <v>0.48</v>
      </c>
      <c r="AF104" s="19">
        <v>2.9</v>
      </c>
      <c r="AG104" s="19">
        <v>0</v>
      </c>
      <c r="AH104" s="19">
        <v>67.2</v>
      </c>
      <c r="AI104" s="19">
        <v>2.9</v>
      </c>
      <c r="AJ104" t="s">
        <v>73</v>
      </c>
      <c r="AK104" s="19">
        <v>0</v>
      </c>
      <c r="AL104" s="19">
        <v>70.099999999999994</v>
      </c>
      <c r="AM104" t="b">
        <f t="shared" si="6"/>
        <v>1</v>
      </c>
      <c r="AN104" s="21">
        <f t="shared" si="7"/>
        <v>0</v>
      </c>
      <c r="AO104" s="19">
        <f t="shared" si="8"/>
        <v>0</v>
      </c>
      <c r="AP104" s="22">
        <v>15</v>
      </c>
      <c r="AQ104" s="18">
        <f t="shared" si="9"/>
        <v>15</v>
      </c>
      <c r="AR104" s="18">
        <f t="shared" si="10"/>
        <v>0</v>
      </c>
      <c r="AS104" s="23">
        <f t="shared" si="11"/>
        <v>0</v>
      </c>
      <c r="AT104" s="24">
        <v>46275.646527777775</v>
      </c>
      <c r="AU104" s="16" t="s">
        <v>428</v>
      </c>
      <c r="AV104" s="16">
        <v>291575871</v>
      </c>
      <c r="AW104" s="16">
        <v>738841406</v>
      </c>
      <c r="AX104" s="16" t="s">
        <v>110</v>
      </c>
      <c r="AY104" s="16">
        <v>73</v>
      </c>
      <c r="AZ104" s="16">
        <v>58</v>
      </c>
      <c r="BA104" s="16">
        <v>5</v>
      </c>
      <c r="BB104" s="16">
        <v>2.9</v>
      </c>
      <c r="BC104" s="16">
        <v>15</v>
      </c>
      <c r="BD104" s="16">
        <v>0</v>
      </c>
      <c r="BE104" s="16">
        <v>14</v>
      </c>
      <c r="BF104" s="16" t="s">
        <v>69</v>
      </c>
      <c r="BG104" s="16" t="s">
        <v>540</v>
      </c>
      <c r="BH104" s="16">
        <v>0</v>
      </c>
      <c r="BI104" s="16">
        <v>0</v>
      </c>
      <c r="BJ104" s="16">
        <v>70.099999999999994</v>
      </c>
      <c r="BK104" s="16">
        <v>2.9</v>
      </c>
      <c r="BL104" s="16">
        <v>15</v>
      </c>
    </row>
    <row r="105" spans="1:64" x14ac:dyDescent="0.25">
      <c r="A105" s="24">
        <v>46275</v>
      </c>
      <c r="B105" s="16" t="s">
        <v>541</v>
      </c>
      <c r="C105" s="25">
        <v>10618</v>
      </c>
      <c r="F105" s="25">
        <v>19234</v>
      </c>
      <c r="G105" s="25">
        <v>291579122</v>
      </c>
      <c r="H105" s="16" t="s">
        <v>64</v>
      </c>
      <c r="I105" s="16" t="s">
        <v>65</v>
      </c>
      <c r="J105" s="16" t="s">
        <v>66</v>
      </c>
      <c r="K105" s="17">
        <v>16139</v>
      </c>
      <c r="L105" t="s">
        <v>542</v>
      </c>
      <c r="M105" t="s">
        <v>543</v>
      </c>
      <c r="N105" t="s">
        <v>69</v>
      </c>
      <c r="O105" s="16" t="s">
        <v>70</v>
      </c>
      <c r="P105" t="s">
        <v>86</v>
      </c>
      <c r="Q105" s="19">
        <v>37</v>
      </c>
      <c r="R105" t="s">
        <v>72</v>
      </c>
      <c r="S105" s="19">
        <v>3.7</v>
      </c>
      <c r="T105" s="19">
        <v>0</v>
      </c>
      <c r="U105" s="19">
        <v>6.79</v>
      </c>
      <c r="V105" s="19">
        <v>33.299999999999997</v>
      </c>
      <c r="W105" s="19">
        <v>37</v>
      </c>
      <c r="X105" t="s">
        <v>73</v>
      </c>
      <c r="Y105" s="20">
        <v>0.05</v>
      </c>
      <c r="Z105" s="19">
        <v>1.85</v>
      </c>
      <c r="AA105" s="19">
        <v>35.15</v>
      </c>
      <c r="AB105" s="19">
        <v>1.85</v>
      </c>
      <c r="AC105" t="s">
        <v>73</v>
      </c>
      <c r="AD105" s="19">
        <v>1.51</v>
      </c>
      <c r="AE105" s="19">
        <v>0.34</v>
      </c>
      <c r="AF105" s="19">
        <v>1.85</v>
      </c>
      <c r="AG105" s="19">
        <v>0</v>
      </c>
      <c r="AH105" s="19">
        <v>33.299999999999997</v>
      </c>
      <c r="AI105" s="19">
        <v>1.85</v>
      </c>
      <c r="AJ105" t="s">
        <v>73</v>
      </c>
      <c r="AK105" s="19">
        <v>0</v>
      </c>
      <c r="AL105" s="19">
        <v>35.15</v>
      </c>
      <c r="AM105" t="b">
        <f t="shared" si="6"/>
        <v>1</v>
      </c>
      <c r="AN105" s="21">
        <f t="shared" si="7"/>
        <v>0</v>
      </c>
      <c r="AO105" s="19">
        <f t="shared" si="8"/>
        <v>0</v>
      </c>
      <c r="AP105" s="22">
        <v>15</v>
      </c>
      <c r="AQ105" s="18">
        <f t="shared" si="9"/>
        <v>0</v>
      </c>
      <c r="AR105" s="18">
        <f t="shared" si="10"/>
        <v>4.9499999999999993</v>
      </c>
      <c r="AS105" s="23">
        <f t="shared" si="11"/>
        <v>10.050000000000001</v>
      </c>
      <c r="AT105" s="24">
        <v>46275.65625</v>
      </c>
      <c r="AU105" s="16" t="s">
        <v>542</v>
      </c>
      <c r="AV105" s="16">
        <v>291579122</v>
      </c>
      <c r="AW105" s="16">
        <v>738844059</v>
      </c>
      <c r="AX105" s="16" t="s">
        <v>544</v>
      </c>
      <c r="AY105" s="16">
        <v>37</v>
      </c>
      <c r="AZ105" s="16">
        <v>37</v>
      </c>
      <c r="BA105" s="16">
        <v>5</v>
      </c>
      <c r="BB105" s="16">
        <v>1.85</v>
      </c>
      <c r="BC105" s="16">
        <v>15</v>
      </c>
      <c r="BD105" s="16">
        <v>4.95</v>
      </c>
      <c r="BE105" s="16">
        <v>0</v>
      </c>
      <c r="BF105" s="16" t="s">
        <v>69</v>
      </c>
      <c r="BG105" s="16" t="s">
        <v>545</v>
      </c>
      <c r="BH105" s="16">
        <v>15</v>
      </c>
      <c r="BI105" s="16">
        <v>10.050000000000001</v>
      </c>
      <c r="BJ105" s="16">
        <v>40.1</v>
      </c>
      <c r="BK105" s="16">
        <v>1.85</v>
      </c>
      <c r="BL105" s="16">
        <v>4.9499999999999993</v>
      </c>
    </row>
    <row r="106" spans="1:64" x14ac:dyDescent="0.25">
      <c r="A106" s="24">
        <v>46275</v>
      </c>
      <c r="B106" s="16" t="s">
        <v>546</v>
      </c>
      <c r="C106" s="25">
        <v>79465</v>
      </c>
      <c r="F106" s="25">
        <v>19237</v>
      </c>
      <c r="G106" s="25">
        <v>291633240</v>
      </c>
      <c r="H106" s="16" t="s">
        <v>64</v>
      </c>
      <c r="I106" s="16" t="s">
        <v>65</v>
      </c>
      <c r="J106" s="16" t="s">
        <v>66</v>
      </c>
      <c r="K106" s="17">
        <v>3</v>
      </c>
      <c r="L106" t="s">
        <v>207</v>
      </c>
      <c r="M106" t="s">
        <v>547</v>
      </c>
      <c r="N106" t="s">
        <v>69</v>
      </c>
      <c r="O106" s="16" t="s">
        <v>70</v>
      </c>
      <c r="P106" t="s">
        <v>71</v>
      </c>
      <c r="Q106" s="19">
        <v>42</v>
      </c>
      <c r="R106" t="s">
        <v>73</v>
      </c>
      <c r="S106" s="19">
        <v>0</v>
      </c>
      <c r="T106" s="19">
        <v>0</v>
      </c>
      <c r="U106" s="19">
        <v>7.44</v>
      </c>
      <c r="V106" s="19">
        <v>42</v>
      </c>
      <c r="W106" s="19">
        <v>42</v>
      </c>
      <c r="X106" t="s">
        <v>73</v>
      </c>
      <c r="Y106" s="20">
        <v>4.4999999999999998E-2</v>
      </c>
      <c r="Z106" s="19">
        <v>1.89</v>
      </c>
      <c r="AA106" s="19">
        <v>40.11</v>
      </c>
      <c r="AB106" s="19">
        <v>1.89</v>
      </c>
      <c r="AC106" t="s">
        <v>73</v>
      </c>
      <c r="AD106" s="19">
        <v>1.56</v>
      </c>
      <c r="AE106" s="19">
        <v>0.33</v>
      </c>
      <c r="AF106" s="19">
        <v>1.89</v>
      </c>
      <c r="AG106" s="19">
        <v>22.5</v>
      </c>
      <c r="AH106" s="19">
        <v>19.5</v>
      </c>
      <c r="AI106" s="19">
        <v>1.89</v>
      </c>
      <c r="AJ106" t="s">
        <v>73</v>
      </c>
      <c r="AK106" s="19">
        <v>0</v>
      </c>
      <c r="AL106" s="19">
        <v>40.11</v>
      </c>
      <c r="AM106" t="b">
        <f t="shared" si="6"/>
        <v>1</v>
      </c>
      <c r="AN106" s="21">
        <f t="shared" si="7"/>
        <v>0</v>
      </c>
      <c r="AO106" s="19">
        <f t="shared" si="8"/>
        <v>0</v>
      </c>
      <c r="AP106" s="22">
        <v>15</v>
      </c>
      <c r="AQ106" s="18">
        <f t="shared" si="9"/>
        <v>0</v>
      </c>
      <c r="AR106" s="18">
        <f t="shared" si="10"/>
        <v>6.9</v>
      </c>
      <c r="AS106" s="23">
        <f t="shared" si="11"/>
        <v>8.1</v>
      </c>
      <c r="AT106" s="24">
        <v>46275.770138888889</v>
      </c>
      <c r="AU106" s="16" t="s">
        <v>209</v>
      </c>
      <c r="AV106" s="16">
        <v>291633240</v>
      </c>
      <c r="AW106" s="16">
        <v>738963885</v>
      </c>
      <c r="AX106" s="16" t="s">
        <v>462</v>
      </c>
      <c r="AY106" s="16">
        <v>42</v>
      </c>
      <c r="AZ106" s="16">
        <v>42</v>
      </c>
      <c r="BA106" s="16">
        <v>4.5</v>
      </c>
      <c r="BB106" s="16">
        <v>1.89</v>
      </c>
      <c r="BC106" s="16">
        <v>15</v>
      </c>
      <c r="BD106" s="16">
        <v>6.9</v>
      </c>
      <c r="BE106" s="16">
        <v>0</v>
      </c>
      <c r="BF106" s="16" t="s">
        <v>69</v>
      </c>
      <c r="BG106" s="16" t="s">
        <v>548</v>
      </c>
      <c r="BH106" s="16">
        <v>15</v>
      </c>
      <c r="BI106" s="16">
        <v>8.1</v>
      </c>
      <c r="BJ106" s="16">
        <v>47.01</v>
      </c>
      <c r="BK106" s="16">
        <v>1.89</v>
      </c>
      <c r="BL106" s="16">
        <v>6.9</v>
      </c>
    </row>
    <row r="107" spans="1:64" x14ac:dyDescent="0.25">
      <c r="A107" s="24">
        <v>46275</v>
      </c>
      <c r="B107" s="16" t="s">
        <v>549</v>
      </c>
      <c r="C107" s="25">
        <v>35487</v>
      </c>
      <c r="D107" s="17" t="s">
        <v>550</v>
      </c>
      <c r="F107" s="25">
        <v>19238</v>
      </c>
      <c r="G107" s="25">
        <v>291658559</v>
      </c>
      <c r="H107" s="16" t="s">
        <v>64</v>
      </c>
      <c r="I107" s="16" t="s">
        <v>65</v>
      </c>
      <c r="J107" s="16" t="s">
        <v>66</v>
      </c>
      <c r="K107" s="17">
        <v>65</v>
      </c>
      <c r="L107" t="s">
        <v>340</v>
      </c>
      <c r="M107" t="s">
        <v>551</v>
      </c>
      <c r="N107" t="s">
        <v>69</v>
      </c>
      <c r="O107" s="16" t="s">
        <v>70</v>
      </c>
      <c r="P107" t="s">
        <v>71</v>
      </c>
      <c r="Q107" s="19">
        <v>39.78</v>
      </c>
      <c r="R107" t="s">
        <v>72</v>
      </c>
      <c r="S107" s="19">
        <v>3.98</v>
      </c>
      <c r="T107" s="19">
        <v>7</v>
      </c>
      <c r="U107" s="19">
        <v>8.06</v>
      </c>
      <c r="V107" s="19">
        <v>42.8</v>
      </c>
      <c r="W107" s="19">
        <v>46.78</v>
      </c>
      <c r="X107" t="s">
        <v>73</v>
      </c>
      <c r="Y107" s="20">
        <v>0.05</v>
      </c>
      <c r="Z107" s="19">
        <v>1.99</v>
      </c>
      <c r="AA107" s="19">
        <v>44.79</v>
      </c>
      <c r="AB107" s="19">
        <v>1.99</v>
      </c>
      <c r="AC107" t="s">
        <v>73</v>
      </c>
      <c r="AD107" s="19">
        <v>1.59</v>
      </c>
      <c r="AE107" s="19">
        <v>0.4</v>
      </c>
      <c r="AF107" s="19">
        <v>1.99</v>
      </c>
      <c r="AG107" s="19">
        <v>34</v>
      </c>
      <c r="AH107" s="19">
        <v>8.8000000000000007</v>
      </c>
      <c r="AI107" s="19">
        <v>1.99</v>
      </c>
      <c r="AJ107" t="s">
        <v>73</v>
      </c>
      <c r="AK107" s="19">
        <v>0</v>
      </c>
      <c r="AL107" s="19">
        <v>44.79</v>
      </c>
      <c r="AM107" t="b">
        <f t="shared" si="6"/>
        <v>1</v>
      </c>
      <c r="AN107" s="21">
        <f t="shared" si="7"/>
        <v>0</v>
      </c>
      <c r="AO107" s="19">
        <f t="shared" si="8"/>
        <v>9.9999999999988987E-4</v>
      </c>
      <c r="AP107" s="22">
        <v>22</v>
      </c>
      <c r="AQ107" s="18">
        <f t="shared" si="9"/>
        <v>7</v>
      </c>
      <c r="AR107" s="18">
        <f t="shared" si="10"/>
        <v>6.9</v>
      </c>
      <c r="AS107" s="23">
        <f t="shared" si="11"/>
        <v>8.1</v>
      </c>
      <c r="AT107" s="24">
        <v>46275.813888888886</v>
      </c>
      <c r="AU107" s="16" t="s">
        <v>342</v>
      </c>
      <c r="AV107" s="16">
        <v>291658559</v>
      </c>
      <c r="AW107" s="16">
        <v>739043329</v>
      </c>
      <c r="AX107" s="16" t="s">
        <v>110</v>
      </c>
      <c r="AY107" s="16">
        <v>46.779998779296875</v>
      </c>
      <c r="AZ107" s="16">
        <v>39.78</v>
      </c>
      <c r="BA107" s="16">
        <v>5</v>
      </c>
      <c r="BB107" s="16">
        <v>1.9890000000000001</v>
      </c>
      <c r="BC107" s="16">
        <v>22</v>
      </c>
      <c r="BD107" s="16">
        <v>6.9</v>
      </c>
      <c r="BE107" s="16">
        <v>6</v>
      </c>
      <c r="BF107" s="16" t="s">
        <v>69</v>
      </c>
      <c r="BG107" s="16" t="s">
        <v>369</v>
      </c>
      <c r="BH107" s="16">
        <v>15</v>
      </c>
      <c r="BI107" s="16">
        <v>8.1</v>
      </c>
      <c r="BJ107" s="16">
        <v>51.690998779296876</v>
      </c>
      <c r="BK107" s="16">
        <v>1.9890000000000001</v>
      </c>
      <c r="BL107" s="16">
        <v>13.9</v>
      </c>
    </row>
    <row r="108" spans="1:64" x14ac:dyDescent="0.25">
      <c r="A108" s="24">
        <v>46275</v>
      </c>
      <c r="B108" s="16" t="s">
        <v>552</v>
      </c>
      <c r="C108" s="25">
        <v>79331</v>
      </c>
      <c r="F108" s="25">
        <v>19239</v>
      </c>
      <c r="G108" s="25">
        <v>291663084</v>
      </c>
      <c r="H108" s="16" t="s">
        <v>64</v>
      </c>
      <c r="I108" s="16" t="s">
        <v>65</v>
      </c>
      <c r="J108" s="16" t="s">
        <v>66</v>
      </c>
      <c r="K108" s="17">
        <v>16172</v>
      </c>
      <c r="L108" t="s">
        <v>553</v>
      </c>
      <c r="M108" t="s">
        <v>554</v>
      </c>
      <c r="N108" t="s">
        <v>69</v>
      </c>
      <c r="O108" s="16" t="s">
        <v>70</v>
      </c>
      <c r="P108" t="s">
        <v>71</v>
      </c>
      <c r="Q108" s="19">
        <v>89</v>
      </c>
      <c r="R108" t="s">
        <v>72</v>
      </c>
      <c r="S108" s="19">
        <v>8.9</v>
      </c>
      <c r="T108" s="19">
        <v>7</v>
      </c>
      <c r="U108" s="19">
        <v>14.48</v>
      </c>
      <c r="V108" s="19">
        <v>87.1</v>
      </c>
      <c r="W108" s="19">
        <v>96</v>
      </c>
      <c r="X108" t="s">
        <v>73</v>
      </c>
      <c r="Y108" s="20">
        <v>0.05</v>
      </c>
      <c r="Z108" s="19">
        <v>4.45</v>
      </c>
      <c r="AA108" s="19">
        <v>91.55</v>
      </c>
      <c r="AB108" s="19">
        <v>4.45</v>
      </c>
      <c r="AC108" t="s">
        <v>73</v>
      </c>
      <c r="AD108" s="19">
        <v>3.73</v>
      </c>
      <c r="AE108" s="19">
        <v>0.72</v>
      </c>
      <c r="AF108" s="19">
        <v>4.45</v>
      </c>
      <c r="AG108" s="19">
        <v>2</v>
      </c>
      <c r="AH108" s="19">
        <v>85.1</v>
      </c>
      <c r="AI108" s="19">
        <v>4.45</v>
      </c>
      <c r="AJ108" t="s">
        <v>73</v>
      </c>
      <c r="AK108" s="19">
        <v>0</v>
      </c>
      <c r="AL108" s="19">
        <v>91.55</v>
      </c>
      <c r="AM108" t="b">
        <f t="shared" si="6"/>
        <v>1</v>
      </c>
      <c r="AN108" s="21">
        <f t="shared" si="7"/>
        <v>0</v>
      </c>
      <c r="AO108" s="19">
        <f t="shared" si="8"/>
        <v>0</v>
      </c>
      <c r="AP108" s="22">
        <v>22</v>
      </c>
      <c r="AQ108" s="18">
        <f t="shared" si="9"/>
        <v>7</v>
      </c>
      <c r="AR108" s="18">
        <f t="shared" si="10"/>
        <v>5</v>
      </c>
      <c r="AS108" s="23">
        <f t="shared" si="11"/>
        <v>10</v>
      </c>
      <c r="AT108" s="24">
        <v>46275.831944444442</v>
      </c>
      <c r="AU108" s="16" t="s">
        <v>555</v>
      </c>
      <c r="AV108" s="16">
        <v>291663084</v>
      </c>
      <c r="AW108" s="16">
        <v>739054355</v>
      </c>
      <c r="AX108" s="16" t="s">
        <v>556</v>
      </c>
      <c r="AY108" s="16">
        <v>96</v>
      </c>
      <c r="AZ108" s="16">
        <v>89</v>
      </c>
      <c r="BA108" s="16">
        <v>5</v>
      </c>
      <c r="BB108" s="16">
        <v>4.45</v>
      </c>
      <c r="BC108" s="16">
        <v>22</v>
      </c>
      <c r="BD108" s="16">
        <v>5</v>
      </c>
      <c r="BE108" s="16">
        <v>6</v>
      </c>
      <c r="BF108" s="16" t="s">
        <v>69</v>
      </c>
      <c r="BG108" s="16" t="s">
        <v>557</v>
      </c>
      <c r="BH108" s="16">
        <v>15</v>
      </c>
      <c r="BI108" s="16">
        <v>10</v>
      </c>
      <c r="BJ108" s="16">
        <v>96.55</v>
      </c>
      <c r="BK108" s="16">
        <v>4.45</v>
      </c>
      <c r="BL108" s="16">
        <v>12</v>
      </c>
    </row>
    <row r="109" spans="1:64" x14ac:dyDescent="0.25">
      <c r="A109" s="24">
        <v>46275</v>
      </c>
      <c r="B109" s="16" t="s">
        <v>558</v>
      </c>
      <c r="C109" s="25">
        <v>49144</v>
      </c>
      <c r="D109" s="17" t="s">
        <v>559</v>
      </c>
      <c r="F109" s="25">
        <v>19240</v>
      </c>
      <c r="G109" s="25">
        <v>291668327</v>
      </c>
      <c r="H109" s="16" t="s">
        <v>64</v>
      </c>
      <c r="I109" s="16" t="s">
        <v>65</v>
      </c>
      <c r="J109" s="16" t="s">
        <v>66</v>
      </c>
      <c r="K109" s="17">
        <v>20</v>
      </c>
      <c r="L109" t="s">
        <v>118</v>
      </c>
      <c r="M109" t="s">
        <v>73</v>
      </c>
      <c r="N109" t="s">
        <v>69</v>
      </c>
      <c r="O109" s="16" t="s">
        <v>70</v>
      </c>
      <c r="P109" t="s">
        <v>92</v>
      </c>
      <c r="Q109" s="19">
        <v>49.5</v>
      </c>
      <c r="R109" t="s">
        <v>72</v>
      </c>
      <c r="S109" s="19">
        <v>4.95</v>
      </c>
      <c r="T109" s="19">
        <v>16</v>
      </c>
      <c r="U109" s="19">
        <v>9.33</v>
      </c>
      <c r="V109" s="19">
        <v>60.55</v>
      </c>
      <c r="W109" s="19">
        <v>65.5</v>
      </c>
      <c r="X109" t="s">
        <v>73</v>
      </c>
      <c r="Y109" s="20">
        <v>0.04</v>
      </c>
      <c r="Z109" s="19">
        <v>1.98</v>
      </c>
      <c r="AA109" s="19">
        <v>63.52</v>
      </c>
      <c r="AB109" s="19">
        <v>1.98</v>
      </c>
      <c r="AC109" t="s">
        <v>73</v>
      </c>
      <c r="AD109" s="19">
        <v>1.61</v>
      </c>
      <c r="AE109" s="19">
        <v>0.37</v>
      </c>
      <c r="AF109" s="19">
        <v>1.98</v>
      </c>
      <c r="AG109" s="19">
        <v>60.55</v>
      </c>
      <c r="AH109" s="19">
        <v>0</v>
      </c>
      <c r="AI109" s="19">
        <v>1.98</v>
      </c>
      <c r="AJ109" t="s">
        <v>73</v>
      </c>
      <c r="AK109" s="19">
        <v>0</v>
      </c>
      <c r="AL109" s="19">
        <v>63.52</v>
      </c>
      <c r="AM109" t="b">
        <f t="shared" si="6"/>
        <v>1</v>
      </c>
      <c r="AN109" s="21">
        <f t="shared" si="7"/>
        <v>0</v>
      </c>
      <c r="AO109" s="19">
        <f t="shared" si="8"/>
        <v>0</v>
      </c>
      <c r="AP109" s="22">
        <v>22</v>
      </c>
      <c r="AQ109" s="18">
        <f t="shared" si="9"/>
        <v>16</v>
      </c>
      <c r="AR109" s="18">
        <f t="shared" si="10"/>
        <v>6</v>
      </c>
      <c r="AS109" s="23">
        <f t="shared" si="11"/>
        <v>0</v>
      </c>
      <c r="AT109" s="24">
        <v>46275.839583333334</v>
      </c>
      <c r="AU109" s="16" t="s">
        <v>120</v>
      </c>
      <c r="AV109" s="16">
        <v>291668327</v>
      </c>
      <c r="AW109" s="16">
        <v>739063817</v>
      </c>
      <c r="AX109" s="16" t="s">
        <v>559</v>
      </c>
      <c r="AY109" s="16">
        <v>65.5</v>
      </c>
      <c r="AZ109" s="16">
        <v>49.5</v>
      </c>
      <c r="BA109" s="16">
        <v>4</v>
      </c>
      <c r="BB109" s="16">
        <v>1.98</v>
      </c>
      <c r="BC109" s="16">
        <v>22</v>
      </c>
      <c r="BD109" s="16">
        <v>6</v>
      </c>
      <c r="BE109" s="16">
        <v>15</v>
      </c>
      <c r="BF109" s="16" t="s">
        <v>69</v>
      </c>
      <c r="BG109" s="16" t="s">
        <v>560</v>
      </c>
      <c r="BH109" s="16">
        <v>6</v>
      </c>
      <c r="BI109" s="16">
        <v>0</v>
      </c>
      <c r="BJ109" s="16">
        <v>69.52</v>
      </c>
      <c r="BK109" s="16">
        <v>1.98</v>
      </c>
      <c r="BL109" s="16">
        <v>22</v>
      </c>
    </row>
    <row r="110" spans="1:64" x14ac:dyDescent="0.25">
      <c r="A110" s="24">
        <v>46275</v>
      </c>
      <c r="B110" s="16" t="s">
        <v>561</v>
      </c>
      <c r="C110" s="25">
        <v>54</v>
      </c>
      <c r="F110" s="25">
        <v>19241</v>
      </c>
      <c r="G110" s="25">
        <v>291669161</v>
      </c>
      <c r="H110" s="16" t="s">
        <v>64</v>
      </c>
      <c r="I110" s="16" t="s">
        <v>65</v>
      </c>
      <c r="J110" s="16" t="s">
        <v>66</v>
      </c>
      <c r="K110" s="17">
        <v>2114</v>
      </c>
      <c r="L110" t="s">
        <v>562</v>
      </c>
      <c r="M110" t="s">
        <v>563</v>
      </c>
      <c r="N110" t="s">
        <v>69</v>
      </c>
      <c r="O110" s="16" t="s">
        <v>70</v>
      </c>
      <c r="P110" t="s">
        <v>79</v>
      </c>
      <c r="Q110" s="19">
        <v>62</v>
      </c>
      <c r="R110" t="s">
        <v>73</v>
      </c>
      <c r="S110" s="19">
        <v>0</v>
      </c>
      <c r="T110" s="19">
        <v>15</v>
      </c>
      <c r="U110" s="19">
        <v>10.050000000000001</v>
      </c>
      <c r="V110" s="19">
        <v>77</v>
      </c>
      <c r="W110" s="19">
        <v>77</v>
      </c>
      <c r="X110" t="s">
        <v>73</v>
      </c>
      <c r="Y110" s="20">
        <v>0.05</v>
      </c>
      <c r="Z110" s="19">
        <v>3.1</v>
      </c>
      <c r="AA110" s="19">
        <v>73.900000000000006</v>
      </c>
      <c r="AB110" s="19">
        <v>3.1</v>
      </c>
      <c r="AC110" t="s">
        <v>73</v>
      </c>
      <c r="AD110" s="19">
        <v>2.6</v>
      </c>
      <c r="AE110" s="19">
        <v>0.5</v>
      </c>
      <c r="AF110" s="19">
        <v>3.1</v>
      </c>
      <c r="AG110" s="19">
        <v>0</v>
      </c>
      <c r="AH110" s="19">
        <v>77</v>
      </c>
      <c r="AI110" s="19">
        <v>3.1</v>
      </c>
      <c r="AJ110" t="s">
        <v>73</v>
      </c>
      <c r="AK110" s="19">
        <v>0</v>
      </c>
      <c r="AL110" s="19">
        <v>73.900000000000006</v>
      </c>
      <c r="AM110" t="b">
        <f t="shared" si="6"/>
        <v>1</v>
      </c>
      <c r="AN110" s="21">
        <f t="shared" si="7"/>
        <v>0</v>
      </c>
      <c r="AO110" s="19">
        <f t="shared" si="8"/>
        <v>0</v>
      </c>
      <c r="AP110" s="22">
        <v>15</v>
      </c>
      <c r="AQ110" s="18">
        <f t="shared" si="9"/>
        <v>15</v>
      </c>
      <c r="AR110" s="18">
        <f t="shared" si="10"/>
        <v>0</v>
      </c>
      <c r="AS110" s="23">
        <f t="shared" si="11"/>
        <v>0</v>
      </c>
      <c r="AT110" s="24">
        <v>46275.834027777775</v>
      </c>
      <c r="AU110" s="16" t="s">
        <v>564</v>
      </c>
      <c r="AV110" s="16">
        <v>291669161</v>
      </c>
      <c r="AW110" s="16">
        <v>739067744</v>
      </c>
      <c r="AX110" s="16" t="s">
        <v>294</v>
      </c>
      <c r="AY110" s="16">
        <v>77</v>
      </c>
      <c r="AZ110" s="16">
        <v>62</v>
      </c>
      <c r="BA110" s="16">
        <v>5</v>
      </c>
      <c r="BB110" s="16">
        <v>3.1</v>
      </c>
      <c r="BC110" s="16">
        <v>15</v>
      </c>
      <c r="BD110" s="16">
        <v>0</v>
      </c>
      <c r="BE110" s="16">
        <v>14</v>
      </c>
      <c r="BF110" s="16" t="s">
        <v>69</v>
      </c>
      <c r="BG110" s="16" t="s">
        <v>565</v>
      </c>
      <c r="BH110" s="16">
        <v>0</v>
      </c>
      <c r="BI110" s="16">
        <v>0</v>
      </c>
      <c r="BJ110" s="16">
        <v>73.900000000000006</v>
      </c>
      <c r="BK110" s="16">
        <v>3.1</v>
      </c>
      <c r="BL110" s="16">
        <v>15</v>
      </c>
    </row>
    <row r="111" spans="1:64" x14ac:dyDescent="0.25">
      <c r="A111" s="24">
        <v>46275</v>
      </c>
      <c r="B111" s="16" t="s">
        <v>561</v>
      </c>
      <c r="C111" s="25">
        <v>77083</v>
      </c>
      <c r="F111" s="25">
        <v>19242</v>
      </c>
      <c r="G111" s="25">
        <v>291669501</v>
      </c>
      <c r="H111" s="16" t="s">
        <v>64</v>
      </c>
      <c r="I111" s="16" t="s">
        <v>65</v>
      </c>
      <c r="J111" s="16" t="s">
        <v>66</v>
      </c>
      <c r="K111" s="17">
        <v>23</v>
      </c>
      <c r="L111" t="s">
        <v>157</v>
      </c>
      <c r="M111" t="s">
        <v>566</v>
      </c>
      <c r="N111" t="s">
        <v>69</v>
      </c>
      <c r="O111" s="16" t="s">
        <v>70</v>
      </c>
      <c r="P111" t="s">
        <v>86</v>
      </c>
      <c r="Q111" s="19">
        <v>32</v>
      </c>
      <c r="R111" t="s">
        <v>73</v>
      </c>
      <c r="S111" s="19">
        <v>0</v>
      </c>
      <c r="T111" s="19">
        <v>15</v>
      </c>
      <c r="U111" s="19">
        <v>6.13</v>
      </c>
      <c r="V111" s="19">
        <v>47</v>
      </c>
      <c r="W111" s="19">
        <v>47</v>
      </c>
      <c r="X111" t="s">
        <v>73</v>
      </c>
      <c r="Y111" s="20">
        <v>0.05</v>
      </c>
      <c r="Z111" s="19">
        <v>1.6</v>
      </c>
      <c r="AA111" s="19">
        <v>45.4</v>
      </c>
      <c r="AB111" s="19">
        <v>1.6</v>
      </c>
      <c r="AC111" t="s">
        <v>73</v>
      </c>
      <c r="AD111" s="19">
        <v>1.29</v>
      </c>
      <c r="AE111" s="19">
        <v>0.31</v>
      </c>
      <c r="AF111" s="19">
        <v>1.6</v>
      </c>
      <c r="AG111" s="19">
        <v>0</v>
      </c>
      <c r="AH111" s="19">
        <v>47</v>
      </c>
      <c r="AI111" s="19">
        <v>1.6</v>
      </c>
      <c r="AJ111" t="s">
        <v>73</v>
      </c>
      <c r="AK111" s="19">
        <v>0</v>
      </c>
      <c r="AL111" s="19">
        <v>45.4</v>
      </c>
      <c r="AM111" t="b">
        <f t="shared" si="6"/>
        <v>1</v>
      </c>
      <c r="AN111" s="21">
        <f t="shared" si="7"/>
        <v>0</v>
      </c>
      <c r="AO111" s="19">
        <f t="shared" si="8"/>
        <v>0</v>
      </c>
      <c r="AP111" s="22">
        <v>15</v>
      </c>
      <c r="AQ111" s="18">
        <f t="shared" si="9"/>
        <v>15</v>
      </c>
      <c r="AR111" s="18">
        <f t="shared" si="10"/>
        <v>0</v>
      </c>
      <c r="AS111" s="23">
        <f t="shared" si="11"/>
        <v>0</v>
      </c>
      <c r="AT111" s="24">
        <v>46275.82916666667</v>
      </c>
      <c r="AU111" s="16" t="s">
        <v>159</v>
      </c>
      <c r="AV111" s="16">
        <v>291669501</v>
      </c>
      <c r="AW111" s="16">
        <v>739068189</v>
      </c>
      <c r="AX111" s="16" t="s">
        <v>180</v>
      </c>
      <c r="AY111" s="16">
        <v>47</v>
      </c>
      <c r="AZ111" s="16">
        <v>32</v>
      </c>
      <c r="BA111" s="16">
        <v>5</v>
      </c>
      <c r="BB111" s="16">
        <v>1.6</v>
      </c>
      <c r="BC111" s="16">
        <v>15</v>
      </c>
      <c r="BD111" s="16">
        <v>0</v>
      </c>
      <c r="BE111" s="16">
        <v>14</v>
      </c>
      <c r="BF111" s="16" t="s">
        <v>69</v>
      </c>
      <c r="BG111" s="16" t="s">
        <v>181</v>
      </c>
      <c r="BH111" s="16">
        <v>0</v>
      </c>
      <c r="BI111" s="16">
        <v>0</v>
      </c>
      <c r="BJ111" s="16">
        <v>45.4</v>
      </c>
      <c r="BK111" s="16">
        <v>1.6</v>
      </c>
      <c r="BL111" s="16">
        <v>15</v>
      </c>
    </row>
    <row r="112" spans="1:64" x14ac:dyDescent="0.25">
      <c r="A112" s="24">
        <v>46275</v>
      </c>
      <c r="B112" s="16" t="s">
        <v>567</v>
      </c>
      <c r="C112" s="25">
        <v>61862</v>
      </c>
      <c r="F112" s="25">
        <v>19244</v>
      </c>
      <c r="G112" s="25">
        <v>291676479</v>
      </c>
      <c r="H112" s="16" t="s">
        <v>64</v>
      </c>
      <c r="I112" s="16" t="s">
        <v>65</v>
      </c>
      <c r="J112" s="16" t="s">
        <v>66</v>
      </c>
      <c r="K112" s="17">
        <v>4269</v>
      </c>
      <c r="L112" t="s">
        <v>568</v>
      </c>
      <c r="M112" t="s">
        <v>569</v>
      </c>
      <c r="N112" t="s">
        <v>69</v>
      </c>
      <c r="O112" s="16" t="s">
        <v>70</v>
      </c>
      <c r="P112" t="s">
        <v>169</v>
      </c>
      <c r="Q112" s="19">
        <v>60</v>
      </c>
      <c r="R112" t="s">
        <v>73</v>
      </c>
      <c r="S112" s="19">
        <v>0</v>
      </c>
      <c r="T112" s="19">
        <v>13</v>
      </c>
      <c r="U112" s="19">
        <v>11.48</v>
      </c>
      <c r="V112" s="19">
        <v>73</v>
      </c>
      <c r="W112" s="19">
        <v>73</v>
      </c>
      <c r="X112" t="s">
        <v>73</v>
      </c>
      <c r="Y112" s="20">
        <v>0.05</v>
      </c>
      <c r="Z112" s="19">
        <v>3</v>
      </c>
      <c r="AA112" s="19">
        <v>70</v>
      </c>
      <c r="AB112" s="19">
        <v>3</v>
      </c>
      <c r="AC112" t="s">
        <v>73</v>
      </c>
      <c r="AD112" s="19">
        <v>2.4300000000000002</v>
      </c>
      <c r="AE112" s="19">
        <v>0.56999999999999995</v>
      </c>
      <c r="AF112" s="19">
        <v>3</v>
      </c>
      <c r="AG112" s="19">
        <v>50</v>
      </c>
      <c r="AH112" s="19">
        <v>23</v>
      </c>
      <c r="AI112" s="19">
        <v>3</v>
      </c>
      <c r="AJ112" t="s">
        <v>73</v>
      </c>
      <c r="AK112" s="19">
        <v>0</v>
      </c>
      <c r="AL112" s="19">
        <v>70</v>
      </c>
      <c r="AM112" t="b">
        <f t="shared" si="6"/>
        <v>1</v>
      </c>
      <c r="AN112" s="21">
        <f t="shared" si="7"/>
        <v>0</v>
      </c>
      <c r="AO112" s="19">
        <f t="shared" si="8"/>
        <v>0</v>
      </c>
      <c r="AP112" s="22">
        <v>28</v>
      </c>
      <c r="AQ112" s="18">
        <f t="shared" si="9"/>
        <v>13</v>
      </c>
      <c r="AR112" s="18">
        <f t="shared" si="10"/>
        <v>5</v>
      </c>
      <c r="AS112" s="23">
        <f t="shared" si="11"/>
        <v>10</v>
      </c>
      <c r="AT112" s="24">
        <v>46275.84652777778</v>
      </c>
      <c r="AU112" s="16" t="s">
        <v>570</v>
      </c>
      <c r="AV112" s="16">
        <v>291676479</v>
      </c>
      <c r="AW112" s="16">
        <v>739077611</v>
      </c>
      <c r="AX112" s="16" t="s">
        <v>110</v>
      </c>
      <c r="AY112" s="16">
        <v>73</v>
      </c>
      <c r="AZ112" s="16">
        <v>60</v>
      </c>
      <c r="BA112" s="16">
        <v>5</v>
      </c>
      <c r="BB112" s="16">
        <v>3</v>
      </c>
      <c r="BC112" s="16">
        <v>28</v>
      </c>
      <c r="BD112" s="16">
        <v>5</v>
      </c>
      <c r="BE112" s="16">
        <v>12</v>
      </c>
      <c r="BF112" s="16" t="s">
        <v>69</v>
      </c>
      <c r="BG112" s="16" t="s">
        <v>571</v>
      </c>
      <c r="BH112" s="16">
        <v>15</v>
      </c>
      <c r="BI112" s="16">
        <v>10</v>
      </c>
      <c r="BJ112" s="16">
        <v>75</v>
      </c>
      <c r="BK112" s="16">
        <v>3</v>
      </c>
      <c r="BL112" s="16">
        <v>18</v>
      </c>
    </row>
    <row r="113" spans="1:64" x14ac:dyDescent="0.25">
      <c r="A113" s="24">
        <v>46275</v>
      </c>
      <c r="B113" s="16" t="s">
        <v>572</v>
      </c>
      <c r="C113" s="25">
        <v>79551</v>
      </c>
      <c r="F113" s="25">
        <v>19245</v>
      </c>
      <c r="G113" s="25">
        <v>291682572</v>
      </c>
      <c r="H113" s="16" t="s">
        <v>64</v>
      </c>
      <c r="I113" s="16" t="s">
        <v>65</v>
      </c>
      <c r="J113" s="16" t="s">
        <v>66</v>
      </c>
      <c r="K113" s="17">
        <v>16173</v>
      </c>
      <c r="L113" t="s">
        <v>573</v>
      </c>
      <c r="M113" t="s">
        <v>574</v>
      </c>
      <c r="N113" t="s">
        <v>69</v>
      </c>
      <c r="O113" s="16" t="s">
        <v>70</v>
      </c>
      <c r="P113" t="s">
        <v>79</v>
      </c>
      <c r="Q113" s="19">
        <v>62</v>
      </c>
      <c r="R113" t="s">
        <v>72</v>
      </c>
      <c r="S113" s="19">
        <v>6.2</v>
      </c>
      <c r="T113" s="19">
        <v>22</v>
      </c>
      <c r="U113" s="19">
        <v>10.96</v>
      </c>
      <c r="V113" s="19">
        <v>77.8</v>
      </c>
      <c r="W113" s="19">
        <v>84</v>
      </c>
      <c r="X113" t="s">
        <v>73</v>
      </c>
      <c r="Y113" s="20">
        <v>0.05</v>
      </c>
      <c r="Z113" s="19">
        <v>3.1</v>
      </c>
      <c r="AA113" s="19">
        <v>80.900000000000006</v>
      </c>
      <c r="AB113" s="19">
        <v>3.1</v>
      </c>
      <c r="AC113" t="s">
        <v>73</v>
      </c>
      <c r="AD113" s="19">
        <v>2.5499999999999998</v>
      </c>
      <c r="AE113" s="19">
        <v>0.55000000000000004</v>
      </c>
      <c r="AF113" s="19">
        <v>3.1</v>
      </c>
      <c r="AG113" s="19">
        <v>0</v>
      </c>
      <c r="AH113" s="19">
        <v>77.8</v>
      </c>
      <c r="AI113" s="19">
        <v>3.1</v>
      </c>
      <c r="AJ113" t="s">
        <v>73</v>
      </c>
      <c r="AK113" s="19">
        <v>0</v>
      </c>
      <c r="AL113" s="19">
        <v>80.900000000000006</v>
      </c>
      <c r="AM113" t="b">
        <f t="shared" si="6"/>
        <v>1</v>
      </c>
      <c r="AN113" s="21">
        <f t="shared" si="7"/>
        <v>0</v>
      </c>
      <c r="AO113" s="19">
        <f t="shared" si="8"/>
        <v>0</v>
      </c>
      <c r="AP113" s="22">
        <v>22</v>
      </c>
      <c r="AQ113" s="18">
        <f t="shared" si="9"/>
        <v>22</v>
      </c>
      <c r="AR113" s="18">
        <f t="shared" si="10"/>
        <v>0</v>
      </c>
      <c r="AS113" s="23">
        <f t="shared" si="11"/>
        <v>0</v>
      </c>
      <c r="AT113" s="24">
        <v>46275.861111111109</v>
      </c>
      <c r="AU113" s="16" t="s">
        <v>573</v>
      </c>
      <c r="AV113" s="16">
        <v>291682572</v>
      </c>
      <c r="AW113" s="16">
        <v>739090705</v>
      </c>
      <c r="AX113" s="16" t="s">
        <v>110</v>
      </c>
      <c r="AY113" s="16">
        <v>84</v>
      </c>
      <c r="AZ113" s="16">
        <v>62</v>
      </c>
      <c r="BA113" s="16">
        <v>5</v>
      </c>
      <c r="BB113" s="16">
        <v>3.1</v>
      </c>
      <c r="BC113" s="16">
        <v>22</v>
      </c>
      <c r="BD113" s="16">
        <v>0</v>
      </c>
      <c r="BE113" s="16">
        <v>21</v>
      </c>
      <c r="BF113" s="16" t="s">
        <v>69</v>
      </c>
      <c r="BG113" s="16" t="s">
        <v>575</v>
      </c>
      <c r="BH113" s="16">
        <v>0</v>
      </c>
      <c r="BI113" s="16">
        <v>0</v>
      </c>
      <c r="BJ113" s="16">
        <v>80.900000000000006</v>
      </c>
      <c r="BK113" s="16">
        <v>3.1</v>
      </c>
      <c r="BL113" s="16">
        <v>22</v>
      </c>
    </row>
    <row r="114" spans="1:64" x14ac:dyDescent="0.25">
      <c r="A114" s="24">
        <v>46275</v>
      </c>
      <c r="B114" s="16" t="s">
        <v>576</v>
      </c>
      <c r="C114" s="25">
        <v>5</v>
      </c>
      <c r="D114" s="17" t="s">
        <v>229</v>
      </c>
      <c r="F114" s="25">
        <v>19246</v>
      </c>
      <c r="G114" s="25">
        <v>291686087</v>
      </c>
      <c r="H114" s="16" t="s">
        <v>64</v>
      </c>
      <c r="I114" s="16" t="s">
        <v>65</v>
      </c>
      <c r="J114" s="16" t="s">
        <v>66</v>
      </c>
      <c r="K114" s="17">
        <v>3</v>
      </c>
      <c r="L114" t="s">
        <v>207</v>
      </c>
      <c r="M114" t="s">
        <v>577</v>
      </c>
      <c r="N114" t="s">
        <v>69</v>
      </c>
      <c r="O114" s="16" t="s">
        <v>70</v>
      </c>
      <c r="P114" t="s">
        <v>246</v>
      </c>
      <c r="Q114" s="19">
        <v>45</v>
      </c>
      <c r="R114" t="s">
        <v>73</v>
      </c>
      <c r="S114" s="19">
        <v>0</v>
      </c>
      <c r="T114" s="19">
        <v>0</v>
      </c>
      <c r="U114" s="19">
        <v>7.83</v>
      </c>
      <c r="V114" s="19">
        <v>45</v>
      </c>
      <c r="W114" s="19">
        <v>45</v>
      </c>
      <c r="X114" t="s">
        <v>73</v>
      </c>
      <c r="Y114" s="20">
        <v>4.5100000000000001E-2</v>
      </c>
      <c r="Z114" s="19">
        <v>2.0299999999999998</v>
      </c>
      <c r="AA114" s="19">
        <v>42.98</v>
      </c>
      <c r="AB114" s="19">
        <v>2.0299999999999998</v>
      </c>
      <c r="AC114" t="s">
        <v>73</v>
      </c>
      <c r="AD114" s="19">
        <v>1.68</v>
      </c>
      <c r="AE114" s="19">
        <v>0.35</v>
      </c>
      <c r="AF114" s="19">
        <v>2.0299999999999998</v>
      </c>
      <c r="AG114" s="19">
        <v>0</v>
      </c>
      <c r="AH114" s="19">
        <v>45</v>
      </c>
      <c r="AI114" s="19">
        <v>2.0299999999999998</v>
      </c>
      <c r="AJ114" t="s">
        <v>73</v>
      </c>
      <c r="AK114" s="19">
        <v>0</v>
      </c>
      <c r="AL114" s="19">
        <v>42.98</v>
      </c>
      <c r="AM114" t="b">
        <f t="shared" si="6"/>
        <v>1</v>
      </c>
      <c r="AN114" s="21">
        <f t="shared" si="7"/>
        <v>-1.0000000000000286E-4</v>
      </c>
      <c r="AO114" s="19">
        <f t="shared" si="8"/>
        <v>4.9999999999998934E-3</v>
      </c>
      <c r="AP114" s="22">
        <v>15</v>
      </c>
      <c r="AQ114" s="18">
        <f t="shared" si="9"/>
        <v>0</v>
      </c>
      <c r="AR114" s="18">
        <f t="shared" si="10"/>
        <v>6.9</v>
      </c>
      <c r="AS114" s="23">
        <f t="shared" si="11"/>
        <v>8.1</v>
      </c>
      <c r="AT114" s="24">
        <v>46275.864583333336</v>
      </c>
      <c r="AU114" s="16" t="s">
        <v>209</v>
      </c>
      <c r="AV114" s="16">
        <v>291686087</v>
      </c>
      <c r="AW114" s="16">
        <v>739105331</v>
      </c>
      <c r="AX114" s="16" t="s">
        <v>233</v>
      </c>
      <c r="AY114" s="16">
        <v>45</v>
      </c>
      <c r="AZ114" s="16">
        <v>45</v>
      </c>
      <c r="BA114" s="16">
        <v>4.5</v>
      </c>
      <c r="BB114" s="16">
        <v>2.0249999999999999</v>
      </c>
      <c r="BC114" s="16">
        <v>15</v>
      </c>
      <c r="BD114" s="16">
        <v>6.9</v>
      </c>
      <c r="BE114" s="16">
        <v>0</v>
      </c>
      <c r="BF114" s="16" t="s">
        <v>69</v>
      </c>
      <c r="BG114" s="16" t="s">
        <v>578</v>
      </c>
      <c r="BH114" s="16">
        <v>15</v>
      </c>
      <c r="BI114" s="16">
        <v>8.1</v>
      </c>
      <c r="BJ114" s="16">
        <v>49.875</v>
      </c>
      <c r="BK114" s="16">
        <v>2.0249999999999999</v>
      </c>
      <c r="BL114" s="16">
        <v>6.9</v>
      </c>
    </row>
    <row r="115" spans="1:64" x14ac:dyDescent="0.25">
      <c r="A115" s="24">
        <v>46275</v>
      </c>
      <c r="B115" s="16" t="s">
        <v>579</v>
      </c>
      <c r="C115" s="25">
        <v>26326</v>
      </c>
      <c r="D115" s="17" t="s">
        <v>580</v>
      </c>
      <c r="F115" s="25">
        <v>19247</v>
      </c>
      <c r="G115" s="25">
        <v>291691862</v>
      </c>
      <c r="H115" s="16" t="s">
        <v>64</v>
      </c>
      <c r="I115" s="16" t="s">
        <v>65</v>
      </c>
      <c r="J115" s="16" t="s">
        <v>66</v>
      </c>
      <c r="K115" s="17">
        <v>3</v>
      </c>
      <c r="L115" t="s">
        <v>207</v>
      </c>
      <c r="M115" t="s">
        <v>581</v>
      </c>
      <c r="N115" t="s">
        <v>69</v>
      </c>
      <c r="O115" s="16" t="s">
        <v>70</v>
      </c>
      <c r="P115" t="s">
        <v>175</v>
      </c>
      <c r="Q115" s="19">
        <v>43</v>
      </c>
      <c r="R115" t="s">
        <v>72</v>
      </c>
      <c r="S115" s="19">
        <v>4.3</v>
      </c>
      <c r="T115" s="19">
        <v>0</v>
      </c>
      <c r="U115" s="19">
        <v>7.57</v>
      </c>
      <c r="V115" s="19">
        <v>38.700000000000003</v>
      </c>
      <c r="W115" s="19">
        <v>43</v>
      </c>
      <c r="X115" t="s">
        <v>73</v>
      </c>
      <c r="Y115" s="20">
        <v>4.5100000000000001E-2</v>
      </c>
      <c r="Z115" s="19">
        <v>1.94</v>
      </c>
      <c r="AA115" s="19">
        <v>41.07</v>
      </c>
      <c r="AB115" s="19">
        <v>1.94</v>
      </c>
      <c r="AC115" t="s">
        <v>73</v>
      </c>
      <c r="AD115" s="19">
        <v>1.6</v>
      </c>
      <c r="AE115" s="19">
        <v>0.34</v>
      </c>
      <c r="AF115" s="19">
        <v>1.94</v>
      </c>
      <c r="AG115" s="19">
        <v>0.28000000000000003</v>
      </c>
      <c r="AH115" s="19">
        <v>38.42</v>
      </c>
      <c r="AI115" s="19">
        <v>1.94</v>
      </c>
      <c r="AJ115" t="s">
        <v>73</v>
      </c>
      <c r="AK115" s="19">
        <v>0</v>
      </c>
      <c r="AL115" s="19">
        <v>41.07</v>
      </c>
      <c r="AM115" t="b">
        <f t="shared" si="6"/>
        <v>1</v>
      </c>
      <c r="AN115" s="21">
        <f t="shared" si="7"/>
        <v>-1.0000000000000286E-4</v>
      </c>
      <c r="AO115" s="19">
        <f t="shared" si="8"/>
        <v>4.9999999999998934E-3</v>
      </c>
      <c r="AP115" s="22">
        <v>15</v>
      </c>
      <c r="AQ115" s="18">
        <f t="shared" si="9"/>
        <v>0</v>
      </c>
      <c r="AR115" s="18">
        <f t="shared" si="10"/>
        <v>6.9</v>
      </c>
      <c r="AS115" s="23">
        <f t="shared" si="11"/>
        <v>8.1</v>
      </c>
      <c r="AT115" s="24">
        <v>46275.879166666666</v>
      </c>
      <c r="AU115" s="16" t="s">
        <v>209</v>
      </c>
      <c r="AV115" s="16">
        <v>291691862</v>
      </c>
      <c r="AW115" s="16">
        <v>739118069</v>
      </c>
      <c r="AX115" s="16" t="s">
        <v>582</v>
      </c>
      <c r="AY115" s="16">
        <v>43</v>
      </c>
      <c r="AZ115" s="16">
        <v>43</v>
      </c>
      <c r="BA115" s="16">
        <v>4.5</v>
      </c>
      <c r="BB115" s="16">
        <v>1.9350000000000001</v>
      </c>
      <c r="BC115" s="16">
        <v>15</v>
      </c>
      <c r="BD115" s="16">
        <v>6.9</v>
      </c>
      <c r="BE115" s="16">
        <v>0</v>
      </c>
      <c r="BF115" s="16" t="s">
        <v>69</v>
      </c>
      <c r="BG115" s="16" t="s">
        <v>583</v>
      </c>
      <c r="BH115" s="16">
        <v>15</v>
      </c>
      <c r="BI115" s="16">
        <v>8.1</v>
      </c>
      <c r="BJ115" s="16">
        <v>47.964999999999996</v>
      </c>
      <c r="BK115" s="16">
        <v>1.9350000000000001</v>
      </c>
      <c r="BL115" s="16">
        <v>6.9</v>
      </c>
    </row>
    <row r="116" spans="1:64" x14ac:dyDescent="0.25">
      <c r="A116" s="24">
        <v>46275</v>
      </c>
      <c r="B116" s="16" t="s">
        <v>584</v>
      </c>
      <c r="C116" s="25">
        <v>76902</v>
      </c>
      <c r="F116" s="25">
        <v>19248</v>
      </c>
      <c r="G116" s="25">
        <v>291694631</v>
      </c>
      <c r="H116" s="16" t="s">
        <v>64</v>
      </c>
      <c r="I116" s="16" t="s">
        <v>65</v>
      </c>
      <c r="J116" s="16" t="s">
        <v>66</v>
      </c>
      <c r="K116" s="17">
        <v>16174</v>
      </c>
      <c r="L116" t="s">
        <v>585</v>
      </c>
      <c r="M116" t="s">
        <v>586</v>
      </c>
      <c r="N116" t="s">
        <v>69</v>
      </c>
      <c r="O116" s="16" t="s">
        <v>70</v>
      </c>
      <c r="P116" t="s">
        <v>79</v>
      </c>
      <c r="Q116" s="19">
        <v>50</v>
      </c>
      <c r="R116" t="s">
        <v>72</v>
      </c>
      <c r="S116" s="19">
        <v>5</v>
      </c>
      <c r="T116" s="19">
        <v>0</v>
      </c>
      <c r="U116" s="19">
        <v>8.48</v>
      </c>
      <c r="V116" s="19">
        <v>45</v>
      </c>
      <c r="W116" s="19">
        <v>50</v>
      </c>
      <c r="X116" t="s">
        <v>73</v>
      </c>
      <c r="Y116" s="20">
        <v>0.05</v>
      </c>
      <c r="Z116" s="19">
        <v>2.5</v>
      </c>
      <c r="AA116" s="19">
        <v>47.5</v>
      </c>
      <c r="AB116" s="19">
        <v>2.5</v>
      </c>
      <c r="AC116" t="s">
        <v>73</v>
      </c>
      <c r="AD116" s="19">
        <v>2.08</v>
      </c>
      <c r="AE116" s="19">
        <v>0.42</v>
      </c>
      <c r="AF116" s="19">
        <v>2.5</v>
      </c>
      <c r="AG116" s="19">
        <v>0</v>
      </c>
      <c r="AH116" s="19">
        <v>45</v>
      </c>
      <c r="AI116" s="19">
        <v>2.5</v>
      </c>
      <c r="AJ116" t="s">
        <v>73</v>
      </c>
      <c r="AK116" s="19">
        <v>0</v>
      </c>
      <c r="AL116" s="19">
        <v>47.5</v>
      </c>
      <c r="AM116" t="b">
        <f t="shared" si="6"/>
        <v>1</v>
      </c>
      <c r="AN116" s="21">
        <f t="shared" si="7"/>
        <v>0</v>
      </c>
      <c r="AO116" s="19">
        <f t="shared" si="8"/>
        <v>0</v>
      </c>
      <c r="AP116" s="22">
        <v>15</v>
      </c>
      <c r="AQ116" s="18">
        <f t="shared" si="9"/>
        <v>0</v>
      </c>
      <c r="AR116" s="18">
        <f t="shared" si="10"/>
        <v>5</v>
      </c>
      <c r="AS116" s="23">
        <f t="shared" si="11"/>
        <v>10</v>
      </c>
      <c r="AT116" s="24">
        <v>46275.886805555558</v>
      </c>
      <c r="AU116" s="16" t="s">
        <v>585</v>
      </c>
      <c r="AV116" s="16">
        <v>291694631</v>
      </c>
      <c r="AW116" s="16">
        <v>739121509</v>
      </c>
      <c r="AX116" s="16" t="s">
        <v>587</v>
      </c>
      <c r="AY116" s="16">
        <v>50</v>
      </c>
      <c r="AZ116" s="16">
        <v>50</v>
      </c>
      <c r="BA116" s="16">
        <v>5</v>
      </c>
      <c r="BB116" s="16">
        <v>2.5</v>
      </c>
      <c r="BC116" s="16">
        <v>15</v>
      </c>
      <c r="BD116" s="16">
        <v>5</v>
      </c>
      <c r="BE116" s="16">
        <v>0</v>
      </c>
      <c r="BF116" s="16" t="s">
        <v>69</v>
      </c>
      <c r="BG116" s="16" t="s">
        <v>588</v>
      </c>
      <c r="BH116" s="16">
        <v>15</v>
      </c>
      <c r="BI116" s="16">
        <v>10</v>
      </c>
      <c r="BJ116" s="16">
        <v>52.5</v>
      </c>
      <c r="BK116" s="16">
        <v>2.5</v>
      </c>
      <c r="BL116" s="16">
        <v>5</v>
      </c>
    </row>
    <row r="117" spans="1:64" x14ac:dyDescent="0.25">
      <c r="A117" s="24">
        <v>46275</v>
      </c>
      <c r="B117" s="16" t="s">
        <v>589</v>
      </c>
      <c r="C117" s="25">
        <v>7872</v>
      </c>
      <c r="F117" s="25">
        <v>19249</v>
      </c>
      <c r="G117" s="25">
        <v>291699876</v>
      </c>
      <c r="H117" s="16" t="s">
        <v>64</v>
      </c>
      <c r="I117" s="16" t="s">
        <v>65</v>
      </c>
      <c r="J117" s="16" t="s">
        <v>66</v>
      </c>
      <c r="K117" s="17">
        <v>796</v>
      </c>
      <c r="L117" t="s">
        <v>590</v>
      </c>
      <c r="M117" t="s">
        <v>591</v>
      </c>
      <c r="N117" t="s">
        <v>69</v>
      </c>
      <c r="O117" s="16" t="s">
        <v>70</v>
      </c>
      <c r="P117" t="s">
        <v>71</v>
      </c>
      <c r="Q117" s="19">
        <v>40.5</v>
      </c>
      <c r="R117" t="s">
        <v>72</v>
      </c>
      <c r="S117" s="19">
        <v>4.05</v>
      </c>
      <c r="T117" s="19">
        <v>0</v>
      </c>
      <c r="U117" s="19">
        <v>7.24</v>
      </c>
      <c r="V117" s="19">
        <v>36.450000000000003</v>
      </c>
      <c r="W117" s="19">
        <v>40.5</v>
      </c>
      <c r="X117" t="s">
        <v>73</v>
      </c>
      <c r="Y117" s="20">
        <v>5.0099999999999999E-2</v>
      </c>
      <c r="Z117" s="19">
        <v>2.0299999999999998</v>
      </c>
      <c r="AA117" s="19">
        <v>38.479999999999997</v>
      </c>
      <c r="AB117" s="19">
        <v>2.0299999999999998</v>
      </c>
      <c r="AC117" t="s">
        <v>73</v>
      </c>
      <c r="AD117" s="19">
        <v>1.67</v>
      </c>
      <c r="AE117" s="19">
        <v>0.36</v>
      </c>
      <c r="AF117" s="19">
        <v>2.0299999999999998</v>
      </c>
      <c r="AG117" s="19">
        <v>0.64</v>
      </c>
      <c r="AH117" s="19">
        <v>35.81</v>
      </c>
      <c r="AI117" s="19">
        <v>2.0299999999999998</v>
      </c>
      <c r="AJ117" t="s">
        <v>73</v>
      </c>
      <c r="AK117" s="19">
        <v>0</v>
      </c>
      <c r="AL117" s="19">
        <v>38.479999999999997</v>
      </c>
      <c r="AM117" t="b">
        <f t="shared" si="6"/>
        <v>1</v>
      </c>
      <c r="AN117" s="21">
        <f t="shared" si="7"/>
        <v>-9.9999999999995925E-5</v>
      </c>
      <c r="AO117" s="19">
        <f t="shared" si="8"/>
        <v>4.9999999999998934E-3</v>
      </c>
      <c r="AP117" s="22">
        <v>15</v>
      </c>
      <c r="AQ117" s="18">
        <f t="shared" si="9"/>
        <v>0</v>
      </c>
      <c r="AR117" s="18">
        <f t="shared" si="10"/>
        <v>15</v>
      </c>
      <c r="AS117" s="23">
        <f t="shared" si="11"/>
        <v>0</v>
      </c>
      <c r="AT117" s="24">
        <v>46275.898611111108</v>
      </c>
      <c r="AU117" s="16" t="s">
        <v>592</v>
      </c>
      <c r="AV117" s="16">
        <v>291699876</v>
      </c>
      <c r="AW117" s="16">
        <v>739137387</v>
      </c>
      <c r="AX117" s="16" t="s">
        <v>110</v>
      </c>
      <c r="AY117" s="16">
        <v>40.5</v>
      </c>
      <c r="AZ117" s="16">
        <v>40.5</v>
      </c>
      <c r="BA117" s="16">
        <v>5</v>
      </c>
      <c r="BB117" s="16">
        <v>2.0249999999999999</v>
      </c>
      <c r="BC117" s="16">
        <v>15</v>
      </c>
      <c r="BD117" s="16">
        <v>15</v>
      </c>
      <c r="BE117" s="16">
        <v>0</v>
      </c>
      <c r="BF117" s="16" t="s">
        <v>69</v>
      </c>
      <c r="BG117" s="16" t="s">
        <v>593</v>
      </c>
      <c r="BH117" s="16">
        <v>15</v>
      </c>
      <c r="BI117" s="16">
        <v>0</v>
      </c>
      <c r="BJ117" s="16">
        <v>53.475000000000001</v>
      </c>
      <c r="BK117" s="16">
        <v>2.0249999999999999</v>
      </c>
      <c r="BL117" s="16">
        <v>15</v>
      </c>
    </row>
    <row r="118" spans="1:64" x14ac:dyDescent="0.25">
      <c r="A118" s="24">
        <v>46275</v>
      </c>
      <c r="B118" s="16" t="s">
        <v>594</v>
      </c>
      <c r="C118" s="25">
        <v>72041</v>
      </c>
      <c r="F118" s="25">
        <v>19250</v>
      </c>
      <c r="G118" s="25">
        <v>291703383</v>
      </c>
      <c r="H118" s="16" t="s">
        <v>64</v>
      </c>
      <c r="I118" s="16" t="s">
        <v>65</v>
      </c>
      <c r="J118" s="16" t="s">
        <v>66</v>
      </c>
      <c r="K118" s="17">
        <v>273</v>
      </c>
      <c r="L118" t="s">
        <v>595</v>
      </c>
      <c r="M118" t="s">
        <v>596</v>
      </c>
      <c r="N118" t="s">
        <v>69</v>
      </c>
      <c r="O118" s="16" t="s">
        <v>70</v>
      </c>
      <c r="P118" t="s">
        <v>71</v>
      </c>
      <c r="Q118" s="19">
        <v>64</v>
      </c>
      <c r="R118" t="s">
        <v>72</v>
      </c>
      <c r="S118" s="19">
        <v>6.4</v>
      </c>
      <c r="T118" s="19">
        <v>0</v>
      </c>
      <c r="U118" s="19">
        <v>10.31</v>
      </c>
      <c r="V118" s="19">
        <v>57.6</v>
      </c>
      <c r="W118" s="19">
        <v>64</v>
      </c>
      <c r="X118" t="s">
        <v>73</v>
      </c>
      <c r="Y118" s="20">
        <v>0.05</v>
      </c>
      <c r="Z118" s="19">
        <v>3.2</v>
      </c>
      <c r="AA118" s="19">
        <v>60.8</v>
      </c>
      <c r="AB118" s="19">
        <v>3.2</v>
      </c>
      <c r="AC118" t="s">
        <v>73</v>
      </c>
      <c r="AD118" s="19">
        <v>2.68</v>
      </c>
      <c r="AE118" s="19">
        <v>0.52</v>
      </c>
      <c r="AF118" s="19">
        <v>3.2</v>
      </c>
      <c r="AG118" s="19">
        <v>30</v>
      </c>
      <c r="AH118" s="19">
        <v>27.6</v>
      </c>
      <c r="AI118" s="19">
        <v>3.2</v>
      </c>
      <c r="AJ118" t="s">
        <v>73</v>
      </c>
      <c r="AK118" s="19">
        <v>0</v>
      </c>
      <c r="AL118" s="19">
        <v>60.8</v>
      </c>
      <c r="AM118" t="b">
        <f t="shared" si="6"/>
        <v>1</v>
      </c>
      <c r="AN118" s="21">
        <f t="shared" si="7"/>
        <v>0</v>
      </c>
      <c r="AO118" s="19">
        <f t="shared" si="8"/>
        <v>0</v>
      </c>
      <c r="AP118" s="22">
        <v>15</v>
      </c>
      <c r="AQ118" s="18">
        <f t="shared" si="9"/>
        <v>0</v>
      </c>
      <c r="AR118" s="18">
        <f t="shared" si="10"/>
        <v>4.9499999999999993</v>
      </c>
      <c r="AS118" s="23">
        <f t="shared" si="11"/>
        <v>10.050000000000001</v>
      </c>
      <c r="AT118" s="24">
        <v>46275.908333333333</v>
      </c>
      <c r="AU118" s="16" t="s">
        <v>597</v>
      </c>
      <c r="AV118" s="16">
        <v>291703383</v>
      </c>
      <c r="AW118" s="16">
        <v>739143960</v>
      </c>
      <c r="AX118" s="16" t="s">
        <v>598</v>
      </c>
      <c r="AY118" s="16">
        <v>64</v>
      </c>
      <c r="AZ118" s="16">
        <v>64</v>
      </c>
      <c r="BA118" s="16">
        <v>5</v>
      </c>
      <c r="BB118" s="16">
        <v>3.2</v>
      </c>
      <c r="BC118" s="16">
        <v>15</v>
      </c>
      <c r="BD118" s="16">
        <v>4.95</v>
      </c>
      <c r="BE118" s="16">
        <v>0</v>
      </c>
      <c r="BF118" s="16" t="s">
        <v>69</v>
      </c>
      <c r="BG118" s="16" t="s">
        <v>599</v>
      </c>
      <c r="BH118" s="16">
        <v>15</v>
      </c>
      <c r="BI118" s="16">
        <v>10.050000000000001</v>
      </c>
      <c r="BJ118" s="16">
        <v>65.75</v>
      </c>
      <c r="BK118" s="16">
        <v>3.2</v>
      </c>
      <c r="BL118" s="16">
        <v>4.9499999999999993</v>
      </c>
    </row>
    <row r="119" spans="1:64" x14ac:dyDescent="0.25">
      <c r="A119" s="24">
        <v>46275</v>
      </c>
      <c r="B119" s="16" t="s">
        <v>600</v>
      </c>
      <c r="C119" s="25">
        <v>34777</v>
      </c>
      <c r="F119" s="25">
        <v>19251</v>
      </c>
      <c r="G119" s="25">
        <v>291705308</v>
      </c>
      <c r="H119" s="16" t="s">
        <v>64</v>
      </c>
      <c r="I119" s="16" t="s">
        <v>65</v>
      </c>
      <c r="J119" s="16" t="s">
        <v>66</v>
      </c>
      <c r="K119" s="17">
        <v>65</v>
      </c>
      <c r="L119" t="s">
        <v>340</v>
      </c>
      <c r="M119" t="s">
        <v>601</v>
      </c>
      <c r="N119" t="s">
        <v>69</v>
      </c>
      <c r="O119" s="16" t="s">
        <v>70</v>
      </c>
      <c r="P119" t="s">
        <v>71</v>
      </c>
      <c r="Q119" s="19">
        <v>35</v>
      </c>
      <c r="R119" t="s">
        <v>72</v>
      </c>
      <c r="S119" s="19">
        <v>3.5</v>
      </c>
      <c r="T119" s="19">
        <v>0</v>
      </c>
      <c r="U119" s="19">
        <v>6.53</v>
      </c>
      <c r="V119" s="19">
        <v>31.5</v>
      </c>
      <c r="W119" s="19">
        <v>35</v>
      </c>
      <c r="X119" t="s">
        <v>73</v>
      </c>
      <c r="Y119" s="20">
        <v>0.05</v>
      </c>
      <c r="Z119" s="19">
        <v>1.75</v>
      </c>
      <c r="AA119" s="19">
        <v>33.25</v>
      </c>
      <c r="AB119" s="19">
        <v>1.75</v>
      </c>
      <c r="AC119" t="s">
        <v>73</v>
      </c>
      <c r="AD119" s="19">
        <v>1.42</v>
      </c>
      <c r="AE119" s="19">
        <v>0.33</v>
      </c>
      <c r="AF119" s="19">
        <v>1.75</v>
      </c>
      <c r="AG119" s="19">
        <v>25</v>
      </c>
      <c r="AH119" s="19">
        <v>6.5</v>
      </c>
      <c r="AI119" s="19">
        <v>1.75</v>
      </c>
      <c r="AJ119" t="s">
        <v>73</v>
      </c>
      <c r="AK119" s="19">
        <v>0</v>
      </c>
      <c r="AL119" s="19">
        <v>33.25</v>
      </c>
      <c r="AM119" t="b">
        <f t="shared" si="6"/>
        <v>1</v>
      </c>
      <c r="AN119" s="21">
        <f t="shared" si="7"/>
        <v>0</v>
      </c>
      <c r="AO119" s="19">
        <f t="shared" si="8"/>
        <v>0</v>
      </c>
      <c r="AP119" s="22">
        <v>15</v>
      </c>
      <c r="AQ119" s="18">
        <f t="shared" si="9"/>
        <v>0</v>
      </c>
      <c r="AR119" s="18">
        <f t="shared" si="10"/>
        <v>6.9</v>
      </c>
      <c r="AS119" s="23">
        <f t="shared" si="11"/>
        <v>8.1</v>
      </c>
      <c r="AT119" s="24">
        <v>46275.911111111112</v>
      </c>
      <c r="AU119" s="16" t="s">
        <v>342</v>
      </c>
      <c r="AV119" s="16">
        <v>291705308</v>
      </c>
      <c r="AW119" s="16">
        <v>739150341</v>
      </c>
      <c r="AX119" s="16" t="s">
        <v>602</v>
      </c>
      <c r="AY119" s="16">
        <v>35</v>
      </c>
      <c r="AZ119" s="16">
        <v>35</v>
      </c>
      <c r="BA119" s="16">
        <v>5</v>
      </c>
      <c r="BB119" s="16">
        <v>1.75</v>
      </c>
      <c r="BC119" s="16">
        <v>15</v>
      </c>
      <c r="BD119" s="16">
        <v>6.9</v>
      </c>
      <c r="BE119" s="16">
        <v>0</v>
      </c>
      <c r="BF119" s="16" t="s">
        <v>69</v>
      </c>
      <c r="BG119" s="16" t="s">
        <v>343</v>
      </c>
      <c r="BH119" s="16">
        <v>15</v>
      </c>
      <c r="BI119" s="16">
        <v>8.1</v>
      </c>
      <c r="BJ119" s="16">
        <v>40.15</v>
      </c>
      <c r="BK119" s="16">
        <v>1.75</v>
      </c>
      <c r="BL119" s="16">
        <v>6.9</v>
      </c>
    </row>
    <row r="120" spans="1:64" x14ac:dyDescent="0.25">
      <c r="A120" s="24">
        <v>46275</v>
      </c>
      <c r="B120" s="16" t="s">
        <v>603</v>
      </c>
      <c r="C120" s="25">
        <v>10236</v>
      </c>
      <c r="D120" s="17" t="s">
        <v>604</v>
      </c>
      <c r="F120" s="25">
        <v>19253</v>
      </c>
      <c r="G120" s="25">
        <v>291710535</v>
      </c>
      <c r="H120" s="16" t="s">
        <v>64</v>
      </c>
      <c r="I120" s="16" t="s">
        <v>65</v>
      </c>
      <c r="J120" s="16" t="s">
        <v>66</v>
      </c>
      <c r="K120" s="17">
        <v>23</v>
      </c>
      <c r="L120" t="s">
        <v>157</v>
      </c>
      <c r="M120" t="s">
        <v>605</v>
      </c>
      <c r="N120" t="s">
        <v>69</v>
      </c>
      <c r="O120" s="16" t="s">
        <v>70</v>
      </c>
      <c r="P120" t="s">
        <v>86</v>
      </c>
      <c r="Q120" s="19">
        <v>48</v>
      </c>
      <c r="R120" t="s">
        <v>73</v>
      </c>
      <c r="S120" s="19">
        <v>0</v>
      </c>
      <c r="T120" s="19">
        <v>8</v>
      </c>
      <c r="U120" s="19">
        <v>8.2200000000000006</v>
      </c>
      <c r="V120" s="19">
        <v>56</v>
      </c>
      <c r="W120" s="19">
        <v>56</v>
      </c>
      <c r="X120" t="s">
        <v>73</v>
      </c>
      <c r="Y120" s="20">
        <v>0.05</v>
      </c>
      <c r="Z120" s="19">
        <v>2.4</v>
      </c>
      <c r="AA120" s="19">
        <v>53.6</v>
      </c>
      <c r="AB120" s="19">
        <v>2.4</v>
      </c>
      <c r="AC120" t="s">
        <v>73</v>
      </c>
      <c r="AD120" s="19">
        <v>1.99</v>
      </c>
      <c r="AE120" s="19">
        <v>0.41</v>
      </c>
      <c r="AF120" s="19">
        <v>2.4</v>
      </c>
      <c r="AG120" s="19">
        <v>0</v>
      </c>
      <c r="AH120" s="19">
        <v>56</v>
      </c>
      <c r="AI120" s="19">
        <v>2.4</v>
      </c>
      <c r="AJ120" t="s">
        <v>73</v>
      </c>
      <c r="AK120" s="19">
        <v>56</v>
      </c>
      <c r="AL120" s="19">
        <v>53.6</v>
      </c>
      <c r="AM120" t="b">
        <f t="shared" si="6"/>
        <v>1</v>
      </c>
      <c r="AN120" s="21">
        <f t="shared" si="7"/>
        <v>0</v>
      </c>
      <c r="AO120" s="19">
        <f t="shared" si="8"/>
        <v>0</v>
      </c>
      <c r="AP120" s="22">
        <v>15</v>
      </c>
      <c r="AQ120" s="18">
        <f t="shared" si="9"/>
        <v>8</v>
      </c>
      <c r="AR120" s="18">
        <f t="shared" si="10"/>
        <v>3.5</v>
      </c>
      <c r="AS120" s="23">
        <f t="shared" si="11"/>
        <v>3.5</v>
      </c>
      <c r="AT120" s="24">
        <v>46275.927777777775</v>
      </c>
      <c r="AU120" s="16" t="s">
        <v>159</v>
      </c>
      <c r="AV120" s="16">
        <v>291710535</v>
      </c>
      <c r="AW120" s="16">
        <v>738102029</v>
      </c>
      <c r="AX120" s="16" t="s">
        <v>110</v>
      </c>
      <c r="AY120" s="16">
        <v>56</v>
      </c>
      <c r="AZ120" s="16">
        <v>48</v>
      </c>
      <c r="BA120" s="16">
        <v>5</v>
      </c>
      <c r="BB120" s="16">
        <v>2.4</v>
      </c>
      <c r="BC120" s="16">
        <v>15</v>
      </c>
      <c r="BD120" s="16">
        <v>3.5</v>
      </c>
      <c r="BE120" s="16">
        <v>7</v>
      </c>
      <c r="BF120" s="16" t="s">
        <v>69</v>
      </c>
      <c r="BG120" s="16" t="s">
        <v>606</v>
      </c>
      <c r="BH120" s="16">
        <v>7</v>
      </c>
      <c r="BI120" s="16">
        <v>3.5</v>
      </c>
      <c r="BJ120" s="16">
        <v>57.1</v>
      </c>
      <c r="BK120" s="16">
        <v>2.4</v>
      </c>
      <c r="BL120" s="16">
        <v>11.5</v>
      </c>
    </row>
    <row r="121" spans="1:64" x14ac:dyDescent="0.25">
      <c r="A121" s="24">
        <v>46275</v>
      </c>
      <c r="B121" s="16" t="s">
        <v>607</v>
      </c>
      <c r="C121" s="25">
        <v>70924</v>
      </c>
      <c r="F121" s="25">
        <v>19254</v>
      </c>
      <c r="G121" s="25">
        <v>291711132</v>
      </c>
      <c r="H121" s="16" t="s">
        <v>64</v>
      </c>
      <c r="I121" s="16" t="s">
        <v>65</v>
      </c>
      <c r="J121" s="16" t="s">
        <v>66</v>
      </c>
      <c r="K121" s="17">
        <v>11750</v>
      </c>
      <c r="L121" t="s">
        <v>608</v>
      </c>
      <c r="M121" t="s">
        <v>609</v>
      </c>
      <c r="N121" t="s">
        <v>69</v>
      </c>
      <c r="O121" s="16" t="s">
        <v>70</v>
      </c>
      <c r="P121" t="s">
        <v>86</v>
      </c>
      <c r="Q121" s="19">
        <v>57</v>
      </c>
      <c r="R121" t="s">
        <v>73</v>
      </c>
      <c r="S121" s="19">
        <v>0</v>
      </c>
      <c r="T121" s="19">
        <v>0</v>
      </c>
      <c r="U121" s="19">
        <v>9.39</v>
      </c>
      <c r="V121" s="19">
        <v>57</v>
      </c>
      <c r="W121" s="19">
        <v>57</v>
      </c>
      <c r="X121" t="s">
        <v>73</v>
      </c>
      <c r="Y121" s="20">
        <v>0.05</v>
      </c>
      <c r="Z121" s="19">
        <v>2.85</v>
      </c>
      <c r="AA121" s="19">
        <v>54.15</v>
      </c>
      <c r="AB121" s="19">
        <v>2.85</v>
      </c>
      <c r="AC121" t="s">
        <v>73</v>
      </c>
      <c r="AD121" s="19">
        <v>2.38</v>
      </c>
      <c r="AE121" s="19">
        <v>0.47</v>
      </c>
      <c r="AF121" s="19">
        <v>2.85</v>
      </c>
      <c r="AG121" s="19">
        <v>0</v>
      </c>
      <c r="AH121" s="19">
        <v>57</v>
      </c>
      <c r="AI121" s="19">
        <v>2.85</v>
      </c>
      <c r="AJ121" t="s">
        <v>73</v>
      </c>
      <c r="AK121" s="19">
        <v>0</v>
      </c>
      <c r="AL121" s="19">
        <v>54.15</v>
      </c>
      <c r="AM121" t="b">
        <f t="shared" si="6"/>
        <v>1</v>
      </c>
      <c r="AN121" s="21">
        <f t="shared" si="7"/>
        <v>0</v>
      </c>
      <c r="AO121" s="19">
        <f t="shared" si="8"/>
        <v>0</v>
      </c>
      <c r="AP121" s="22">
        <v>15</v>
      </c>
      <c r="AQ121" s="18">
        <f t="shared" si="9"/>
        <v>0</v>
      </c>
      <c r="AR121" s="18">
        <f t="shared" si="10"/>
        <v>5</v>
      </c>
      <c r="AS121" s="23">
        <f t="shared" si="11"/>
        <v>10</v>
      </c>
      <c r="AT121" s="24">
        <v>46275.923611111109</v>
      </c>
      <c r="AU121" s="16" t="s">
        <v>610</v>
      </c>
      <c r="AV121" s="16">
        <v>291711132</v>
      </c>
      <c r="AW121" s="16">
        <v>739163597</v>
      </c>
      <c r="AX121" s="16" t="s">
        <v>378</v>
      </c>
      <c r="AY121" s="16">
        <v>57</v>
      </c>
      <c r="AZ121" s="16">
        <v>57</v>
      </c>
      <c r="BA121" s="16">
        <v>5</v>
      </c>
      <c r="BB121" s="16">
        <v>2.85</v>
      </c>
      <c r="BC121" s="16">
        <v>15</v>
      </c>
      <c r="BD121" s="16">
        <v>5</v>
      </c>
      <c r="BE121" s="16">
        <v>0</v>
      </c>
      <c r="BF121" s="16" t="s">
        <v>69</v>
      </c>
      <c r="BG121" s="16" t="s">
        <v>611</v>
      </c>
      <c r="BH121" s="16">
        <v>15</v>
      </c>
      <c r="BI121" s="16">
        <v>10</v>
      </c>
      <c r="BJ121" s="16">
        <v>59.15</v>
      </c>
      <c r="BK121" s="16">
        <v>2.85</v>
      </c>
      <c r="BL121" s="16">
        <v>5</v>
      </c>
    </row>
    <row r="122" spans="1:64" x14ac:dyDescent="0.25">
      <c r="A122" s="24">
        <v>46275</v>
      </c>
      <c r="B122" s="16" t="s">
        <v>460</v>
      </c>
      <c r="C122" s="25">
        <v>7537</v>
      </c>
      <c r="F122" s="25">
        <v>19255</v>
      </c>
      <c r="G122" s="25">
        <v>291714283</v>
      </c>
      <c r="H122" s="16" t="s">
        <v>64</v>
      </c>
      <c r="I122" s="16" t="s">
        <v>65</v>
      </c>
      <c r="J122" s="16" t="s">
        <v>66</v>
      </c>
      <c r="K122" s="17">
        <v>91</v>
      </c>
      <c r="L122" t="s">
        <v>77</v>
      </c>
      <c r="M122" t="s">
        <v>612</v>
      </c>
      <c r="N122" t="s">
        <v>69</v>
      </c>
      <c r="O122" s="16" t="s">
        <v>70</v>
      </c>
      <c r="P122" t="s">
        <v>79</v>
      </c>
      <c r="Q122" s="19">
        <v>136</v>
      </c>
      <c r="R122" t="s">
        <v>73</v>
      </c>
      <c r="S122" s="19">
        <v>0</v>
      </c>
      <c r="T122" s="19">
        <v>17</v>
      </c>
      <c r="U122" s="19">
        <v>19.96</v>
      </c>
      <c r="V122" s="19">
        <v>153</v>
      </c>
      <c r="W122" s="19">
        <v>153</v>
      </c>
      <c r="X122" t="s">
        <v>73</v>
      </c>
      <c r="Y122" s="20">
        <v>0.05</v>
      </c>
      <c r="Z122" s="19">
        <v>6.8</v>
      </c>
      <c r="AA122" s="19">
        <v>146.19999999999999</v>
      </c>
      <c r="AB122" s="19">
        <v>6.8</v>
      </c>
      <c r="AC122" t="s">
        <v>73</v>
      </c>
      <c r="AD122" s="19">
        <v>5.8</v>
      </c>
      <c r="AE122" s="19">
        <v>1</v>
      </c>
      <c r="AF122" s="19">
        <v>6.8</v>
      </c>
      <c r="AG122" s="19">
        <v>0</v>
      </c>
      <c r="AH122" s="19">
        <v>153</v>
      </c>
      <c r="AI122" s="19">
        <v>6.8</v>
      </c>
      <c r="AJ122" t="s">
        <v>73</v>
      </c>
      <c r="AK122" s="19">
        <v>0</v>
      </c>
      <c r="AL122" s="19">
        <v>146.19999999999999</v>
      </c>
      <c r="AM122" t="b">
        <f t="shared" si="6"/>
        <v>1</v>
      </c>
      <c r="AN122" s="21">
        <f t="shared" si="7"/>
        <v>0</v>
      </c>
      <c r="AO122" s="19">
        <f t="shared" si="8"/>
        <v>0</v>
      </c>
      <c r="AP122" s="22">
        <v>17</v>
      </c>
      <c r="AQ122" s="18">
        <f t="shared" si="9"/>
        <v>17</v>
      </c>
      <c r="AR122" s="18">
        <f t="shared" si="10"/>
        <v>0</v>
      </c>
      <c r="AS122" s="23">
        <f t="shared" si="11"/>
        <v>0</v>
      </c>
      <c r="AT122" s="24">
        <v>46275.939583333333</v>
      </c>
      <c r="AU122" s="16" t="s">
        <v>80</v>
      </c>
      <c r="AV122" s="16">
        <v>291714283</v>
      </c>
      <c r="AW122" s="16">
        <v>739171747</v>
      </c>
      <c r="AX122" s="16" t="s">
        <v>613</v>
      </c>
      <c r="AY122" s="16">
        <v>153</v>
      </c>
      <c r="AZ122" s="16">
        <v>136</v>
      </c>
      <c r="BA122" s="16">
        <v>5</v>
      </c>
      <c r="BB122" s="16">
        <v>6.8</v>
      </c>
      <c r="BC122" s="16">
        <v>17</v>
      </c>
      <c r="BD122" s="16">
        <v>0</v>
      </c>
      <c r="BE122" s="16">
        <v>16</v>
      </c>
      <c r="BF122" s="16" t="s">
        <v>69</v>
      </c>
      <c r="BG122" s="16" t="s">
        <v>614</v>
      </c>
      <c r="BH122" s="16">
        <v>0</v>
      </c>
      <c r="BI122" s="16">
        <v>0</v>
      </c>
      <c r="BJ122" s="16">
        <v>146.19999999999999</v>
      </c>
      <c r="BK122" s="16">
        <v>6.8</v>
      </c>
      <c r="BL122" s="16">
        <v>17</v>
      </c>
    </row>
    <row r="123" spans="1:64" x14ac:dyDescent="0.25">
      <c r="A123" s="24">
        <v>46275</v>
      </c>
      <c r="B123" s="16" t="s">
        <v>615</v>
      </c>
      <c r="C123" s="25">
        <v>7955</v>
      </c>
      <c r="F123" s="25">
        <v>19256</v>
      </c>
      <c r="G123" s="25">
        <v>291724110</v>
      </c>
      <c r="H123" s="16" t="s">
        <v>64</v>
      </c>
      <c r="I123" s="16" t="s">
        <v>65</v>
      </c>
      <c r="J123" s="16" t="s">
        <v>66</v>
      </c>
      <c r="K123" s="17">
        <v>3042</v>
      </c>
      <c r="L123" t="s">
        <v>616</v>
      </c>
      <c r="M123" t="s">
        <v>617</v>
      </c>
      <c r="N123" t="s">
        <v>69</v>
      </c>
      <c r="O123" s="16" t="s">
        <v>70</v>
      </c>
      <c r="P123" t="s">
        <v>71</v>
      </c>
      <c r="Q123" s="19">
        <v>148</v>
      </c>
      <c r="R123" t="s">
        <v>72</v>
      </c>
      <c r="S123" s="19">
        <v>14.8</v>
      </c>
      <c r="T123" s="19">
        <v>43</v>
      </c>
      <c r="U123" s="19">
        <v>24.91</v>
      </c>
      <c r="V123" s="19">
        <v>176.2</v>
      </c>
      <c r="W123" s="19">
        <v>191</v>
      </c>
      <c r="X123" t="s">
        <v>73</v>
      </c>
      <c r="Y123" s="20">
        <v>0.05</v>
      </c>
      <c r="Z123" s="19">
        <v>7.4</v>
      </c>
      <c r="AA123" s="19">
        <v>183.6</v>
      </c>
      <c r="AB123" s="19">
        <v>7.4</v>
      </c>
      <c r="AC123" t="s">
        <v>73</v>
      </c>
      <c r="AD123" s="19">
        <v>6.15</v>
      </c>
      <c r="AE123" s="19">
        <v>1.25</v>
      </c>
      <c r="AF123" s="19">
        <v>7.4</v>
      </c>
      <c r="AG123" s="19">
        <v>4.03</v>
      </c>
      <c r="AH123" s="19">
        <v>172.17</v>
      </c>
      <c r="AI123" s="19">
        <v>7.4</v>
      </c>
      <c r="AJ123" t="s">
        <v>73</v>
      </c>
      <c r="AK123" s="19">
        <v>0</v>
      </c>
      <c r="AL123" s="19">
        <v>183.6</v>
      </c>
      <c r="AM123" t="b">
        <f t="shared" si="6"/>
        <v>1</v>
      </c>
      <c r="AN123" s="21">
        <f t="shared" si="7"/>
        <v>0</v>
      </c>
      <c r="AO123" s="19">
        <f t="shared" si="8"/>
        <v>0</v>
      </c>
      <c r="AP123" s="22">
        <v>43</v>
      </c>
      <c r="AQ123" s="18">
        <f t="shared" si="9"/>
        <v>43</v>
      </c>
      <c r="AR123" s="18">
        <f t="shared" si="10"/>
        <v>0</v>
      </c>
      <c r="AS123" s="23">
        <f t="shared" si="11"/>
        <v>0</v>
      </c>
      <c r="AT123" s="24">
        <v>46275.981249999997</v>
      </c>
      <c r="AU123" s="16" t="s">
        <v>618</v>
      </c>
      <c r="AV123" s="16">
        <v>291724110</v>
      </c>
      <c r="AW123" s="16">
        <v>739194358</v>
      </c>
      <c r="AX123" s="16" t="s">
        <v>619</v>
      </c>
      <c r="AY123" s="16">
        <v>191</v>
      </c>
      <c r="AZ123" s="16">
        <v>148</v>
      </c>
      <c r="BA123" s="16">
        <v>5</v>
      </c>
      <c r="BB123" s="16">
        <v>7.4</v>
      </c>
      <c r="BC123" s="16">
        <v>43</v>
      </c>
      <c r="BD123" s="16">
        <v>0</v>
      </c>
      <c r="BE123" s="16">
        <v>41</v>
      </c>
      <c r="BF123" s="16" t="s">
        <v>69</v>
      </c>
      <c r="BG123" s="16" t="s">
        <v>620</v>
      </c>
      <c r="BH123" s="16">
        <v>0</v>
      </c>
      <c r="BI123" s="16">
        <v>0</v>
      </c>
      <c r="BJ123" s="16">
        <v>183.6</v>
      </c>
      <c r="BK123" s="16">
        <v>7.4</v>
      </c>
      <c r="BL123" s="16">
        <v>43</v>
      </c>
    </row>
    <row r="124" spans="1:64" x14ac:dyDescent="0.25">
      <c r="A124" s="24">
        <v>46275</v>
      </c>
      <c r="B124" s="16" t="s">
        <v>621</v>
      </c>
      <c r="C124" s="25">
        <v>79308</v>
      </c>
      <c r="F124" s="25">
        <v>19257</v>
      </c>
      <c r="G124" s="25">
        <v>291731124</v>
      </c>
      <c r="H124" s="16" t="s">
        <v>64</v>
      </c>
      <c r="I124" s="16" t="s">
        <v>65</v>
      </c>
      <c r="J124" s="16" t="s">
        <v>66</v>
      </c>
      <c r="K124" s="17">
        <v>11322</v>
      </c>
      <c r="L124" t="s">
        <v>622</v>
      </c>
      <c r="M124" t="s">
        <v>623</v>
      </c>
      <c r="N124" t="s">
        <v>69</v>
      </c>
      <c r="O124" s="16" t="s">
        <v>70</v>
      </c>
      <c r="P124" t="s">
        <v>169</v>
      </c>
      <c r="Q124" s="19">
        <v>54</v>
      </c>
      <c r="R124" t="s">
        <v>72</v>
      </c>
      <c r="S124" s="19">
        <v>5.4</v>
      </c>
      <c r="T124" s="19">
        <v>13</v>
      </c>
      <c r="U124" s="19">
        <v>10.69</v>
      </c>
      <c r="V124" s="19">
        <v>61.6</v>
      </c>
      <c r="W124" s="19">
        <v>67</v>
      </c>
      <c r="X124" t="s">
        <v>73</v>
      </c>
      <c r="Y124" s="20">
        <v>0.05</v>
      </c>
      <c r="Z124" s="19">
        <v>2.7</v>
      </c>
      <c r="AA124" s="19">
        <v>64.3</v>
      </c>
      <c r="AB124" s="19">
        <v>2.7</v>
      </c>
      <c r="AC124" t="s">
        <v>73</v>
      </c>
      <c r="AD124" s="19">
        <v>2.17</v>
      </c>
      <c r="AE124" s="19">
        <v>0.53</v>
      </c>
      <c r="AF124" s="19">
        <v>2.7</v>
      </c>
      <c r="AG124" s="19">
        <v>5</v>
      </c>
      <c r="AH124" s="19">
        <v>56.6</v>
      </c>
      <c r="AI124" s="19">
        <v>2.7</v>
      </c>
      <c r="AJ124" t="s">
        <v>73</v>
      </c>
      <c r="AK124" s="19">
        <v>0</v>
      </c>
      <c r="AL124" s="19">
        <v>64.3</v>
      </c>
      <c r="AM124" t="b">
        <f t="shared" si="6"/>
        <v>1</v>
      </c>
      <c r="AN124" s="21">
        <f t="shared" si="7"/>
        <v>0</v>
      </c>
      <c r="AO124" s="19">
        <f t="shared" si="8"/>
        <v>0</v>
      </c>
      <c r="AP124" s="22">
        <v>28</v>
      </c>
      <c r="AQ124" s="18">
        <f t="shared" si="9"/>
        <v>13</v>
      </c>
      <c r="AR124" s="18">
        <f t="shared" si="10"/>
        <v>4.9499999999999993</v>
      </c>
      <c r="AS124" s="23">
        <f t="shared" si="11"/>
        <v>10.050000000000001</v>
      </c>
      <c r="AT124" s="24">
        <v>46275.998611111114</v>
      </c>
      <c r="AU124" s="16" t="s">
        <v>624</v>
      </c>
      <c r="AV124" s="16">
        <v>291731124</v>
      </c>
      <c r="AW124" s="16">
        <v>739147308</v>
      </c>
      <c r="AX124" s="16" t="s">
        <v>625</v>
      </c>
      <c r="AY124" s="16">
        <v>67</v>
      </c>
      <c r="AZ124" s="16">
        <v>54</v>
      </c>
      <c r="BA124" s="16">
        <v>5</v>
      </c>
      <c r="BB124" s="16">
        <v>2.7</v>
      </c>
      <c r="BC124" s="16">
        <v>28</v>
      </c>
      <c r="BD124" s="16">
        <v>4.95</v>
      </c>
      <c r="BE124" s="16">
        <v>12</v>
      </c>
      <c r="BF124" s="16" t="s">
        <v>69</v>
      </c>
      <c r="BG124" s="16" t="s">
        <v>626</v>
      </c>
      <c r="BH124" s="16">
        <v>15</v>
      </c>
      <c r="BI124" s="16">
        <v>10.050000000000001</v>
      </c>
      <c r="BJ124" s="16">
        <v>69.25</v>
      </c>
      <c r="BK124" s="16">
        <v>2.7</v>
      </c>
      <c r="BL124" s="16">
        <v>17.95</v>
      </c>
    </row>
    <row r="125" spans="1:64" x14ac:dyDescent="0.25">
      <c r="A125" s="24">
        <v>46275</v>
      </c>
      <c r="B125" s="16" t="s">
        <v>627</v>
      </c>
      <c r="C125" s="25">
        <v>59605</v>
      </c>
      <c r="F125" s="25">
        <v>19258</v>
      </c>
      <c r="G125" s="25">
        <v>291731745</v>
      </c>
      <c r="H125" s="16" t="s">
        <v>64</v>
      </c>
      <c r="I125" s="16" t="s">
        <v>65</v>
      </c>
      <c r="J125" s="16" t="s">
        <v>66</v>
      </c>
      <c r="K125" s="17">
        <v>12575</v>
      </c>
      <c r="L125" t="s">
        <v>628</v>
      </c>
      <c r="M125" t="s">
        <v>629</v>
      </c>
      <c r="N125" t="s">
        <v>69</v>
      </c>
      <c r="O125" s="16" t="s">
        <v>70</v>
      </c>
      <c r="P125" t="s">
        <v>175</v>
      </c>
      <c r="Q125" s="19">
        <v>35</v>
      </c>
      <c r="R125" t="s">
        <v>72</v>
      </c>
      <c r="S125" s="19">
        <v>3.5</v>
      </c>
      <c r="T125" s="19">
        <v>0</v>
      </c>
      <c r="U125" s="19">
        <v>6.53</v>
      </c>
      <c r="V125" s="19">
        <v>31.5</v>
      </c>
      <c r="W125" s="19">
        <v>35</v>
      </c>
      <c r="X125" t="s">
        <v>73</v>
      </c>
      <c r="Y125" s="20">
        <v>0.05</v>
      </c>
      <c r="Z125" s="19">
        <v>1.75</v>
      </c>
      <c r="AA125" s="19">
        <v>33.25</v>
      </c>
      <c r="AB125" s="19">
        <v>1.75</v>
      </c>
      <c r="AC125" t="s">
        <v>73</v>
      </c>
      <c r="AD125" s="19">
        <v>1.42</v>
      </c>
      <c r="AE125" s="19">
        <v>0.33</v>
      </c>
      <c r="AF125" s="19">
        <v>1.75</v>
      </c>
      <c r="AG125" s="19">
        <v>20</v>
      </c>
      <c r="AH125" s="19">
        <v>11.5</v>
      </c>
      <c r="AI125" s="19">
        <v>1.75</v>
      </c>
      <c r="AJ125" t="s">
        <v>73</v>
      </c>
      <c r="AK125" s="19">
        <v>0</v>
      </c>
      <c r="AL125" s="19">
        <v>33.25</v>
      </c>
      <c r="AM125" t="b">
        <f t="shared" si="6"/>
        <v>1</v>
      </c>
      <c r="AN125" s="21">
        <f t="shared" si="7"/>
        <v>0</v>
      </c>
      <c r="AO125" s="19">
        <f t="shared" si="8"/>
        <v>0</v>
      </c>
      <c r="AP125" s="22">
        <v>15</v>
      </c>
      <c r="AQ125" s="18">
        <f t="shared" si="9"/>
        <v>0</v>
      </c>
      <c r="AR125" s="18">
        <f t="shared" si="10"/>
        <v>6</v>
      </c>
      <c r="AS125" s="23">
        <f t="shared" si="11"/>
        <v>9</v>
      </c>
      <c r="AT125" s="24">
        <v>46276.01458333333</v>
      </c>
      <c r="AU125" s="16" t="s">
        <v>630</v>
      </c>
      <c r="AV125" s="16">
        <v>291731745</v>
      </c>
      <c r="AW125" s="16">
        <v>739214832</v>
      </c>
      <c r="AX125" s="16" t="s">
        <v>631</v>
      </c>
      <c r="AY125" s="16">
        <v>35</v>
      </c>
      <c r="AZ125" s="16">
        <v>35</v>
      </c>
      <c r="BA125" s="16">
        <v>5</v>
      </c>
      <c r="BB125" s="16">
        <v>1.75</v>
      </c>
      <c r="BC125" s="16">
        <v>15</v>
      </c>
      <c r="BD125" s="16">
        <v>6</v>
      </c>
      <c r="BE125" s="16">
        <v>0</v>
      </c>
      <c r="BF125" s="16" t="s">
        <v>69</v>
      </c>
      <c r="BG125" s="16" t="s">
        <v>632</v>
      </c>
      <c r="BH125" s="16">
        <v>15</v>
      </c>
      <c r="BI125" s="16">
        <v>9</v>
      </c>
      <c r="BJ125" s="16">
        <v>39.25</v>
      </c>
      <c r="BK125" s="16">
        <v>1.75</v>
      </c>
      <c r="BL125" s="16">
        <v>6</v>
      </c>
    </row>
    <row r="126" spans="1:64" x14ac:dyDescent="0.25">
      <c r="A126" s="24">
        <v>46275</v>
      </c>
      <c r="B126" s="16" t="s">
        <v>633</v>
      </c>
      <c r="C126" s="25">
        <v>66029</v>
      </c>
      <c r="F126" s="25">
        <v>19259</v>
      </c>
      <c r="G126" s="25">
        <v>291732906</v>
      </c>
      <c r="H126" s="16" t="s">
        <v>64</v>
      </c>
      <c r="I126" s="16" t="s">
        <v>65</v>
      </c>
      <c r="J126" s="16" t="s">
        <v>66</v>
      </c>
      <c r="K126" s="17">
        <v>169</v>
      </c>
      <c r="L126" t="s">
        <v>163</v>
      </c>
      <c r="M126" t="s">
        <v>634</v>
      </c>
      <c r="N126" t="s">
        <v>69</v>
      </c>
      <c r="O126" s="16" t="s">
        <v>70</v>
      </c>
      <c r="P126" t="s">
        <v>71</v>
      </c>
      <c r="Q126" s="19">
        <v>60</v>
      </c>
      <c r="R126" t="s">
        <v>72</v>
      </c>
      <c r="S126" s="19">
        <v>6</v>
      </c>
      <c r="T126" s="19">
        <v>0</v>
      </c>
      <c r="U126" s="19">
        <v>9.7899999999999991</v>
      </c>
      <c r="V126" s="19">
        <v>54</v>
      </c>
      <c r="W126" s="19">
        <v>60</v>
      </c>
      <c r="X126" t="s">
        <v>73</v>
      </c>
      <c r="Y126" s="20">
        <v>0.05</v>
      </c>
      <c r="Z126" s="19">
        <v>3</v>
      </c>
      <c r="AA126" s="19">
        <v>57</v>
      </c>
      <c r="AB126" s="19">
        <v>3</v>
      </c>
      <c r="AC126" t="s">
        <v>73</v>
      </c>
      <c r="AD126" s="19">
        <v>2.5099999999999998</v>
      </c>
      <c r="AE126" s="19">
        <v>0.49</v>
      </c>
      <c r="AF126" s="19">
        <v>3</v>
      </c>
      <c r="AG126" s="19">
        <v>20</v>
      </c>
      <c r="AH126" s="19">
        <v>34</v>
      </c>
      <c r="AI126" s="19">
        <v>3</v>
      </c>
      <c r="AJ126" t="s">
        <v>73</v>
      </c>
      <c r="AK126" s="19">
        <v>56</v>
      </c>
      <c r="AL126" s="19">
        <v>57</v>
      </c>
      <c r="AM126" t="b">
        <f t="shared" si="6"/>
        <v>1</v>
      </c>
      <c r="AN126" s="21">
        <f t="shared" si="7"/>
        <v>0</v>
      </c>
      <c r="AO126" s="19">
        <f t="shared" si="8"/>
        <v>0</v>
      </c>
      <c r="AP126" s="22">
        <v>15</v>
      </c>
      <c r="AQ126" s="18">
        <f t="shared" si="9"/>
        <v>0</v>
      </c>
      <c r="AR126" s="18">
        <f t="shared" si="10"/>
        <v>7.95</v>
      </c>
      <c r="AS126" s="23">
        <f t="shared" si="11"/>
        <v>7.05</v>
      </c>
      <c r="AT126" s="24">
        <v>46275.995138888888</v>
      </c>
      <c r="AU126" s="16" t="s">
        <v>165</v>
      </c>
      <c r="AV126" s="16">
        <v>291732906</v>
      </c>
      <c r="AW126" s="16">
        <v>739212061</v>
      </c>
      <c r="AX126" s="16" t="s">
        <v>233</v>
      </c>
      <c r="AY126" s="16">
        <v>60</v>
      </c>
      <c r="AZ126" s="16">
        <v>60</v>
      </c>
      <c r="BA126" s="16">
        <v>5</v>
      </c>
      <c r="BB126" s="16">
        <v>3</v>
      </c>
      <c r="BC126" s="16">
        <v>15</v>
      </c>
      <c r="BD126" s="16">
        <v>7.95</v>
      </c>
      <c r="BE126" s="16">
        <v>0</v>
      </c>
      <c r="BF126" s="16" t="s">
        <v>69</v>
      </c>
      <c r="BG126" s="16" t="s">
        <v>635</v>
      </c>
      <c r="BH126" s="16">
        <v>15</v>
      </c>
      <c r="BI126" s="16">
        <v>7.05</v>
      </c>
      <c r="BJ126" s="16">
        <v>64.95</v>
      </c>
      <c r="BK126" s="16">
        <v>3</v>
      </c>
      <c r="BL126" s="16">
        <v>7.95</v>
      </c>
    </row>
    <row r="127" spans="1:64" x14ac:dyDescent="0.25">
      <c r="A127" s="24">
        <v>46275</v>
      </c>
      <c r="B127" s="16" t="s">
        <v>636</v>
      </c>
      <c r="C127" s="25">
        <v>73295</v>
      </c>
      <c r="F127" s="25">
        <v>19260</v>
      </c>
      <c r="G127" s="25">
        <v>291734251</v>
      </c>
      <c r="H127" s="16" t="s">
        <v>64</v>
      </c>
      <c r="I127" s="16" t="s">
        <v>65</v>
      </c>
      <c r="J127" s="16" t="s">
        <v>66</v>
      </c>
      <c r="K127" s="17">
        <v>4961</v>
      </c>
      <c r="L127" t="s">
        <v>637</v>
      </c>
      <c r="M127" t="s">
        <v>638</v>
      </c>
      <c r="N127" t="s">
        <v>69</v>
      </c>
      <c r="O127" s="16" t="s">
        <v>70</v>
      </c>
      <c r="P127" t="s">
        <v>71</v>
      </c>
      <c r="Q127" s="19">
        <v>40</v>
      </c>
      <c r="R127" t="s">
        <v>73</v>
      </c>
      <c r="S127" s="19">
        <v>0</v>
      </c>
      <c r="T127" s="19">
        <v>0</v>
      </c>
      <c r="U127" s="19">
        <v>7.18</v>
      </c>
      <c r="V127" s="19">
        <v>40</v>
      </c>
      <c r="W127" s="19">
        <v>40</v>
      </c>
      <c r="X127" t="s">
        <v>73</v>
      </c>
      <c r="Y127" s="20">
        <v>0.05</v>
      </c>
      <c r="Z127" s="19">
        <v>2</v>
      </c>
      <c r="AA127" s="19">
        <v>38</v>
      </c>
      <c r="AB127" s="19">
        <v>2</v>
      </c>
      <c r="AC127" t="s">
        <v>73</v>
      </c>
      <c r="AD127" s="19">
        <v>1.64</v>
      </c>
      <c r="AE127" s="19">
        <v>0.36</v>
      </c>
      <c r="AF127" s="19">
        <v>2</v>
      </c>
      <c r="AG127" s="19">
        <v>0.44</v>
      </c>
      <c r="AH127" s="19">
        <v>39.56</v>
      </c>
      <c r="AI127" s="19">
        <v>2</v>
      </c>
      <c r="AJ127" t="s">
        <v>73</v>
      </c>
      <c r="AK127" s="19">
        <v>0</v>
      </c>
      <c r="AL127" s="19">
        <v>38</v>
      </c>
      <c r="AM127" t="b">
        <f t="shared" si="6"/>
        <v>1</v>
      </c>
      <c r="AN127" s="21">
        <f t="shared" si="7"/>
        <v>0</v>
      </c>
      <c r="AO127" s="19">
        <f t="shared" si="8"/>
        <v>0</v>
      </c>
      <c r="AP127" s="22">
        <v>15</v>
      </c>
      <c r="AQ127" s="18">
        <f t="shared" si="9"/>
        <v>0</v>
      </c>
      <c r="AR127" s="18">
        <f t="shared" si="10"/>
        <v>4.9499999999999993</v>
      </c>
      <c r="AS127" s="23">
        <f t="shared" si="11"/>
        <v>10.050000000000001</v>
      </c>
      <c r="AT127" s="24">
        <v>46276.003472222219</v>
      </c>
      <c r="AU127" s="16" t="s">
        <v>637</v>
      </c>
      <c r="AV127" s="16">
        <v>291734251</v>
      </c>
      <c r="AW127" s="16">
        <v>737679396</v>
      </c>
      <c r="AX127" s="16" t="s">
        <v>639</v>
      </c>
      <c r="AY127" s="16">
        <v>40</v>
      </c>
      <c r="AZ127" s="16">
        <v>40</v>
      </c>
      <c r="BA127" s="16">
        <v>5</v>
      </c>
      <c r="BB127" s="16">
        <v>2</v>
      </c>
      <c r="BC127" s="16">
        <v>15</v>
      </c>
      <c r="BD127" s="16">
        <v>4.95</v>
      </c>
      <c r="BE127" s="16">
        <v>0</v>
      </c>
      <c r="BF127" s="16" t="s">
        <v>69</v>
      </c>
      <c r="BG127" s="16" t="s">
        <v>640</v>
      </c>
      <c r="BH127" s="16">
        <v>15</v>
      </c>
      <c r="BI127" s="16">
        <v>10.050000000000001</v>
      </c>
      <c r="BJ127" s="16">
        <v>42.95</v>
      </c>
      <c r="BK127" s="16">
        <v>2</v>
      </c>
      <c r="BL127" s="16">
        <v>4.9499999999999993</v>
      </c>
    </row>
    <row r="128" spans="1:64" x14ac:dyDescent="0.25">
      <c r="A128" s="24">
        <v>46275</v>
      </c>
      <c r="B128" s="16" t="s">
        <v>641</v>
      </c>
      <c r="C128" s="25">
        <v>60958</v>
      </c>
      <c r="F128" s="25">
        <v>19261</v>
      </c>
      <c r="G128" s="25">
        <v>291734757</v>
      </c>
      <c r="H128" s="16" t="s">
        <v>64</v>
      </c>
      <c r="I128" s="16" t="s">
        <v>65</v>
      </c>
      <c r="J128" s="16" t="s">
        <v>66</v>
      </c>
      <c r="K128" s="17">
        <v>23</v>
      </c>
      <c r="L128" t="s">
        <v>157</v>
      </c>
      <c r="M128" t="s">
        <v>642</v>
      </c>
      <c r="N128" t="s">
        <v>69</v>
      </c>
      <c r="O128" s="16" t="s">
        <v>70</v>
      </c>
      <c r="P128" t="s">
        <v>71</v>
      </c>
      <c r="Q128" s="19">
        <v>183</v>
      </c>
      <c r="R128" t="s">
        <v>73</v>
      </c>
      <c r="S128" s="19">
        <v>0</v>
      </c>
      <c r="T128" s="19">
        <v>0</v>
      </c>
      <c r="U128" s="19">
        <v>25.83</v>
      </c>
      <c r="V128" s="19">
        <v>183</v>
      </c>
      <c r="W128" s="19">
        <v>183</v>
      </c>
      <c r="X128" t="s">
        <v>73</v>
      </c>
      <c r="Y128" s="20">
        <v>0.05</v>
      </c>
      <c r="Z128" s="19">
        <v>9.15</v>
      </c>
      <c r="AA128" s="19">
        <v>173.85</v>
      </c>
      <c r="AB128" s="19">
        <v>9.15</v>
      </c>
      <c r="AC128" t="s">
        <v>73</v>
      </c>
      <c r="AD128" s="19">
        <v>7.86</v>
      </c>
      <c r="AE128" s="19">
        <v>1.29</v>
      </c>
      <c r="AF128" s="19">
        <v>9.15</v>
      </c>
      <c r="AG128" s="19">
        <v>89</v>
      </c>
      <c r="AH128" s="19">
        <v>94</v>
      </c>
      <c r="AI128" s="19">
        <v>9.15</v>
      </c>
      <c r="AJ128" t="s">
        <v>73</v>
      </c>
      <c r="AK128" s="19">
        <v>38</v>
      </c>
      <c r="AL128" s="19">
        <v>173.85</v>
      </c>
      <c r="AM128" t="b">
        <f t="shared" si="6"/>
        <v>1</v>
      </c>
      <c r="AN128" s="21">
        <f t="shared" si="7"/>
        <v>0</v>
      </c>
      <c r="AO128" s="19">
        <f t="shared" si="8"/>
        <v>0</v>
      </c>
      <c r="AP128" s="22">
        <v>15</v>
      </c>
      <c r="AQ128" s="18">
        <f t="shared" si="9"/>
        <v>0</v>
      </c>
      <c r="AR128" s="18">
        <f t="shared" si="10"/>
        <v>7.5</v>
      </c>
      <c r="AS128" s="23">
        <f t="shared" si="11"/>
        <v>7.5</v>
      </c>
      <c r="AT128" s="24">
        <v>46276.009722222225</v>
      </c>
      <c r="AU128" s="16" t="s">
        <v>159</v>
      </c>
      <c r="AV128" s="16">
        <v>291734757</v>
      </c>
      <c r="AW128" s="16">
        <v>739219207</v>
      </c>
      <c r="AX128" s="16" t="s">
        <v>643</v>
      </c>
      <c r="AY128" s="16">
        <v>183</v>
      </c>
      <c r="AZ128" s="16">
        <v>183</v>
      </c>
      <c r="BA128" s="16">
        <v>5</v>
      </c>
      <c r="BB128" s="16">
        <v>9.15</v>
      </c>
      <c r="BC128" s="16">
        <v>15</v>
      </c>
      <c r="BD128" s="16">
        <v>7.5</v>
      </c>
      <c r="BE128" s="16">
        <v>0</v>
      </c>
      <c r="BF128" s="16" t="s">
        <v>69</v>
      </c>
      <c r="BG128" s="16" t="s">
        <v>644</v>
      </c>
      <c r="BH128" s="16">
        <v>15</v>
      </c>
      <c r="BI128" s="16">
        <v>7.5</v>
      </c>
      <c r="BJ128" s="16">
        <v>181.35</v>
      </c>
      <c r="BK128" s="16">
        <v>9.15</v>
      </c>
      <c r="BL128" s="16">
        <v>7.5</v>
      </c>
    </row>
    <row r="129" spans="1:64" x14ac:dyDescent="0.25">
      <c r="A129" s="24">
        <v>46276</v>
      </c>
      <c r="B129" s="16" t="s">
        <v>645</v>
      </c>
      <c r="C129" s="25">
        <v>79584</v>
      </c>
      <c r="F129" s="25">
        <v>19265</v>
      </c>
      <c r="G129" s="25">
        <v>291739837</v>
      </c>
      <c r="H129" s="16" t="s">
        <v>64</v>
      </c>
      <c r="I129" s="16" t="s">
        <v>65</v>
      </c>
      <c r="J129" s="16" t="s">
        <v>66</v>
      </c>
      <c r="K129" s="17">
        <v>4137</v>
      </c>
      <c r="L129" t="s">
        <v>646</v>
      </c>
      <c r="M129" t="s">
        <v>647</v>
      </c>
      <c r="N129" t="s">
        <v>69</v>
      </c>
      <c r="O129" s="16" t="s">
        <v>70</v>
      </c>
      <c r="P129" t="s">
        <v>169</v>
      </c>
      <c r="Q129" s="19">
        <v>40.25</v>
      </c>
      <c r="R129" t="s">
        <v>72</v>
      </c>
      <c r="S129" s="19">
        <v>4.03</v>
      </c>
      <c r="T129" s="19">
        <v>0</v>
      </c>
      <c r="U129" s="19">
        <v>7.21</v>
      </c>
      <c r="V129" s="19">
        <v>36.22</v>
      </c>
      <c r="W129" s="19">
        <v>40.25</v>
      </c>
      <c r="X129" t="s">
        <v>73</v>
      </c>
      <c r="Y129" s="20">
        <v>4.99E-2</v>
      </c>
      <c r="Z129" s="19">
        <v>2.0099999999999998</v>
      </c>
      <c r="AA129" s="19">
        <v>38.24</v>
      </c>
      <c r="AB129" s="19">
        <v>2.0099999999999998</v>
      </c>
      <c r="AC129" t="s">
        <v>73</v>
      </c>
      <c r="AD129" s="19">
        <v>1.65</v>
      </c>
      <c r="AE129" s="19">
        <v>0.36</v>
      </c>
      <c r="AF129" s="19">
        <v>2.0099999999999998</v>
      </c>
      <c r="AG129" s="19">
        <v>20</v>
      </c>
      <c r="AH129" s="19">
        <v>16.22</v>
      </c>
      <c r="AI129" s="19">
        <v>2.0099999999999998</v>
      </c>
      <c r="AJ129" t="s">
        <v>73</v>
      </c>
      <c r="AK129" s="19">
        <v>0</v>
      </c>
      <c r="AL129" s="19">
        <v>38.24</v>
      </c>
      <c r="AM129" t="b">
        <f t="shared" si="6"/>
        <v>1</v>
      </c>
      <c r="AN129" s="21">
        <f t="shared" si="7"/>
        <v>1.0000000000000286E-4</v>
      </c>
      <c r="AO129" s="19">
        <f t="shared" si="8"/>
        <v>-2.5000000000003908E-3</v>
      </c>
      <c r="AP129" s="22">
        <v>15</v>
      </c>
      <c r="AQ129" s="18">
        <f t="shared" si="9"/>
        <v>0</v>
      </c>
      <c r="AR129" s="18">
        <f t="shared" si="10"/>
        <v>5</v>
      </c>
      <c r="AS129" s="23">
        <f t="shared" si="11"/>
        <v>10</v>
      </c>
      <c r="AT129" s="24">
        <v>46276.039583333331</v>
      </c>
      <c r="AU129" s="16" t="s">
        <v>648</v>
      </c>
      <c r="AV129" s="16">
        <v>291739837</v>
      </c>
      <c r="AW129" s="16">
        <v>739237998</v>
      </c>
      <c r="AX129" s="16" t="s">
        <v>110</v>
      </c>
      <c r="AY129" s="16">
        <v>40.25</v>
      </c>
      <c r="AZ129" s="16">
        <v>40.25</v>
      </c>
      <c r="BA129" s="16">
        <v>5</v>
      </c>
      <c r="BB129" s="16">
        <v>2.0125000000000002</v>
      </c>
      <c r="BC129" s="16">
        <v>15</v>
      </c>
      <c r="BD129" s="16">
        <v>5</v>
      </c>
      <c r="BE129" s="16">
        <v>0</v>
      </c>
      <c r="BF129" s="16" t="s">
        <v>69</v>
      </c>
      <c r="BG129" s="16" t="s">
        <v>649</v>
      </c>
      <c r="BH129" s="16">
        <v>15</v>
      </c>
      <c r="BI129" s="16">
        <v>10</v>
      </c>
      <c r="BJ129" s="16">
        <v>43.237499999999997</v>
      </c>
      <c r="BK129" s="16">
        <v>2.0125000000000002</v>
      </c>
      <c r="BL129" s="16">
        <v>5</v>
      </c>
    </row>
    <row r="130" spans="1:64" x14ac:dyDescent="0.25">
      <c r="A130" s="24">
        <v>46276</v>
      </c>
      <c r="B130" s="16" t="s">
        <v>650</v>
      </c>
      <c r="C130" s="25">
        <v>75904</v>
      </c>
      <c r="F130" s="25">
        <v>19267</v>
      </c>
      <c r="G130" s="25">
        <v>291741487</v>
      </c>
      <c r="H130" s="16" t="s">
        <v>64</v>
      </c>
      <c r="I130" s="16" t="s">
        <v>65</v>
      </c>
      <c r="J130" s="16" t="s">
        <v>66</v>
      </c>
      <c r="K130" s="17">
        <v>23</v>
      </c>
      <c r="L130" t="s">
        <v>157</v>
      </c>
      <c r="M130" t="s">
        <v>651</v>
      </c>
      <c r="N130" t="s">
        <v>69</v>
      </c>
      <c r="O130" s="16" t="s">
        <v>70</v>
      </c>
      <c r="P130" t="s">
        <v>79</v>
      </c>
      <c r="Q130" s="19">
        <v>88</v>
      </c>
      <c r="R130" t="s">
        <v>73</v>
      </c>
      <c r="S130" s="19">
        <v>0</v>
      </c>
      <c r="T130" s="19">
        <v>0</v>
      </c>
      <c r="U130" s="19">
        <v>13.44</v>
      </c>
      <c r="V130" s="19">
        <v>88</v>
      </c>
      <c r="W130" s="19">
        <v>88</v>
      </c>
      <c r="X130" t="s">
        <v>73</v>
      </c>
      <c r="Y130" s="20">
        <v>0.05</v>
      </c>
      <c r="Z130" s="19">
        <v>4.4000000000000004</v>
      </c>
      <c r="AA130" s="19">
        <v>83.6</v>
      </c>
      <c r="AB130" s="19">
        <v>4.4000000000000004</v>
      </c>
      <c r="AC130" t="s">
        <v>73</v>
      </c>
      <c r="AD130" s="19">
        <v>3.73</v>
      </c>
      <c r="AE130" s="19">
        <v>0.67</v>
      </c>
      <c r="AF130" s="19">
        <v>4.4000000000000004</v>
      </c>
      <c r="AG130" s="19">
        <v>0</v>
      </c>
      <c r="AH130" s="19">
        <v>88</v>
      </c>
      <c r="AI130" s="19">
        <v>4.4000000000000004</v>
      </c>
      <c r="AJ130" t="s">
        <v>73</v>
      </c>
      <c r="AK130" s="19">
        <v>0</v>
      </c>
      <c r="AL130" s="19">
        <v>83.6</v>
      </c>
      <c r="AM130" t="b">
        <f t="shared" si="6"/>
        <v>1</v>
      </c>
      <c r="AN130" s="21">
        <f t="shared" si="7"/>
        <v>0</v>
      </c>
      <c r="AO130" s="19">
        <f t="shared" si="8"/>
        <v>0</v>
      </c>
      <c r="AP130" s="22">
        <v>15</v>
      </c>
      <c r="AQ130" s="18">
        <f t="shared" si="9"/>
        <v>0</v>
      </c>
      <c r="AR130" s="18">
        <f t="shared" si="10"/>
        <v>7.5</v>
      </c>
      <c r="AS130" s="23">
        <f t="shared" si="11"/>
        <v>7.5</v>
      </c>
      <c r="AT130" s="24">
        <v>46276.055555555555</v>
      </c>
      <c r="AU130" s="16" t="s">
        <v>159</v>
      </c>
      <c r="AV130" s="16">
        <v>291741487</v>
      </c>
      <c r="AW130" s="16">
        <v>739247856</v>
      </c>
      <c r="AX130" s="16" t="s">
        <v>110</v>
      </c>
      <c r="AY130" s="16">
        <v>88</v>
      </c>
      <c r="AZ130" s="16">
        <v>88</v>
      </c>
      <c r="BA130" s="16">
        <v>5</v>
      </c>
      <c r="BB130" s="16">
        <v>4.4000000000000004</v>
      </c>
      <c r="BC130" s="16">
        <v>15</v>
      </c>
      <c r="BD130" s="16">
        <v>7.5</v>
      </c>
      <c r="BE130" s="16">
        <v>0</v>
      </c>
      <c r="BF130" s="16" t="s">
        <v>69</v>
      </c>
      <c r="BG130" s="16" t="s">
        <v>652</v>
      </c>
      <c r="BH130" s="16">
        <v>15</v>
      </c>
      <c r="BI130" s="16">
        <v>7.5</v>
      </c>
      <c r="BJ130" s="16">
        <v>91.1</v>
      </c>
      <c r="BK130" s="16">
        <v>4.4000000000000004</v>
      </c>
      <c r="BL130" s="16">
        <v>7.5</v>
      </c>
    </row>
    <row r="131" spans="1:64" x14ac:dyDescent="0.25">
      <c r="A131" s="24">
        <v>46276</v>
      </c>
      <c r="B131" s="16" t="s">
        <v>256</v>
      </c>
      <c r="C131" s="25">
        <v>49231</v>
      </c>
      <c r="F131" s="25">
        <v>19268</v>
      </c>
      <c r="G131" s="25">
        <v>291743668</v>
      </c>
      <c r="H131" s="16" t="s">
        <v>64</v>
      </c>
      <c r="I131" s="16" t="s">
        <v>65</v>
      </c>
      <c r="J131" s="16" t="s">
        <v>66</v>
      </c>
      <c r="K131" s="17">
        <v>62</v>
      </c>
      <c r="L131" t="s">
        <v>124</v>
      </c>
      <c r="M131" t="s">
        <v>653</v>
      </c>
      <c r="N131" t="s">
        <v>69</v>
      </c>
      <c r="O131" s="16" t="s">
        <v>70</v>
      </c>
      <c r="P131" t="s">
        <v>86</v>
      </c>
      <c r="Q131" s="19">
        <v>56</v>
      </c>
      <c r="R131" t="s">
        <v>73</v>
      </c>
      <c r="S131" s="19">
        <v>0</v>
      </c>
      <c r="T131" s="19">
        <v>15</v>
      </c>
      <c r="U131" s="19">
        <v>9.26</v>
      </c>
      <c r="V131" s="19">
        <v>71</v>
      </c>
      <c r="W131" s="19">
        <v>71</v>
      </c>
      <c r="X131" t="s">
        <v>73</v>
      </c>
      <c r="Y131" s="20">
        <v>4.7500000000000001E-2</v>
      </c>
      <c r="Z131" s="19">
        <v>2.66</v>
      </c>
      <c r="AA131" s="19">
        <v>68.34</v>
      </c>
      <c r="AB131" s="19">
        <v>2.66</v>
      </c>
      <c r="AC131" t="s">
        <v>73</v>
      </c>
      <c r="AD131" s="19">
        <v>2.2200000000000002</v>
      </c>
      <c r="AE131" s="19">
        <v>0.44</v>
      </c>
      <c r="AF131" s="19">
        <v>2.66</v>
      </c>
      <c r="AG131" s="19">
        <v>0</v>
      </c>
      <c r="AH131" s="19">
        <v>71</v>
      </c>
      <c r="AI131" s="19">
        <v>2.66</v>
      </c>
      <c r="AJ131" t="s">
        <v>73</v>
      </c>
      <c r="AK131" s="19">
        <v>0</v>
      </c>
      <c r="AL131" s="19">
        <v>68.34</v>
      </c>
      <c r="AM131" t="b">
        <f t="shared" ref="AM131:AM193" si="12">AV131=G131</f>
        <v>1</v>
      </c>
      <c r="AN131" s="21">
        <f t="shared" ref="AN131:AN193" si="13">(BA131/100)-Y131</f>
        <v>0</v>
      </c>
      <c r="AO131" s="19">
        <f t="shared" ref="AO131:AO193" si="14">Z131-BB131</f>
        <v>0</v>
      </c>
      <c r="AP131" s="22">
        <v>15</v>
      </c>
      <c r="AQ131" s="18">
        <f t="shared" ref="AQ131:AQ193" si="15">T131</f>
        <v>15</v>
      </c>
      <c r="AR131" s="18">
        <f t="shared" ref="AR131:AR193" si="16">AP131-AQ131-AS131</f>
        <v>0</v>
      </c>
      <c r="AS131" s="23">
        <f t="shared" ref="AS131:AS193" si="17">BI131</f>
        <v>0</v>
      </c>
      <c r="AT131" s="24">
        <v>46276.073611111111</v>
      </c>
      <c r="AU131" s="16" t="s">
        <v>125</v>
      </c>
      <c r="AV131" s="16">
        <v>291743668</v>
      </c>
      <c r="AW131" s="16">
        <v>739257470</v>
      </c>
      <c r="AX131" s="16" t="s">
        <v>587</v>
      </c>
      <c r="AY131" s="16">
        <v>71</v>
      </c>
      <c r="AZ131" s="16">
        <v>56</v>
      </c>
      <c r="BA131" s="16">
        <v>4.75</v>
      </c>
      <c r="BB131" s="16">
        <v>2.66</v>
      </c>
      <c r="BC131" s="16">
        <v>15</v>
      </c>
      <c r="BD131" s="16">
        <v>0</v>
      </c>
      <c r="BE131" s="16">
        <v>14</v>
      </c>
      <c r="BF131" s="16" t="s">
        <v>69</v>
      </c>
      <c r="BG131" s="16" t="s">
        <v>654</v>
      </c>
      <c r="BH131" s="16">
        <v>0</v>
      </c>
      <c r="BI131" s="16">
        <v>0</v>
      </c>
      <c r="BJ131" s="16">
        <v>68.34</v>
      </c>
      <c r="BK131" s="16">
        <v>2.66</v>
      </c>
      <c r="BL131" s="16">
        <v>15</v>
      </c>
    </row>
    <row r="132" spans="1:64" x14ac:dyDescent="0.25">
      <c r="A132" s="24">
        <v>46276</v>
      </c>
      <c r="B132" s="16" t="s">
        <v>655</v>
      </c>
      <c r="C132" s="25">
        <v>27562</v>
      </c>
      <c r="D132" s="17" t="s">
        <v>656</v>
      </c>
      <c r="F132" s="25">
        <v>19270</v>
      </c>
      <c r="G132" s="25">
        <v>291743659</v>
      </c>
      <c r="H132" s="16" t="s">
        <v>64</v>
      </c>
      <c r="I132" s="16" t="s">
        <v>65</v>
      </c>
      <c r="J132" s="16" t="s">
        <v>66</v>
      </c>
      <c r="K132" s="17">
        <v>108</v>
      </c>
      <c r="L132" t="s">
        <v>436</v>
      </c>
      <c r="M132" t="s">
        <v>657</v>
      </c>
      <c r="N132" t="s">
        <v>69</v>
      </c>
      <c r="O132" s="16" t="s">
        <v>70</v>
      </c>
      <c r="P132" t="s">
        <v>71</v>
      </c>
      <c r="Q132" s="19">
        <v>49</v>
      </c>
      <c r="R132" t="s">
        <v>72</v>
      </c>
      <c r="S132" s="19">
        <v>4.9000000000000004</v>
      </c>
      <c r="T132" s="19">
        <v>0</v>
      </c>
      <c r="U132" s="19">
        <v>8.35</v>
      </c>
      <c r="V132" s="19">
        <v>44.1</v>
      </c>
      <c r="W132" s="19">
        <v>49</v>
      </c>
      <c r="X132" t="s">
        <v>73</v>
      </c>
      <c r="Y132" s="20">
        <v>0.05</v>
      </c>
      <c r="Z132" s="19">
        <v>2.4500000000000002</v>
      </c>
      <c r="AA132" s="19">
        <v>46.55</v>
      </c>
      <c r="AB132" s="19">
        <v>2.4500000000000002</v>
      </c>
      <c r="AC132" t="s">
        <v>73</v>
      </c>
      <c r="AD132" s="19">
        <v>2.0299999999999998</v>
      </c>
      <c r="AE132" s="19">
        <v>0.42</v>
      </c>
      <c r="AF132" s="19">
        <v>2.4500000000000002</v>
      </c>
      <c r="AG132" s="19">
        <v>2</v>
      </c>
      <c r="AH132" s="19">
        <v>42.1</v>
      </c>
      <c r="AI132" s="19">
        <v>2.4500000000000002</v>
      </c>
      <c r="AJ132" t="s">
        <v>73</v>
      </c>
      <c r="AK132" s="19">
        <v>0</v>
      </c>
      <c r="AL132" s="19">
        <v>46.55</v>
      </c>
      <c r="AM132" t="b">
        <f t="shared" si="12"/>
        <v>1</v>
      </c>
      <c r="AN132" s="21">
        <f t="shared" si="13"/>
        <v>0</v>
      </c>
      <c r="AO132" s="19">
        <f t="shared" si="14"/>
        <v>0</v>
      </c>
      <c r="AP132" s="22">
        <v>15</v>
      </c>
      <c r="AQ132" s="18">
        <f t="shared" si="15"/>
        <v>0</v>
      </c>
      <c r="AR132" s="18">
        <f t="shared" si="16"/>
        <v>9.9</v>
      </c>
      <c r="AS132" s="23">
        <f t="shared" si="17"/>
        <v>5.0999999999999996</v>
      </c>
      <c r="AT132" s="24">
        <v>46276.075694444444</v>
      </c>
      <c r="AU132" s="16" t="s">
        <v>438</v>
      </c>
      <c r="AV132" s="16">
        <v>291743659</v>
      </c>
      <c r="AW132" s="16">
        <v>739257217</v>
      </c>
      <c r="AX132" s="16" t="s">
        <v>587</v>
      </c>
      <c r="AY132" s="16">
        <v>49</v>
      </c>
      <c r="AZ132" s="16">
        <v>49</v>
      </c>
      <c r="BA132" s="16">
        <v>5</v>
      </c>
      <c r="BB132" s="16">
        <v>2.4500000000000002</v>
      </c>
      <c r="BC132" s="16">
        <v>15</v>
      </c>
      <c r="BD132" s="16">
        <v>9.9</v>
      </c>
      <c r="BE132" s="16">
        <v>0</v>
      </c>
      <c r="BF132" s="16" t="s">
        <v>69</v>
      </c>
      <c r="BG132" s="16" t="s">
        <v>658</v>
      </c>
      <c r="BH132" s="16">
        <v>15</v>
      </c>
      <c r="BI132" s="16">
        <v>5.0999999999999996</v>
      </c>
      <c r="BJ132" s="16">
        <v>56.449999999999996</v>
      </c>
      <c r="BK132" s="16">
        <v>2.4500000000000002</v>
      </c>
      <c r="BL132" s="16">
        <v>9.9</v>
      </c>
    </row>
    <row r="133" spans="1:64" x14ac:dyDescent="0.25">
      <c r="A133" s="24">
        <v>46276</v>
      </c>
      <c r="B133" s="16" t="s">
        <v>659</v>
      </c>
      <c r="C133" s="25">
        <v>79595</v>
      </c>
      <c r="F133" s="25">
        <v>19271</v>
      </c>
      <c r="G133" s="25">
        <v>291745213</v>
      </c>
      <c r="H133" s="16" t="s">
        <v>64</v>
      </c>
      <c r="I133" s="16" t="s">
        <v>65</v>
      </c>
      <c r="J133" s="16" t="s">
        <v>66</v>
      </c>
      <c r="K133" s="17">
        <v>20</v>
      </c>
      <c r="L133" t="s">
        <v>118</v>
      </c>
      <c r="M133" t="s">
        <v>660</v>
      </c>
      <c r="N133" t="s">
        <v>69</v>
      </c>
      <c r="O133" s="16" t="s">
        <v>70</v>
      </c>
      <c r="P133" t="s">
        <v>71</v>
      </c>
      <c r="Q133" s="19">
        <v>36.5</v>
      </c>
      <c r="R133" t="s">
        <v>72</v>
      </c>
      <c r="S133" s="19">
        <v>3.65</v>
      </c>
      <c r="T133" s="19">
        <v>9</v>
      </c>
      <c r="U133" s="19">
        <v>6.72</v>
      </c>
      <c r="V133" s="19">
        <v>41.85</v>
      </c>
      <c r="W133" s="19">
        <v>45.5</v>
      </c>
      <c r="X133" t="s">
        <v>73</v>
      </c>
      <c r="Y133" s="20">
        <v>0.04</v>
      </c>
      <c r="Z133" s="19">
        <v>1.46</v>
      </c>
      <c r="AA133" s="19">
        <v>44.04</v>
      </c>
      <c r="AB133" s="19">
        <v>1.46</v>
      </c>
      <c r="AC133" t="s">
        <v>73</v>
      </c>
      <c r="AD133" s="19">
        <v>1.19</v>
      </c>
      <c r="AE133" s="19">
        <v>0.27</v>
      </c>
      <c r="AF133" s="19">
        <v>1.46</v>
      </c>
      <c r="AG133" s="19">
        <v>2</v>
      </c>
      <c r="AH133" s="19">
        <v>39.85</v>
      </c>
      <c r="AI133" s="19">
        <v>1.46</v>
      </c>
      <c r="AJ133" t="s">
        <v>73</v>
      </c>
      <c r="AK133" s="19">
        <v>0</v>
      </c>
      <c r="AL133" s="19">
        <v>44.04</v>
      </c>
      <c r="AM133" t="b">
        <f t="shared" si="12"/>
        <v>1</v>
      </c>
      <c r="AN133" s="21">
        <f t="shared" si="13"/>
        <v>0</v>
      </c>
      <c r="AO133" s="19">
        <f t="shared" si="14"/>
        <v>0</v>
      </c>
      <c r="AP133" s="22">
        <v>15</v>
      </c>
      <c r="AQ133" s="18">
        <f t="shared" si="15"/>
        <v>9</v>
      </c>
      <c r="AR133" s="18">
        <f t="shared" si="16"/>
        <v>6</v>
      </c>
      <c r="AS133" s="23">
        <f t="shared" si="17"/>
        <v>0</v>
      </c>
      <c r="AT133" s="24">
        <v>46276.094444444447</v>
      </c>
      <c r="AU133" s="16" t="s">
        <v>120</v>
      </c>
      <c r="AV133" s="16">
        <v>291745213</v>
      </c>
      <c r="AW133" s="16">
        <v>739263440</v>
      </c>
      <c r="AX133" s="16" t="s">
        <v>110</v>
      </c>
      <c r="AY133" s="16">
        <v>45.5</v>
      </c>
      <c r="AZ133" s="16">
        <v>36.5</v>
      </c>
      <c r="BA133" s="16">
        <v>4</v>
      </c>
      <c r="BB133" s="16">
        <v>1.46</v>
      </c>
      <c r="BC133" s="16">
        <v>15</v>
      </c>
      <c r="BD133" s="16">
        <v>6</v>
      </c>
      <c r="BE133" s="16">
        <v>8</v>
      </c>
      <c r="BF133" s="16" t="s">
        <v>69</v>
      </c>
      <c r="BG133" s="16" t="s">
        <v>661</v>
      </c>
      <c r="BH133" s="16">
        <v>6</v>
      </c>
      <c r="BI133" s="16">
        <v>0</v>
      </c>
      <c r="BJ133" s="16">
        <v>50.04</v>
      </c>
      <c r="BK133" s="16">
        <v>1.46</v>
      </c>
      <c r="BL133" s="16">
        <v>15</v>
      </c>
    </row>
    <row r="134" spans="1:64" x14ac:dyDescent="0.25">
      <c r="A134" s="24">
        <v>46276</v>
      </c>
      <c r="B134" s="16" t="s">
        <v>662</v>
      </c>
      <c r="C134" s="25">
        <v>70924</v>
      </c>
      <c r="F134" s="25">
        <v>19272</v>
      </c>
      <c r="G134" s="25">
        <v>291747119</v>
      </c>
      <c r="H134" s="16" t="s">
        <v>64</v>
      </c>
      <c r="I134" s="16" t="s">
        <v>65</v>
      </c>
      <c r="J134" s="16" t="s">
        <v>66</v>
      </c>
      <c r="K134" s="17">
        <v>64</v>
      </c>
      <c r="L134" t="s">
        <v>663</v>
      </c>
      <c r="M134" t="s">
        <v>664</v>
      </c>
      <c r="N134" t="s">
        <v>69</v>
      </c>
      <c r="O134" s="16" t="s">
        <v>70</v>
      </c>
      <c r="P134" t="s">
        <v>86</v>
      </c>
      <c r="Q134" s="19">
        <v>37</v>
      </c>
      <c r="R134" t="s">
        <v>73</v>
      </c>
      <c r="S134" s="19">
        <v>0</v>
      </c>
      <c r="T134" s="19">
        <v>15</v>
      </c>
      <c r="U134" s="19">
        <v>6.79</v>
      </c>
      <c r="V134" s="19">
        <v>52</v>
      </c>
      <c r="W134" s="19">
        <v>52</v>
      </c>
      <c r="X134" t="s">
        <v>73</v>
      </c>
      <c r="Y134" s="20">
        <v>0.04</v>
      </c>
      <c r="Z134" s="19">
        <v>1.48</v>
      </c>
      <c r="AA134" s="19">
        <v>50.52</v>
      </c>
      <c r="AB134" s="19">
        <v>1.48</v>
      </c>
      <c r="AC134" t="s">
        <v>73</v>
      </c>
      <c r="AD134" s="19">
        <v>1.21</v>
      </c>
      <c r="AE134" s="19">
        <v>0.27</v>
      </c>
      <c r="AF134" s="19">
        <v>1.48</v>
      </c>
      <c r="AG134" s="19">
        <v>0</v>
      </c>
      <c r="AH134" s="19">
        <v>52</v>
      </c>
      <c r="AI134" s="19">
        <v>1.48</v>
      </c>
      <c r="AJ134" t="s">
        <v>73</v>
      </c>
      <c r="AK134" s="19">
        <v>0</v>
      </c>
      <c r="AL134" s="19">
        <v>50.52</v>
      </c>
      <c r="AM134" t="b">
        <f t="shared" si="12"/>
        <v>1</v>
      </c>
      <c r="AN134" s="21">
        <f t="shared" si="13"/>
        <v>0</v>
      </c>
      <c r="AO134" s="19">
        <f t="shared" si="14"/>
        <v>0</v>
      </c>
      <c r="AP134" s="22">
        <v>15</v>
      </c>
      <c r="AQ134" s="18">
        <f t="shared" si="15"/>
        <v>15</v>
      </c>
      <c r="AR134" s="18">
        <f t="shared" si="16"/>
        <v>0</v>
      </c>
      <c r="AS134" s="23">
        <f t="shared" si="17"/>
        <v>0</v>
      </c>
      <c r="AT134" s="24">
        <v>46276.129861111112</v>
      </c>
      <c r="AU134" s="16" t="s">
        <v>665</v>
      </c>
      <c r="AV134" s="16">
        <v>291747119</v>
      </c>
      <c r="AW134" s="16">
        <v>739272396</v>
      </c>
      <c r="AX134" s="16" t="s">
        <v>378</v>
      </c>
      <c r="AY134" s="16">
        <v>52</v>
      </c>
      <c r="AZ134" s="16">
        <v>37</v>
      </c>
      <c r="BA134" s="16">
        <v>4</v>
      </c>
      <c r="BB134" s="16">
        <v>1.48</v>
      </c>
      <c r="BC134" s="16">
        <v>15</v>
      </c>
      <c r="BD134" s="16">
        <v>0</v>
      </c>
      <c r="BE134" s="16">
        <v>14</v>
      </c>
      <c r="BF134" s="16" t="s">
        <v>69</v>
      </c>
      <c r="BG134" s="16" t="s">
        <v>666</v>
      </c>
      <c r="BH134" s="16">
        <v>0</v>
      </c>
      <c r="BI134" s="16">
        <v>0</v>
      </c>
      <c r="BJ134" s="16">
        <v>50.52</v>
      </c>
      <c r="BK134" s="16">
        <v>1.48</v>
      </c>
      <c r="BL134" s="16">
        <v>15</v>
      </c>
    </row>
    <row r="135" spans="1:64" x14ac:dyDescent="0.25">
      <c r="A135" s="24">
        <v>46276</v>
      </c>
      <c r="B135" s="16" t="s">
        <v>667</v>
      </c>
      <c r="C135" s="25">
        <v>30</v>
      </c>
      <c r="D135" s="17" t="s">
        <v>668</v>
      </c>
      <c r="F135" s="25">
        <v>19273</v>
      </c>
      <c r="G135" s="25">
        <v>291747423</v>
      </c>
      <c r="H135" s="16" t="s">
        <v>64</v>
      </c>
      <c r="I135" s="16" t="s">
        <v>65</v>
      </c>
      <c r="J135" s="16" t="s">
        <v>66</v>
      </c>
      <c r="K135" s="17">
        <v>3</v>
      </c>
      <c r="L135" t="s">
        <v>207</v>
      </c>
      <c r="M135" t="s">
        <v>73</v>
      </c>
      <c r="N135" t="s">
        <v>69</v>
      </c>
      <c r="O135" s="16" t="s">
        <v>70</v>
      </c>
      <c r="P135" t="s">
        <v>92</v>
      </c>
      <c r="Q135" s="19">
        <v>37</v>
      </c>
      <c r="R135" t="s">
        <v>73</v>
      </c>
      <c r="S135" s="19">
        <v>0</v>
      </c>
      <c r="T135" s="19">
        <v>7</v>
      </c>
      <c r="U135" s="19">
        <v>7.7</v>
      </c>
      <c r="V135" s="19">
        <v>44</v>
      </c>
      <c r="W135" s="19">
        <v>44</v>
      </c>
      <c r="X135" t="s">
        <v>73</v>
      </c>
      <c r="Y135" s="20">
        <v>4.5100000000000001E-2</v>
      </c>
      <c r="Z135" s="19">
        <v>1.67</v>
      </c>
      <c r="AA135" s="19">
        <v>42.34</v>
      </c>
      <c r="AB135" s="19">
        <v>1.67</v>
      </c>
      <c r="AC135" t="s">
        <v>73</v>
      </c>
      <c r="AD135" s="19">
        <v>1.32</v>
      </c>
      <c r="AE135" s="19">
        <v>0.35</v>
      </c>
      <c r="AF135" s="19">
        <v>1.67</v>
      </c>
      <c r="AG135" s="19">
        <v>44</v>
      </c>
      <c r="AH135" s="19">
        <v>0</v>
      </c>
      <c r="AI135" s="19">
        <v>1.67</v>
      </c>
      <c r="AJ135" t="s">
        <v>73</v>
      </c>
      <c r="AK135" s="19">
        <v>0</v>
      </c>
      <c r="AL135" s="19">
        <v>42.34</v>
      </c>
      <c r="AM135" t="b">
        <f t="shared" si="12"/>
        <v>1</v>
      </c>
      <c r="AN135" s="21">
        <f t="shared" si="13"/>
        <v>-1.0000000000000286E-4</v>
      </c>
      <c r="AO135" s="19">
        <f t="shared" si="14"/>
        <v>4.9999999999998934E-3</v>
      </c>
      <c r="AP135" s="22">
        <v>22</v>
      </c>
      <c r="AQ135" s="18">
        <f t="shared" si="15"/>
        <v>7</v>
      </c>
      <c r="AR135" s="18">
        <f t="shared" si="16"/>
        <v>6.9</v>
      </c>
      <c r="AS135" s="23">
        <f t="shared" si="17"/>
        <v>8.1</v>
      </c>
      <c r="AT135" s="24">
        <v>46276.136805555558</v>
      </c>
      <c r="AU135" s="16" t="s">
        <v>209</v>
      </c>
      <c r="AV135" s="16">
        <v>291747423</v>
      </c>
      <c r="AW135" s="16">
        <v>739272431</v>
      </c>
      <c r="AX135" s="16" t="s">
        <v>669</v>
      </c>
      <c r="AY135" s="16">
        <v>44</v>
      </c>
      <c r="AZ135" s="16">
        <v>37</v>
      </c>
      <c r="BA135" s="16">
        <v>4.5</v>
      </c>
      <c r="BB135" s="16">
        <v>1.665</v>
      </c>
      <c r="BC135" s="16">
        <v>22</v>
      </c>
      <c r="BD135" s="16">
        <v>6.9</v>
      </c>
      <c r="BE135" s="16">
        <v>6</v>
      </c>
      <c r="BF135" s="16" t="s">
        <v>69</v>
      </c>
      <c r="BG135" s="16" t="s">
        <v>670</v>
      </c>
      <c r="BH135" s="16">
        <v>15</v>
      </c>
      <c r="BI135" s="16">
        <v>8.1</v>
      </c>
      <c r="BJ135" s="16">
        <v>49.234999999999999</v>
      </c>
      <c r="BK135" s="16">
        <v>1.665</v>
      </c>
      <c r="BL135" s="16">
        <v>13.9</v>
      </c>
    </row>
    <row r="136" spans="1:64" x14ac:dyDescent="0.25">
      <c r="A136" s="24">
        <v>46276</v>
      </c>
      <c r="B136" s="16" t="s">
        <v>671</v>
      </c>
      <c r="C136" s="25">
        <v>79606</v>
      </c>
      <c r="F136" s="25">
        <v>19275</v>
      </c>
      <c r="G136" s="25">
        <v>291748879</v>
      </c>
      <c r="H136" s="16" t="s">
        <v>64</v>
      </c>
      <c r="I136" s="16" t="s">
        <v>65</v>
      </c>
      <c r="J136" s="16" t="s">
        <v>66</v>
      </c>
      <c r="K136" s="17">
        <v>41</v>
      </c>
      <c r="L136" t="s">
        <v>672</v>
      </c>
      <c r="M136" t="s">
        <v>673</v>
      </c>
      <c r="N136" t="s">
        <v>69</v>
      </c>
      <c r="O136" s="16" t="s">
        <v>70</v>
      </c>
      <c r="P136" t="s">
        <v>79</v>
      </c>
      <c r="Q136" s="19">
        <v>42</v>
      </c>
      <c r="R136" t="s">
        <v>72</v>
      </c>
      <c r="S136" s="19">
        <v>4.2</v>
      </c>
      <c r="T136" s="19">
        <v>0</v>
      </c>
      <c r="U136" s="19">
        <v>7.44</v>
      </c>
      <c r="V136" s="19">
        <v>37.799999999999997</v>
      </c>
      <c r="W136" s="19">
        <v>42</v>
      </c>
      <c r="X136" t="s">
        <v>73</v>
      </c>
      <c r="Y136" s="20">
        <v>0.05</v>
      </c>
      <c r="Z136" s="19">
        <v>2.1</v>
      </c>
      <c r="AA136" s="19">
        <v>39.9</v>
      </c>
      <c r="AB136" s="19">
        <v>2.1</v>
      </c>
      <c r="AC136" t="s">
        <v>73</v>
      </c>
      <c r="AD136" s="19">
        <v>1.73</v>
      </c>
      <c r="AE136" s="19">
        <v>0.37</v>
      </c>
      <c r="AF136" s="19">
        <v>2.1</v>
      </c>
      <c r="AG136" s="19">
        <v>0</v>
      </c>
      <c r="AH136" s="19">
        <v>37.799999999999997</v>
      </c>
      <c r="AI136" s="19">
        <v>2.1</v>
      </c>
      <c r="AJ136" t="s">
        <v>73</v>
      </c>
      <c r="AK136" s="19">
        <v>0</v>
      </c>
      <c r="AL136" s="19">
        <v>39.9</v>
      </c>
      <c r="AM136" t="b">
        <f t="shared" si="12"/>
        <v>1</v>
      </c>
      <c r="AN136" s="21">
        <f t="shared" si="13"/>
        <v>0</v>
      </c>
      <c r="AO136" s="19">
        <f t="shared" si="14"/>
        <v>0</v>
      </c>
      <c r="AP136" s="22">
        <v>15</v>
      </c>
      <c r="AQ136" s="18">
        <f t="shared" si="15"/>
        <v>0</v>
      </c>
      <c r="AR136" s="18">
        <f t="shared" si="16"/>
        <v>15</v>
      </c>
      <c r="AS136" s="23">
        <f t="shared" si="17"/>
        <v>0</v>
      </c>
      <c r="AT136" s="24">
        <v>46276.171527777777</v>
      </c>
      <c r="AU136" s="16" t="s">
        <v>674</v>
      </c>
      <c r="AV136" s="16">
        <v>291748879</v>
      </c>
      <c r="AW136" s="16">
        <v>739280129</v>
      </c>
      <c r="AX136" s="16" t="s">
        <v>675</v>
      </c>
      <c r="AY136" s="16">
        <v>42</v>
      </c>
      <c r="AZ136" s="16">
        <v>42</v>
      </c>
      <c r="BA136" s="16">
        <v>5</v>
      </c>
      <c r="BB136" s="16">
        <v>2.1</v>
      </c>
      <c r="BC136" s="16">
        <v>15</v>
      </c>
      <c r="BD136" s="16">
        <v>15</v>
      </c>
      <c r="BE136" s="16">
        <v>0</v>
      </c>
      <c r="BF136" s="16" t="s">
        <v>69</v>
      </c>
      <c r="BG136" s="16" t="s">
        <v>676</v>
      </c>
      <c r="BH136" s="16">
        <v>15</v>
      </c>
      <c r="BI136" s="16">
        <v>0</v>
      </c>
      <c r="BJ136" s="16">
        <v>54.9</v>
      </c>
      <c r="BK136" s="16">
        <v>2.1</v>
      </c>
      <c r="BL136" s="16">
        <v>15</v>
      </c>
    </row>
    <row r="137" spans="1:64" x14ac:dyDescent="0.25">
      <c r="A137" s="24">
        <v>46276</v>
      </c>
      <c r="B137" s="16" t="s">
        <v>677</v>
      </c>
      <c r="C137" s="25">
        <v>64652</v>
      </c>
      <c r="F137" s="25">
        <v>19276</v>
      </c>
      <c r="G137" s="25">
        <v>291749916</v>
      </c>
      <c r="H137" s="16" t="s">
        <v>64</v>
      </c>
      <c r="I137" s="16" t="s">
        <v>65</v>
      </c>
      <c r="J137" s="16" t="s">
        <v>66</v>
      </c>
      <c r="K137" s="17">
        <v>88</v>
      </c>
      <c r="L137" t="s">
        <v>678</v>
      </c>
      <c r="M137" t="s">
        <v>679</v>
      </c>
      <c r="N137" t="s">
        <v>69</v>
      </c>
      <c r="O137" s="16" t="s">
        <v>70</v>
      </c>
      <c r="P137" t="s">
        <v>175</v>
      </c>
      <c r="Q137" s="19">
        <v>36</v>
      </c>
      <c r="R137" t="s">
        <v>72</v>
      </c>
      <c r="S137" s="19">
        <v>3.6</v>
      </c>
      <c r="T137" s="19">
        <v>0</v>
      </c>
      <c r="U137" s="19">
        <v>6.66</v>
      </c>
      <c r="V137" s="19">
        <v>32.4</v>
      </c>
      <c r="W137" s="19">
        <v>36</v>
      </c>
      <c r="X137" t="s">
        <v>73</v>
      </c>
      <c r="Y137" s="20">
        <v>0.05</v>
      </c>
      <c r="Z137" s="19">
        <v>1.8</v>
      </c>
      <c r="AA137" s="19">
        <v>34.200000000000003</v>
      </c>
      <c r="AB137" s="19">
        <v>1.8</v>
      </c>
      <c r="AC137" t="s">
        <v>73</v>
      </c>
      <c r="AD137" s="19">
        <v>1.47</v>
      </c>
      <c r="AE137" s="19">
        <v>0.33</v>
      </c>
      <c r="AF137" s="19">
        <v>1.8</v>
      </c>
      <c r="AG137" s="19">
        <v>20</v>
      </c>
      <c r="AH137" s="19">
        <v>12.4</v>
      </c>
      <c r="AI137" s="19">
        <v>1.8</v>
      </c>
      <c r="AJ137" t="s">
        <v>73</v>
      </c>
      <c r="AK137" s="19">
        <v>0</v>
      </c>
      <c r="AL137" s="19">
        <v>34.200000000000003</v>
      </c>
      <c r="AM137" t="b">
        <f t="shared" si="12"/>
        <v>1</v>
      </c>
      <c r="AN137" s="21">
        <f t="shared" si="13"/>
        <v>0</v>
      </c>
      <c r="AO137" s="19">
        <f t="shared" si="14"/>
        <v>0</v>
      </c>
      <c r="AP137" s="22">
        <v>15</v>
      </c>
      <c r="AQ137" s="18">
        <f t="shared" si="15"/>
        <v>0</v>
      </c>
      <c r="AR137" s="18">
        <f t="shared" si="16"/>
        <v>4.9499999999999993</v>
      </c>
      <c r="AS137" s="23">
        <f t="shared" si="17"/>
        <v>10.050000000000001</v>
      </c>
      <c r="AT137" s="24">
        <v>46276.214583333334</v>
      </c>
      <c r="AU137" s="16" t="s">
        <v>680</v>
      </c>
      <c r="AV137" s="16">
        <v>291749916</v>
      </c>
      <c r="AW137" s="16">
        <v>739286152</v>
      </c>
      <c r="AX137" s="16" t="s">
        <v>587</v>
      </c>
      <c r="AY137" s="16">
        <v>36</v>
      </c>
      <c r="AZ137" s="16">
        <v>36</v>
      </c>
      <c r="BA137" s="16">
        <v>5</v>
      </c>
      <c r="BB137" s="16">
        <v>1.8</v>
      </c>
      <c r="BC137" s="16">
        <v>15</v>
      </c>
      <c r="BD137" s="16">
        <v>4.95</v>
      </c>
      <c r="BE137" s="16">
        <v>0</v>
      </c>
      <c r="BF137" s="16" t="s">
        <v>69</v>
      </c>
      <c r="BG137" s="16" t="s">
        <v>681</v>
      </c>
      <c r="BH137" s="16">
        <v>15</v>
      </c>
      <c r="BI137" s="16">
        <v>10.050000000000001</v>
      </c>
      <c r="BJ137" s="16">
        <v>39.150000000000006</v>
      </c>
      <c r="BK137" s="16">
        <v>1.8</v>
      </c>
      <c r="BL137" s="16">
        <v>4.9499999999999993</v>
      </c>
    </row>
    <row r="138" spans="1:64" x14ac:dyDescent="0.25">
      <c r="A138" s="24">
        <v>46276</v>
      </c>
      <c r="B138" s="16" t="s">
        <v>682</v>
      </c>
      <c r="C138" s="25">
        <v>79405</v>
      </c>
      <c r="F138" s="25">
        <v>19307</v>
      </c>
      <c r="G138" s="25">
        <v>291786343</v>
      </c>
      <c r="H138" s="16" t="s">
        <v>64</v>
      </c>
      <c r="I138" s="16" t="s">
        <v>65</v>
      </c>
      <c r="J138" s="16" t="s">
        <v>66</v>
      </c>
      <c r="K138" s="17">
        <v>4785</v>
      </c>
      <c r="L138" t="s">
        <v>683</v>
      </c>
      <c r="M138" t="s">
        <v>684</v>
      </c>
      <c r="N138" t="s">
        <v>69</v>
      </c>
      <c r="O138" s="16" t="s">
        <v>70</v>
      </c>
      <c r="P138" t="s">
        <v>79</v>
      </c>
      <c r="Q138" s="19">
        <v>50</v>
      </c>
      <c r="R138" t="s">
        <v>72</v>
      </c>
      <c r="S138" s="19">
        <v>5</v>
      </c>
      <c r="T138" s="19">
        <v>2</v>
      </c>
      <c r="U138" s="19">
        <v>8.74</v>
      </c>
      <c r="V138" s="19">
        <v>47</v>
      </c>
      <c r="W138" s="19">
        <v>52</v>
      </c>
      <c r="X138" t="s">
        <v>73</v>
      </c>
      <c r="Y138" s="20">
        <v>0.05</v>
      </c>
      <c r="Z138" s="19">
        <v>2.5</v>
      </c>
      <c r="AA138" s="19">
        <v>49.5</v>
      </c>
      <c r="AB138" s="19">
        <v>2.5</v>
      </c>
      <c r="AC138" t="s">
        <v>73</v>
      </c>
      <c r="AD138" s="19">
        <v>2.06</v>
      </c>
      <c r="AE138" s="19">
        <v>0.44</v>
      </c>
      <c r="AF138" s="19">
        <v>2.5</v>
      </c>
      <c r="AG138" s="19">
        <v>0</v>
      </c>
      <c r="AH138" s="19">
        <v>47</v>
      </c>
      <c r="AI138" s="19">
        <v>2.5</v>
      </c>
      <c r="AJ138" t="s">
        <v>73</v>
      </c>
      <c r="AK138" s="19">
        <v>0</v>
      </c>
      <c r="AL138" s="19">
        <v>49.5</v>
      </c>
      <c r="AM138" t="b">
        <f t="shared" si="12"/>
        <v>1</v>
      </c>
      <c r="AN138" s="21">
        <f t="shared" si="13"/>
        <v>0</v>
      </c>
      <c r="AO138" s="19">
        <f t="shared" si="14"/>
        <v>0</v>
      </c>
      <c r="AP138" s="22">
        <v>17</v>
      </c>
      <c r="AQ138" s="18">
        <f t="shared" si="15"/>
        <v>2</v>
      </c>
      <c r="AR138" s="18">
        <f t="shared" si="16"/>
        <v>4.9499999999999993</v>
      </c>
      <c r="AS138" s="23">
        <f t="shared" si="17"/>
        <v>10.050000000000001</v>
      </c>
      <c r="AT138" s="24">
        <v>46276.570833333331</v>
      </c>
      <c r="AU138" s="16" t="s">
        <v>685</v>
      </c>
      <c r="AV138" s="16">
        <v>291786343</v>
      </c>
      <c r="AW138" s="16">
        <v>739397725</v>
      </c>
      <c r="AX138" s="16" t="s">
        <v>686</v>
      </c>
      <c r="AY138" s="16">
        <v>52</v>
      </c>
      <c r="AZ138" s="16">
        <v>50</v>
      </c>
      <c r="BA138" s="16">
        <v>5</v>
      </c>
      <c r="BB138" s="16">
        <v>2.5</v>
      </c>
      <c r="BC138" s="16">
        <v>17</v>
      </c>
      <c r="BD138" s="16">
        <v>4.95</v>
      </c>
      <c r="BE138" s="16">
        <v>1</v>
      </c>
      <c r="BF138" s="16" t="s">
        <v>69</v>
      </c>
      <c r="BG138" s="16" t="s">
        <v>687</v>
      </c>
      <c r="BH138" s="16">
        <v>15</v>
      </c>
      <c r="BI138" s="16">
        <v>10.050000000000001</v>
      </c>
      <c r="BJ138" s="16">
        <v>54.45</v>
      </c>
      <c r="BK138" s="16">
        <v>2.5</v>
      </c>
      <c r="BL138" s="16">
        <v>6.9499999999999993</v>
      </c>
    </row>
    <row r="139" spans="1:64" x14ac:dyDescent="0.25">
      <c r="A139" s="24">
        <v>46276</v>
      </c>
      <c r="B139" s="16" t="s">
        <v>688</v>
      </c>
      <c r="C139" s="25">
        <v>9452</v>
      </c>
      <c r="F139" s="25">
        <v>19308</v>
      </c>
      <c r="G139" s="25">
        <v>291787682</v>
      </c>
      <c r="H139" s="16" t="s">
        <v>64</v>
      </c>
      <c r="I139" s="16" t="s">
        <v>65</v>
      </c>
      <c r="J139" s="16" t="s">
        <v>66</v>
      </c>
      <c r="K139" s="17">
        <v>20</v>
      </c>
      <c r="L139" t="s">
        <v>118</v>
      </c>
      <c r="M139" t="s">
        <v>689</v>
      </c>
      <c r="N139" t="s">
        <v>69</v>
      </c>
      <c r="O139" s="16" t="s">
        <v>70</v>
      </c>
      <c r="P139" t="s">
        <v>71</v>
      </c>
      <c r="Q139" s="19">
        <v>66.5</v>
      </c>
      <c r="R139" t="s">
        <v>72</v>
      </c>
      <c r="S139" s="19">
        <v>6.65</v>
      </c>
      <c r="T139" s="19">
        <v>9</v>
      </c>
      <c r="U139" s="19">
        <v>10.63</v>
      </c>
      <c r="V139" s="19">
        <v>68.849999999999994</v>
      </c>
      <c r="W139" s="19">
        <v>75.5</v>
      </c>
      <c r="X139" t="s">
        <v>73</v>
      </c>
      <c r="Y139" s="20">
        <v>0.04</v>
      </c>
      <c r="Z139" s="19">
        <v>2.66</v>
      </c>
      <c r="AA139" s="19">
        <v>72.84</v>
      </c>
      <c r="AB139" s="19">
        <v>2.66</v>
      </c>
      <c r="AC139" t="s">
        <v>73</v>
      </c>
      <c r="AD139" s="19">
        <v>2.23</v>
      </c>
      <c r="AE139" s="19">
        <v>0.43</v>
      </c>
      <c r="AF139" s="19">
        <v>2.66</v>
      </c>
      <c r="AG139" s="19">
        <v>5</v>
      </c>
      <c r="AH139" s="19">
        <v>63.85</v>
      </c>
      <c r="AI139" s="19">
        <v>2.66</v>
      </c>
      <c r="AJ139" t="s">
        <v>73</v>
      </c>
      <c r="AK139" s="19">
        <v>0</v>
      </c>
      <c r="AL139" s="19">
        <v>72.84</v>
      </c>
      <c r="AM139" t="b">
        <f t="shared" si="12"/>
        <v>1</v>
      </c>
      <c r="AN139" s="21">
        <f t="shared" si="13"/>
        <v>0</v>
      </c>
      <c r="AO139" s="19">
        <f t="shared" si="14"/>
        <v>0</v>
      </c>
      <c r="AP139" s="22">
        <v>15</v>
      </c>
      <c r="AQ139" s="18">
        <f t="shared" si="15"/>
        <v>9</v>
      </c>
      <c r="AR139" s="18">
        <f t="shared" si="16"/>
        <v>6</v>
      </c>
      <c r="AS139" s="23">
        <f t="shared" si="17"/>
        <v>0</v>
      </c>
      <c r="AT139" s="24">
        <v>46276.574305555558</v>
      </c>
      <c r="AU139" s="16" t="s">
        <v>120</v>
      </c>
      <c r="AV139" s="16">
        <v>291787682</v>
      </c>
      <c r="AW139" s="16">
        <v>739402607</v>
      </c>
      <c r="AX139" s="16" t="s">
        <v>110</v>
      </c>
      <c r="AY139" s="16">
        <v>75.5</v>
      </c>
      <c r="AZ139" s="16">
        <v>66.5</v>
      </c>
      <c r="BA139" s="16">
        <v>4</v>
      </c>
      <c r="BB139" s="16">
        <v>2.66</v>
      </c>
      <c r="BC139" s="16">
        <v>15</v>
      </c>
      <c r="BD139" s="16">
        <v>6</v>
      </c>
      <c r="BE139" s="16">
        <v>8</v>
      </c>
      <c r="BF139" s="16" t="s">
        <v>69</v>
      </c>
      <c r="BG139" s="16" t="s">
        <v>690</v>
      </c>
      <c r="BH139" s="16">
        <v>6</v>
      </c>
      <c r="BI139" s="16">
        <v>0</v>
      </c>
      <c r="BJ139" s="16">
        <v>78.84</v>
      </c>
      <c r="BK139" s="16">
        <v>2.66</v>
      </c>
      <c r="BL139" s="16">
        <v>15</v>
      </c>
    </row>
    <row r="140" spans="1:64" x14ac:dyDescent="0.25">
      <c r="A140" s="24">
        <v>46276</v>
      </c>
      <c r="B140" s="16" t="s">
        <v>691</v>
      </c>
      <c r="C140" s="25">
        <v>79640</v>
      </c>
      <c r="F140" s="25">
        <v>19309</v>
      </c>
      <c r="G140" s="25">
        <v>291810596</v>
      </c>
      <c r="H140" s="16" t="s">
        <v>64</v>
      </c>
      <c r="I140" s="16" t="s">
        <v>65</v>
      </c>
      <c r="J140" s="16" t="s">
        <v>66</v>
      </c>
      <c r="K140" s="17">
        <v>8982</v>
      </c>
      <c r="L140" t="s">
        <v>692</v>
      </c>
      <c r="M140" t="s">
        <v>693</v>
      </c>
      <c r="N140" t="s">
        <v>69</v>
      </c>
      <c r="O140" s="16" t="s">
        <v>70</v>
      </c>
      <c r="P140" t="s">
        <v>79</v>
      </c>
      <c r="Q140" s="19">
        <v>63</v>
      </c>
      <c r="R140" t="s">
        <v>72</v>
      </c>
      <c r="S140" s="19">
        <v>6.3</v>
      </c>
      <c r="T140" s="19">
        <v>7</v>
      </c>
      <c r="U140" s="19">
        <v>11.09</v>
      </c>
      <c r="V140" s="19">
        <v>63.7</v>
      </c>
      <c r="W140" s="19">
        <v>70</v>
      </c>
      <c r="X140" t="s">
        <v>73</v>
      </c>
      <c r="Y140" s="20">
        <v>0.05</v>
      </c>
      <c r="Z140" s="19">
        <v>3.15</v>
      </c>
      <c r="AA140" s="19">
        <v>66.849999999999994</v>
      </c>
      <c r="AB140" s="19">
        <v>3.15</v>
      </c>
      <c r="AC140" t="s">
        <v>73</v>
      </c>
      <c r="AD140" s="19">
        <v>2.6</v>
      </c>
      <c r="AE140" s="19">
        <v>0.55000000000000004</v>
      </c>
      <c r="AF140" s="19">
        <v>3.15</v>
      </c>
      <c r="AG140" s="19">
        <v>0</v>
      </c>
      <c r="AH140" s="19">
        <v>63.7</v>
      </c>
      <c r="AI140" s="19">
        <v>3.15</v>
      </c>
      <c r="AJ140" t="s">
        <v>73</v>
      </c>
      <c r="AK140" s="19">
        <v>0</v>
      </c>
      <c r="AL140" s="19">
        <v>66.849999999999994</v>
      </c>
      <c r="AM140" t="b">
        <f t="shared" si="12"/>
        <v>1</v>
      </c>
      <c r="AN140" s="21">
        <f t="shared" si="13"/>
        <v>0</v>
      </c>
      <c r="AO140" s="19">
        <f t="shared" si="14"/>
        <v>0</v>
      </c>
      <c r="AP140" s="22">
        <v>22</v>
      </c>
      <c r="AQ140" s="18">
        <f t="shared" si="15"/>
        <v>7</v>
      </c>
      <c r="AR140" s="18">
        <f t="shared" si="16"/>
        <v>15</v>
      </c>
      <c r="AS140" s="23">
        <f t="shared" si="17"/>
        <v>0</v>
      </c>
      <c r="AT140" s="24">
        <v>46276.625</v>
      </c>
      <c r="AU140" s="16" t="s">
        <v>694</v>
      </c>
      <c r="AV140" s="16">
        <v>291810596</v>
      </c>
      <c r="AW140" s="16">
        <v>739457047</v>
      </c>
      <c r="AX140" s="16" t="s">
        <v>110</v>
      </c>
      <c r="AY140" s="16">
        <v>70</v>
      </c>
      <c r="AZ140" s="16">
        <v>63</v>
      </c>
      <c r="BA140" s="16">
        <v>5</v>
      </c>
      <c r="BB140" s="16">
        <v>3.15</v>
      </c>
      <c r="BC140" s="16">
        <v>22</v>
      </c>
      <c r="BD140" s="16">
        <v>15</v>
      </c>
      <c r="BE140" s="16">
        <v>6</v>
      </c>
      <c r="BF140" s="16" t="s">
        <v>69</v>
      </c>
      <c r="BG140" s="16" t="s">
        <v>695</v>
      </c>
      <c r="BH140" s="16">
        <v>15</v>
      </c>
      <c r="BI140" s="16">
        <v>0</v>
      </c>
      <c r="BJ140" s="16">
        <v>81.849999999999994</v>
      </c>
      <c r="BK140" s="16">
        <v>3.15</v>
      </c>
      <c r="BL140" s="16">
        <v>22</v>
      </c>
    </row>
    <row r="141" spans="1:64" x14ac:dyDescent="0.25">
      <c r="A141" s="24">
        <v>46276</v>
      </c>
      <c r="B141" s="16" t="s">
        <v>696</v>
      </c>
      <c r="C141" s="25">
        <v>63786</v>
      </c>
      <c r="F141" s="25">
        <v>19310</v>
      </c>
      <c r="G141" s="25">
        <v>291816237</v>
      </c>
      <c r="H141" s="16" t="s">
        <v>64</v>
      </c>
      <c r="I141" s="16" t="s">
        <v>65</v>
      </c>
      <c r="J141" s="16" t="s">
        <v>66</v>
      </c>
      <c r="K141" s="17">
        <v>86</v>
      </c>
      <c r="L141" t="s">
        <v>421</v>
      </c>
      <c r="M141" t="s">
        <v>697</v>
      </c>
      <c r="N141" t="s">
        <v>69</v>
      </c>
      <c r="O141" s="16" t="s">
        <v>70</v>
      </c>
      <c r="P141" t="s">
        <v>71</v>
      </c>
      <c r="Q141" s="19">
        <v>115</v>
      </c>
      <c r="R141" t="s">
        <v>72</v>
      </c>
      <c r="S141" s="19">
        <v>11.5</v>
      </c>
      <c r="T141" s="19">
        <v>0</v>
      </c>
      <c r="U141" s="19">
        <v>16.96</v>
      </c>
      <c r="V141" s="19">
        <v>103.5</v>
      </c>
      <c r="W141" s="19">
        <v>115</v>
      </c>
      <c r="X141" t="s">
        <v>73</v>
      </c>
      <c r="Y141" s="20">
        <v>0.05</v>
      </c>
      <c r="Z141" s="19">
        <v>5.75</v>
      </c>
      <c r="AA141" s="19">
        <v>109.25</v>
      </c>
      <c r="AB141" s="19">
        <v>5.75</v>
      </c>
      <c r="AC141" t="s">
        <v>73</v>
      </c>
      <c r="AD141" s="19">
        <v>4.9000000000000004</v>
      </c>
      <c r="AE141" s="19">
        <v>0.85</v>
      </c>
      <c r="AF141" s="19">
        <v>5.75</v>
      </c>
      <c r="AG141" s="19">
        <v>2</v>
      </c>
      <c r="AH141" s="19">
        <v>101.5</v>
      </c>
      <c r="AI141" s="19">
        <v>5.75</v>
      </c>
      <c r="AJ141" t="s">
        <v>73</v>
      </c>
      <c r="AK141" s="19">
        <v>0</v>
      </c>
      <c r="AL141" s="19">
        <v>109.25</v>
      </c>
      <c r="AM141" t="b">
        <f t="shared" si="12"/>
        <v>1</v>
      </c>
      <c r="AN141" s="21">
        <f t="shared" si="13"/>
        <v>0</v>
      </c>
      <c r="AO141" s="19">
        <f t="shared" si="14"/>
        <v>0</v>
      </c>
      <c r="AP141" s="22">
        <v>15</v>
      </c>
      <c r="AQ141" s="18">
        <f t="shared" si="15"/>
        <v>0</v>
      </c>
      <c r="AR141" s="18">
        <f t="shared" si="16"/>
        <v>5</v>
      </c>
      <c r="AS141" s="23">
        <f t="shared" si="17"/>
        <v>10</v>
      </c>
      <c r="AT141" s="24">
        <v>46276.629861111112</v>
      </c>
      <c r="AU141" s="16" t="s">
        <v>423</v>
      </c>
      <c r="AV141" s="16">
        <v>291816237</v>
      </c>
      <c r="AW141" s="16">
        <v>739468729</v>
      </c>
      <c r="AX141" s="16" t="s">
        <v>110</v>
      </c>
      <c r="AY141" s="16">
        <v>115</v>
      </c>
      <c r="AZ141" s="16">
        <v>115</v>
      </c>
      <c r="BA141" s="16">
        <v>5</v>
      </c>
      <c r="BB141" s="16">
        <v>5.75</v>
      </c>
      <c r="BC141" s="16">
        <v>15</v>
      </c>
      <c r="BD141" s="16">
        <v>5</v>
      </c>
      <c r="BE141" s="16">
        <v>0</v>
      </c>
      <c r="BF141" s="16" t="s">
        <v>69</v>
      </c>
      <c r="BG141" s="16" t="s">
        <v>698</v>
      </c>
      <c r="BH141" s="16">
        <v>15</v>
      </c>
      <c r="BI141" s="16">
        <v>10</v>
      </c>
      <c r="BJ141" s="16">
        <v>114.25</v>
      </c>
      <c r="BK141" s="16">
        <v>5.75</v>
      </c>
      <c r="BL141" s="16">
        <v>5</v>
      </c>
    </row>
    <row r="142" spans="1:64" x14ac:dyDescent="0.25">
      <c r="A142" s="24">
        <v>46276</v>
      </c>
      <c r="B142" s="16" t="s">
        <v>699</v>
      </c>
      <c r="C142" s="25">
        <v>39317</v>
      </c>
      <c r="D142" s="17" t="s">
        <v>700</v>
      </c>
      <c r="F142" s="25">
        <v>19311</v>
      </c>
      <c r="G142" s="25">
        <v>291819983</v>
      </c>
      <c r="H142" s="16" t="s">
        <v>64</v>
      </c>
      <c r="I142" s="16" t="s">
        <v>65</v>
      </c>
      <c r="J142" s="16" t="s">
        <v>66</v>
      </c>
      <c r="K142" s="17">
        <v>4601</v>
      </c>
      <c r="L142" t="s">
        <v>701</v>
      </c>
      <c r="M142" t="s">
        <v>702</v>
      </c>
      <c r="N142" t="s">
        <v>69</v>
      </c>
      <c r="O142" s="16" t="s">
        <v>70</v>
      </c>
      <c r="P142" t="s">
        <v>71</v>
      </c>
      <c r="Q142" s="19">
        <v>66.75</v>
      </c>
      <c r="R142" t="s">
        <v>72</v>
      </c>
      <c r="S142" s="19">
        <v>6.67</v>
      </c>
      <c r="T142" s="19">
        <v>0</v>
      </c>
      <c r="U142" s="19">
        <v>10.67</v>
      </c>
      <c r="V142" s="19">
        <v>60.08</v>
      </c>
      <c r="W142" s="19">
        <v>66.75</v>
      </c>
      <c r="X142" t="s">
        <v>73</v>
      </c>
      <c r="Y142" s="20">
        <v>0.05</v>
      </c>
      <c r="Z142" s="19">
        <v>3.34</v>
      </c>
      <c r="AA142" s="19">
        <v>63.41</v>
      </c>
      <c r="AB142" s="19">
        <v>3.34</v>
      </c>
      <c r="AC142" t="s">
        <v>73</v>
      </c>
      <c r="AD142" s="19">
        <v>2.81</v>
      </c>
      <c r="AE142" s="19">
        <v>0.53</v>
      </c>
      <c r="AF142" s="19">
        <v>3.34</v>
      </c>
      <c r="AG142" s="19">
        <v>2.5499999999999998</v>
      </c>
      <c r="AH142" s="19">
        <v>57.53</v>
      </c>
      <c r="AI142" s="19">
        <v>3.34</v>
      </c>
      <c r="AJ142" t="s">
        <v>73</v>
      </c>
      <c r="AK142" s="19">
        <v>0</v>
      </c>
      <c r="AL142" s="19">
        <v>63.41</v>
      </c>
      <c r="AM142" t="b">
        <f t="shared" si="12"/>
        <v>1</v>
      </c>
      <c r="AN142" s="21">
        <f t="shared" si="13"/>
        <v>0</v>
      </c>
      <c r="AO142" s="19">
        <f t="shared" si="14"/>
        <v>2.4999999999999467E-3</v>
      </c>
      <c r="AP142" s="22">
        <v>15</v>
      </c>
      <c r="AQ142" s="18">
        <f t="shared" si="15"/>
        <v>0</v>
      </c>
      <c r="AR142" s="18">
        <f t="shared" si="16"/>
        <v>15</v>
      </c>
      <c r="AS142" s="23">
        <f t="shared" si="17"/>
        <v>0</v>
      </c>
      <c r="AT142" s="24">
        <v>46276.630555555559</v>
      </c>
      <c r="AU142" s="16" t="s">
        <v>703</v>
      </c>
      <c r="AV142" s="16">
        <v>291819983</v>
      </c>
      <c r="AW142" s="16">
        <v>739221723</v>
      </c>
      <c r="AX142" s="16" t="s">
        <v>704</v>
      </c>
      <c r="AY142" s="16">
        <v>66.75</v>
      </c>
      <c r="AZ142" s="16">
        <v>66.75</v>
      </c>
      <c r="BA142" s="16">
        <v>5</v>
      </c>
      <c r="BB142" s="16">
        <v>3.3374999999999999</v>
      </c>
      <c r="BC142" s="16">
        <v>15</v>
      </c>
      <c r="BD142" s="16">
        <v>15</v>
      </c>
      <c r="BE142" s="16">
        <v>0</v>
      </c>
      <c r="BF142" s="16" t="s">
        <v>69</v>
      </c>
      <c r="BG142" s="16" t="s">
        <v>705</v>
      </c>
      <c r="BH142" s="16">
        <v>15</v>
      </c>
      <c r="BI142" s="16">
        <v>0</v>
      </c>
      <c r="BJ142" s="16">
        <v>78.412499999999994</v>
      </c>
      <c r="BK142" s="16">
        <v>3.3374999999999999</v>
      </c>
      <c r="BL142" s="16">
        <v>15</v>
      </c>
    </row>
    <row r="143" spans="1:64" x14ac:dyDescent="0.25">
      <c r="A143" s="24">
        <v>46276</v>
      </c>
      <c r="B143" s="16" t="s">
        <v>706</v>
      </c>
      <c r="C143" s="25">
        <v>9</v>
      </c>
      <c r="D143" s="17" t="s">
        <v>707</v>
      </c>
      <c r="F143" s="25">
        <v>19312</v>
      </c>
      <c r="G143" s="25">
        <v>291823370</v>
      </c>
      <c r="H143" s="16" t="s">
        <v>64</v>
      </c>
      <c r="I143" s="16" t="s">
        <v>65</v>
      </c>
      <c r="J143" s="16" t="s">
        <v>66</v>
      </c>
      <c r="K143" s="17">
        <v>20</v>
      </c>
      <c r="L143" t="s">
        <v>118</v>
      </c>
      <c r="M143" t="s">
        <v>73</v>
      </c>
      <c r="N143" t="s">
        <v>69</v>
      </c>
      <c r="O143" s="16" t="s">
        <v>70</v>
      </c>
      <c r="P143" t="s">
        <v>92</v>
      </c>
      <c r="Q143" s="19">
        <v>131</v>
      </c>
      <c r="R143" t="s">
        <v>73</v>
      </c>
      <c r="S143" s="19">
        <v>0</v>
      </c>
      <c r="T143" s="19">
        <v>9</v>
      </c>
      <c r="U143" s="19">
        <v>19.05</v>
      </c>
      <c r="V143" s="19">
        <v>140</v>
      </c>
      <c r="W143" s="19">
        <v>140</v>
      </c>
      <c r="X143" t="s">
        <v>73</v>
      </c>
      <c r="Y143" s="20">
        <v>0.04</v>
      </c>
      <c r="Z143" s="19">
        <v>5.24</v>
      </c>
      <c r="AA143" s="19">
        <v>134.76</v>
      </c>
      <c r="AB143" s="19">
        <v>5.24</v>
      </c>
      <c r="AC143" t="s">
        <v>73</v>
      </c>
      <c r="AD143" s="19">
        <v>4.4800000000000004</v>
      </c>
      <c r="AE143" s="19">
        <v>0.76</v>
      </c>
      <c r="AF143" s="19">
        <v>5.24</v>
      </c>
      <c r="AG143" s="19">
        <v>140</v>
      </c>
      <c r="AH143" s="19">
        <v>0</v>
      </c>
      <c r="AI143" s="19">
        <v>5.24</v>
      </c>
      <c r="AJ143" t="s">
        <v>73</v>
      </c>
      <c r="AK143" s="19">
        <v>0</v>
      </c>
      <c r="AL143" s="19">
        <v>134.76</v>
      </c>
      <c r="AM143" t="b">
        <f t="shared" si="12"/>
        <v>1</v>
      </c>
      <c r="AN143" s="21">
        <f t="shared" si="13"/>
        <v>0</v>
      </c>
      <c r="AO143" s="19">
        <f t="shared" si="14"/>
        <v>0</v>
      </c>
      <c r="AP143" s="22">
        <v>15</v>
      </c>
      <c r="AQ143" s="18">
        <f t="shared" si="15"/>
        <v>9</v>
      </c>
      <c r="AR143" s="18">
        <f t="shared" si="16"/>
        <v>6</v>
      </c>
      <c r="AS143" s="23">
        <f t="shared" si="17"/>
        <v>0</v>
      </c>
      <c r="AT143" s="24">
        <v>46276.647916666669</v>
      </c>
      <c r="AU143" s="16" t="s">
        <v>120</v>
      </c>
      <c r="AV143" s="16">
        <v>291823370</v>
      </c>
      <c r="AW143" s="16">
        <v>739483121</v>
      </c>
      <c r="AX143" s="16" t="s">
        <v>708</v>
      </c>
      <c r="AY143" s="16">
        <v>140</v>
      </c>
      <c r="AZ143" s="16">
        <v>131</v>
      </c>
      <c r="BA143" s="16">
        <v>4</v>
      </c>
      <c r="BB143" s="16">
        <v>5.24</v>
      </c>
      <c r="BC143" s="16">
        <v>15</v>
      </c>
      <c r="BD143" s="16">
        <v>6</v>
      </c>
      <c r="BE143" s="16">
        <v>8</v>
      </c>
      <c r="BF143" s="16" t="s">
        <v>69</v>
      </c>
      <c r="BG143" s="16" t="s">
        <v>709</v>
      </c>
      <c r="BH143" s="16">
        <v>6</v>
      </c>
      <c r="BI143" s="16">
        <v>0</v>
      </c>
      <c r="BJ143" s="16">
        <v>140.76</v>
      </c>
      <c r="BK143" s="16">
        <v>5.24</v>
      </c>
      <c r="BL143" s="16">
        <v>15</v>
      </c>
    </row>
    <row r="144" spans="1:64" x14ac:dyDescent="0.25">
      <c r="A144" s="24">
        <v>46276</v>
      </c>
      <c r="B144" s="16" t="s">
        <v>710</v>
      </c>
      <c r="C144" s="25">
        <v>62208</v>
      </c>
      <c r="F144" s="25">
        <v>19314</v>
      </c>
      <c r="G144" s="25">
        <v>291824946</v>
      </c>
      <c r="H144" s="16" t="s">
        <v>64</v>
      </c>
      <c r="I144" s="16" t="s">
        <v>65</v>
      </c>
      <c r="J144" s="16" t="s">
        <v>66</v>
      </c>
      <c r="K144" s="17">
        <v>16205</v>
      </c>
      <c r="L144" t="s">
        <v>711</v>
      </c>
      <c r="M144" t="s">
        <v>712</v>
      </c>
      <c r="N144" t="s">
        <v>69</v>
      </c>
      <c r="O144" s="16" t="s">
        <v>70</v>
      </c>
      <c r="P144" t="s">
        <v>71</v>
      </c>
      <c r="Q144" s="19">
        <v>38</v>
      </c>
      <c r="R144" t="s">
        <v>72</v>
      </c>
      <c r="S144" s="19">
        <v>3.8</v>
      </c>
      <c r="T144" s="19">
        <v>0</v>
      </c>
      <c r="U144" s="19">
        <v>1.96</v>
      </c>
      <c r="V144" s="19">
        <v>34.200000000000003</v>
      </c>
      <c r="W144" s="19">
        <v>38</v>
      </c>
      <c r="X144" t="s">
        <v>73</v>
      </c>
      <c r="Y144" s="20">
        <v>0.05</v>
      </c>
      <c r="Z144" s="19">
        <v>1.9</v>
      </c>
      <c r="AA144" s="19">
        <v>36.1</v>
      </c>
      <c r="AB144" s="19">
        <v>1.9</v>
      </c>
      <c r="AC144" t="s">
        <v>73</v>
      </c>
      <c r="AD144" s="19">
        <v>1.8</v>
      </c>
      <c r="AE144" s="19">
        <v>0.1</v>
      </c>
      <c r="AF144" s="19">
        <v>1.9</v>
      </c>
      <c r="AG144" s="19">
        <v>20</v>
      </c>
      <c r="AH144" s="19">
        <v>14.2</v>
      </c>
      <c r="AI144" s="19">
        <v>1.9</v>
      </c>
      <c r="AJ144" t="s">
        <v>73</v>
      </c>
      <c r="AK144" s="19">
        <v>0</v>
      </c>
      <c r="AL144" s="19">
        <v>36.1</v>
      </c>
      <c r="AM144" t="b">
        <f t="shared" si="12"/>
        <v>1</v>
      </c>
      <c r="AN144" s="21">
        <f t="shared" si="13"/>
        <v>0</v>
      </c>
      <c r="AO144" s="19">
        <f t="shared" si="14"/>
        <v>0</v>
      </c>
      <c r="AP144" s="22">
        <v>15</v>
      </c>
      <c r="AQ144" s="18">
        <f t="shared" si="15"/>
        <v>0</v>
      </c>
      <c r="AR144" s="18">
        <f t="shared" si="16"/>
        <v>4.9499999999999993</v>
      </c>
      <c r="AS144" s="23">
        <f t="shared" si="17"/>
        <v>10.050000000000001</v>
      </c>
      <c r="AT144" s="24">
        <v>46276.631944444445</v>
      </c>
      <c r="AU144" s="16" t="s">
        <v>711</v>
      </c>
      <c r="AV144" s="16">
        <v>291824946</v>
      </c>
      <c r="AW144" s="16">
        <v>739463624</v>
      </c>
      <c r="AX144" s="16" t="s">
        <v>713</v>
      </c>
      <c r="AY144" s="16">
        <v>38</v>
      </c>
      <c r="AZ144" s="16">
        <v>38</v>
      </c>
      <c r="BA144" s="16">
        <v>5</v>
      </c>
      <c r="BB144" s="16">
        <v>1.9</v>
      </c>
      <c r="BC144" s="16">
        <v>15</v>
      </c>
      <c r="BD144" s="16">
        <v>4.95</v>
      </c>
      <c r="BE144" s="16">
        <v>0</v>
      </c>
      <c r="BF144" s="16" t="s">
        <v>69</v>
      </c>
      <c r="BG144" s="16" t="s">
        <v>714</v>
      </c>
      <c r="BH144" s="16">
        <v>15</v>
      </c>
      <c r="BI144" s="16">
        <v>10.050000000000001</v>
      </c>
      <c r="BJ144" s="16">
        <v>41.050000000000004</v>
      </c>
      <c r="BK144" s="16">
        <v>1.9</v>
      </c>
      <c r="BL144" s="16">
        <v>4.9499999999999993</v>
      </c>
    </row>
    <row r="145" spans="1:64" x14ac:dyDescent="0.25">
      <c r="A145" s="24">
        <v>46276</v>
      </c>
      <c r="B145" s="16" t="s">
        <v>172</v>
      </c>
      <c r="C145" s="25">
        <v>55013</v>
      </c>
      <c r="F145" s="25">
        <v>19315</v>
      </c>
      <c r="G145" s="25">
        <v>291831890</v>
      </c>
      <c r="H145" s="16" t="s">
        <v>64</v>
      </c>
      <c r="I145" s="16" t="s">
        <v>65</v>
      </c>
      <c r="J145" s="16" t="s">
        <v>66</v>
      </c>
      <c r="K145" s="17">
        <v>7</v>
      </c>
      <c r="L145" t="s">
        <v>715</v>
      </c>
      <c r="M145" t="s">
        <v>716</v>
      </c>
      <c r="N145" t="s">
        <v>69</v>
      </c>
      <c r="O145" s="16" t="s">
        <v>70</v>
      </c>
      <c r="P145" t="s">
        <v>71</v>
      </c>
      <c r="Q145" s="19">
        <v>52.61</v>
      </c>
      <c r="R145" t="s">
        <v>72</v>
      </c>
      <c r="S145" s="19">
        <v>5.26</v>
      </c>
      <c r="T145" s="19">
        <v>15</v>
      </c>
      <c r="U145" s="19">
        <v>8.82</v>
      </c>
      <c r="V145" s="19">
        <v>62.35</v>
      </c>
      <c r="W145" s="19">
        <v>67.61</v>
      </c>
      <c r="X145" t="s">
        <v>73</v>
      </c>
      <c r="Y145" s="20">
        <v>0.05</v>
      </c>
      <c r="Z145" s="19">
        <v>2.63</v>
      </c>
      <c r="AA145" s="19">
        <v>64.98</v>
      </c>
      <c r="AB145" s="19">
        <v>2.63</v>
      </c>
      <c r="AC145" t="s">
        <v>73</v>
      </c>
      <c r="AD145" s="19">
        <v>2.19</v>
      </c>
      <c r="AE145" s="19">
        <v>0.44</v>
      </c>
      <c r="AF145" s="19">
        <v>2.63</v>
      </c>
      <c r="AG145" s="19">
        <v>5</v>
      </c>
      <c r="AH145" s="19">
        <v>57.35</v>
      </c>
      <c r="AI145" s="19">
        <v>2.63</v>
      </c>
      <c r="AJ145" t="s">
        <v>73</v>
      </c>
      <c r="AK145" s="19">
        <v>0</v>
      </c>
      <c r="AL145" s="19">
        <v>64.98</v>
      </c>
      <c r="AM145" t="b">
        <f t="shared" si="12"/>
        <v>1</v>
      </c>
      <c r="AN145" s="21">
        <f t="shared" si="13"/>
        <v>0</v>
      </c>
      <c r="AO145" s="19">
        <f t="shared" si="14"/>
        <v>-5.0000000000016698E-4</v>
      </c>
      <c r="AP145" s="22">
        <v>15</v>
      </c>
      <c r="AQ145" s="18">
        <f t="shared" si="15"/>
        <v>15</v>
      </c>
      <c r="AR145" s="18">
        <f t="shared" si="16"/>
        <v>0</v>
      </c>
      <c r="AS145" s="23">
        <f t="shared" si="17"/>
        <v>0</v>
      </c>
      <c r="AT145" s="24">
        <v>46276.645138888889</v>
      </c>
      <c r="AU145" s="16" t="s">
        <v>717</v>
      </c>
      <c r="AV145" s="16">
        <v>291831890</v>
      </c>
      <c r="AW145" s="16">
        <v>739493982</v>
      </c>
      <c r="AX145" s="16" t="s">
        <v>587</v>
      </c>
      <c r="AY145" s="16">
        <v>67.610000610351563</v>
      </c>
      <c r="AZ145" s="16">
        <v>52.61</v>
      </c>
      <c r="BA145" s="16">
        <v>5</v>
      </c>
      <c r="BB145" s="16">
        <v>2.6305000000000001</v>
      </c>
      <c r="BC145" s="16">
        <v>15</v>
      </c>
      <c r="BD145" s="16">
        <v>0</v>
      </c>
      <c r="BE145" s="16">
        <v>14</v>
      </c>
      <c r="BF145" s="16" t="s">
        <v>69</v>
      </c>
      <c r="BG145" s="16" t="s">
        <v>718</v>
      </c>
      <c r="BH145" s="16">
        <v>0</v>
      </c>
      <c r="BI145" s="16">
        <v>0</v>
      </c>
      <c r="BJ145" s="16">
        <v>64.979500610351565</v>
      </c>
      <c r="BK145" s="16">
        <v>2.6305000000000001</v>
      </c>
      <c r="BL145" s="16">
        <v>15</v>
      </c>
    </row>
    <row r="146" spans="1:64" x14ac:dyDescent="0.25">
      <c r="A146" s="24">
        <v>46276</v>
      </c>
      <c r="B146" s="16" t="s">
        <v>719</v>
      </c>
      <c r="C146" s="25">
        <v>60869</v>
      </c>
      <c r="F146" s="25">
        <v>19316</v>
      </c>
      <c r="G146" s="25">
        <v>291840989</v>
      </c>
      <c r="H146" s="16" t="s">
        <v>64</v>
      </c>
      <c r="I146" s="16" t="s">
        <v>65</v>
      </c>
      <c r="J146" s="16" t="s">
        <v>66</v>
      </c>
      <c r="K146" s="17">
        <v>4920</v>
      </c>
      <c r="L146" t="s">
        <v>720</v>
      </c>
      <c r="M146" t="s">
        <v>721</v>
      </c>
      <c r="N146" t="s">
        <v>69</v>
      </c>
      <c r="O146" s="16" t="s">
        <v>70</v>
      </c>
      <c r="P146" t="s">
        <v>71</v>
      </c>
      <c r="Q146" s="19">
        <v>72</v>
      </c>
      <c r="R146" t="s">
        <v>72</v>
      </c>
      <c r="S146" s="19">
        <v>7.2</v>
      </c>
      <c r="T146" s="19">
        <v>7</v>
      </c>
      <c r="U146" s="19">
        <v>12.26</v>
      </c>
      <c r="V146" s="19">
        <v>71.8</v>
      </c>
      <c r="W146" s="19">
        <v>79</v>
      </c>
      <c r="X146" t="s">
        <v>73</v>
      </c>
      <c r="Y146" s="20">
        <v>0.05</v>
      </c>
      <c r="Z146" s="19">
        <v>3.6</v>
      </c>
      <c r="AA146" s="19">
        <v>75.400000000000006</v>
      </c>
      <c r="AB146" s="19">
        <v>3.6</v>
      </c>
      <c r="AC146" t="s">
        <v>73</v>
      </c>
      <c r="AD146" s="19">
        <v>2.99</v>
      </c>
      <c r="AE146" s="19">
        <v>0.61</v>
      </c>
      <c r="AF146" s="19">
        <v>3.6</v>
      </c>
      <c r="AG146" s="19">
        <v>0.65</v>
      </c>
      <c r="AH146" s="19">
        <v>71.150000000000006</v>
      </c>
      <c r="AI146" s="19">
        <v>3.6</v>
      </c>
      <c r="AJ146" t="s">
        <v>73</v>
      </c>
      <c r="AK146" s="19">
        <v>0</v>
      </c>
      <c r="AL146" s="19">
        <v>75.400000000000006</v>
      </c>
      <c r="AM146" t="b">
        <f t="shared" si="12"/>
        <v>1</v>
      </c>
      <c r="AN146" s="21">
        <f t="shared" si="13"/>
        <v>0</v>
      </c>
      <c r="AO146" s="19">
        <f t="shared" si="14"/>
        <v>0</v>
      </c>
      <c r="AP146" s="22">
        <v>22</v>
      </c>
      <c r="AQ146" s="18">
        <f t="shared" si="15"/>
        <v>7</v>
      </c>
      <c r="AR146" s="18">
        <f t="shared" si="16"/>
        <v>7</v>
      </c>
      <c r="AS146" s="23">
        <f t="shared" si="17"/>
        <v>8</v>
      </c>
      <c r="AT146" s="24">
        <v>46276.666666666664</v>
      </c>
      <c r="AU146" s="16" t="s">
        <v>722</v>
      </c>
      <c r="AV146" s="16">
        <v>291840989</v>
      </c>
      <c r="AW146" s="16">
        <v>738808107</v>
      </c>
      <c r="AX146" s="16" t="s">
        <v>723</v>
      </c>
      <c r="AY146" s="16">
        <v>79</v>
      </c>
      <c r="AZ146" s="16">
        <v>72</v>
      </c>
      <c r="BA146" s="16">
        <v>5</v>
      </c>
      <c r="BB146" s="16">
        <v>3.6</v>
      </c>
      <c r="BC146" s="16">
        <v>22</v>
      </c>
      <c r="BD146" s="16">
        <v>7</v>
      </c>
      <c r="BE146" s="16">
        <v>6</v>
      </c>
      <c r="BF146" s="16" t="s">
        <v>69</v>
      </c>
      <c r="BG146" s="16" t="s">
        <v>724</v>
      </c>
      <c r="BH146" s="16">
        <v>15</v>
      </c>
      <c r="BI146" s="16">
        <v>8</v>
      </c>
      <c r="BJ146" s="16">
        <v>82.4</v>
      </c>
      <c r="BK146" s="16">
        <v>3.6</v>
      </c>
      <c r="BL146" s="16">
        <v>14</v>
      </c>
    </row>
    <row r="147" spans="1:64" x14ac:dyDescent="0.25">
      <c r="A147" s="24">
        <v>46276</v>
      </c>
      <c r="B147" s="16" t="s">
        <v>725</v>
      </c>
      <c r="C147" s="25">
        <v>37750</v>
      </c>
      <c r="F147" s="25">
        <v>19318</v>
      </c>
      <c r="G147" s="25">
        <v>291856505</v>
      </c>
      <c r="H147" s="16" t="s">
        <v>64</v>
      </c>
      <c r="I147" s="16" t="s">
        <v>65</v>
      </c>
      <c r="J147" s="16" t="s">
        <v>66</v>
      </c>
      <c r="K147" s="17">
        <v>65</v>
      </c>
      <c r="L147" t="s">
        <v>340</v>
      </c>
      <c r="M147" t="s">
        <v>726</v>
      </c>
      <c r="N147" t="s">
        <v>69</v>
      </c>
      <c r="O147" s="16" t="s">
        <v>70</v>
      </c>
      <c r="P147" t="s">
        <v>71</v>
      </c>
      <c r="Q147" s="19">
        <v>105</v>
      </c>
      <c r="R147" t="s">
        <v>72</v>
      </c>
      <c r="S147" s="19">
        <v>10.5</v>
      </c>
      <c r="T147" s="19">
        <v>2</v>
      </c>
      <c r="U147" s="19">
        <v>15.92</v>
      </c>
      <c r="V147" s="19">
        <v>96.5</v>
      </c>
      <c r="W147" s="19">
        <v>107</v>
      </c>
      <c r="X147" t="s">
        <v>73</v>
      </c>
      <c r="Y147" s="20">
        <v>0.05</v>
      </c>
      <c r="Z147" s="19">
        <v>5.25</v>
      </c>
      <c r="AA147" s="19">
        <v>101.75</v>
      </c>
      <c r="AB147" s="19">
        <v>5.25</v>
      </c>
      <c r="AC147" t="s">
        <v>73</v>
      </c>
      <c r="AD147" s="19">
        <v>4.45</v>
      </c>
      <c r="AE147" s="19">
        <v>0.8</v>
      </c>
      <c r="AF147" s="19">
        <v>5.25</v>
      </c>
      <c r="AG147" s="19">
        <v>2</v>
      </c>
      <c r="AH147" s="19">
        <v>94.5</v>
      </c>
      <c r="AI147" s="19">
        <v>5.25</v>
      </c>
      <c r="AJ147" t="s">
        <v>73</v>
      </c>
      <c r="AK147" s="19">
        <v>0</v>
      </c>
      <c r="AL147" s="19">
        <v>101.75</v>
      </c>
      <c r="AM147" t="b">
        <f t="shared" si="12"/>
        <v>1</v>
      </c>
      <c r="AN147" s="21">
        <f t="shared" si="13"/>
        <v>0</v>
      </c>
      <c r="AO147" s="19">
        <f t="shared" si="14"/>
        <v>0</v>
      </c>
      <c r="AP147" s="22">
        <v>17</v>
      </c>
      <c r="AQ147" s="18">
        <f t="shared" si="15"/>
        <v>2</v>
      </c>
      <c r="AR147" s="18">
        <f t="shared" si="16"/>
        <v>6.9</v>
      </c>
      <c r="AS147" s="23">
        <f t="shared" si="17"/>
        <v>8.1</v>
      </c>
      <c r="AT147" s="24">
        <v>46276.689583333333</v>
      </c>
      <c r="AU147" s="16" t="s">
        <v>342</v>
      </c>
      <c r="AV147" s="16">
        <v>291856505</v>
      </c>
      <c r="AW147" s="16">
        <v>739560143</v>
      </c>
      <c r="AX147" s="16" t="s">
        <v>727</v>
      </c>
      <c r="AY147" s="16">
        <v>107</v>
      </c>
      <c r="AZ147" s="16">
        <v>105</v>
      </c>
      <c r="BA147" s="16">
        <v>5</v>
      </c>
      <c r="BB147" s="16">
        <v>5.25</v>
      </c>
      <c r="BC147" s="16">
        <v>17</v>
      </c>
      <c r="BD147" s="16">
        <v>6.9</v>
      </c>
      <c r="BE147" s="16">
        <v>1</v>
      </c>
      <c r="BF147" s="16" t="s">
        <v>69</v>
      </c>
      <c r="BG147" s="16" t="s">
        <v>728</v>
      </c>
      <c r="BH147" s="16">
        <v>15</v>
      </c>
      <c r="BI147" s="16">
        <v>8.1</v>
      </c>
      <c r="BJ147" s="16">
        <v>108.65</v>
      </c>
      <c r="BK147" s="16">
        <v>5.25</v>
      </c>
      <c r="BL147" s="16">
        <v>8.9</v>
      </c>
    </row>
    <row r="148" spans="1:64" x14ac:dyDescent="0.25">
      <c r="A148" s="24">
        <v>46276</v>
      </c>
      <c r="B148" s="16" t="s">
        <v>729</v>
      </c>
      <c r="C148" s="25">
        <v>79442</v>
      </c>
      <c r="F148" s="25">
        <v>19319</v>
      </c>
      <c r="G148" s="25">
        <v>291881636</v>
      </c>
      <c r="H148" s="16" t="s">
        <v>64</v>
      </c>
      <c r="I148" s="16" t="s">
        <v>65</v>
      </c>
      <c r="J148" s="16" t="s">
        <v>66</v>
      </c>
      <c r="K148" s="17">
        <v>169</v>
      </c>
      <c r="L148" t="s">
        <v>163</v>
      </c>
      <c r="M148" t="s">
        <v>730</v>
      </c>
      <c r="N148" t="s">
        <v>69</v>
      </c>
      <c r="O148" s="16" t="s">
        <v>70</v>
      </c>
      <c r="P148" t="s">
        <v>71</v>
      </c>
      <c r="Q148" s="19">
        <v>109.6</v>
      </c>
      <c r="R148" t="s">
        <v>72</v>
      </c>
      <c r="S148" s="19">
        <v>10.96</v>
      </c>
      <c r="T148" s="19">
        <v>0</v>
      </c>
      <c r="U148" s="19">
        <v>16.260000000000002</v>
      </c>
      <c r="V148" s="19">
        <v>98.64</v>
      </c>
      <c r="W148" s="19">
        <v>109.6</v>
      </c>
      <c r="X148" t="s">
        <v>73</v>
      </c>
      <c r="Y148" s="20">
        <v>0.05</v>
      </c>
      <c r="Z148" s="19">
        <v>5.48</v>
      </c>
      <c r="AA148" s="19">
        <v>104.12</v>
      </c>
      <c r="AB148" s="19">
        <v>5.48</v>
      </c>
      <c r="AC148" t="s">
        <v>73</v>
      </c>
      <c r="AD148" s="19">
        <v>4.67</v>
      </c>
      <c r="AE148" s="19">
        <v>0.81</v>
      </c>
      <c r="AF148" s="19">
        <v>5.48</v>
      </c>
      <c r="AG148" s="19">
        <v>2</v>
      </c>
      <c r="AH148" s="19">
        <v>96.64</v>
      </c>
      <c r="AI148" s="19">
        <v>5.48</v>
      </c>
      <c r="AJ148" t="s">
        <v>73</v>
      </c>
      <c r="AK148" s="19">
        <v>0</v>
      </c>
      <c r="AL148" s="19">
        <v>104.12</v>
      </c>
      <c r="AM148" t="b">
        <f t="shared" si="12"/>
        <v>1</v>
      </c>
      <c r="AN148" s="21">
        <f t="shared" si="13"/>
        <v>0</v>
      </c>
      <c r="AO148" s="19">
        <f t="shared" si="14"/>
        <v>0</v>
      </c>
      <c r="AP148" s="22">
        <v>15</v>
      </c>
      <c r="AQ148" s="18">
        <f t="shared" si="15"/>
        <v>0</v>
      </c>
      <c r="AR148" s="18">
        <f t="shared" si="16"/>
        <v>7.95</v>
      </c>
      <c r="AS148" s="23">
        <f t="shared" si="17"/>
        <v>7.05</v>
      </c>
      <c r="AT148" s="24">
        <v>46276.731249999997</v>
      </c>
      <c r="AU148" s="16" t="s">
        <v>165</v>
      </c>
      <c r="AV148" s="16">
        <v>291881636</v>
      </c>
      <c r="AW148" s="16">
        <v>739614763</v>
      </c>
      <c r="AX148" s="16" t="s">
        <v>110</v>
      </c>
      <c r="AY148" s="16">
        <v>109.59999847412109</v>
      </c>
      <c r="AZ148" s="16">
        <v>109.6</v>
      </c>
      <c r="BA148" s="16">
        <v>5</v>
      </c>
      <c r="BB148" s="16">
        <v>5.48</v>
      </c>
      <c r="BC148" s="16">
        <v>15</v>
      </c>
      <c r="BD148" s="16">
        <v>7.95</v>
      </c>
      <c r="BE148" s="16">
        <v>0</v>
      </c>
      <c r="BF148" s="16" t="s">
        <v>69</v>
      </c>
      <c r="BG148" s="16" t="s">
        <v>731</v>
      </c>
      <c r="BH148" s="16">
        <v>15</v>
      </c>
      <c r="BI148" s="16">
        <v>7.05</v>
      </c>
      <c r="BJ148" s="16">
        <v>112.06999847412109</v>
      </c>
      <c r="BK148" s="16">
        <v>5.48</v>
      </c>
      <c r="BL148" s="16">
        <v>7.95</v>
      </c>
    </row>
    <row r="149" spans="1:64" x14ac:dyDescent="0.25">
      <c r="A149" s="24">
        <v>46276</v>
      </c>
      <c r="B149" s="16" t="s">
        <v>732</v>
      </c>
      <c r="C149" s="25">
        <v>40173</v>
      </c>
      <c r="F149" s="25">
        <v>19320</v>
      </c>
      <c r="G149" s="25">
        <v>291885470</v>
      </c>
      <c r="H149" s="16" t="s">
        <v>64</v>
      </c>
      <c r="I149" s="16" t="s">
        <v>65</v>
      </c>
      <c r="J149" s="16" t="s">
        <v>66</v>
      </c>
      <c r="K149" s="17">
        <v>13994</v>
      </c>
      <c r="L149" t="s">
        <v>733</v>
      </c>
      <c r="M149" t="s">
        <v>734</v>
      </c>
      <c r="N149" t="s">
        <v>69</v>
      </c>
      <c r="O149" s="16" t="s">
        <v>70</v>
      </c>
      <c r="P149" t="s">
        <v>79</v>
      </c>
      <c r="Q149" s="19">
        <v>75</v>
      </c>
      <c r="R149" t="s">
        <v>72</v>
      </c>
      <c r="S149" s="19">
        <v>7.5</v>
      </c>
      <c r="T149" s="19">
        <v>0</v>
      </c>
      <c r="U149" s="19">
        <v>11.74</v>
      </c>
      <c r="V149" s="19">
        <v>67.5</v>
      </c>
      <c r="W149" s="19">
        <v>75</v>
      </c>
      <c r="X149" t="s">
        <v>73</v>
      </c>
      <c r="Y149" s="20">
        <v>0.05</v>
      </c>
      <c r="Z149" s="19">
        <v>3.75</v>
      </c>
      <c r="AA149" s="19">
        <v>71.25</v>
      </c>
      <c r="AB149" s="19">
        <v>3.75</v>
      </c>
      <c r="AC149" t="s">
        <v>73</v>
      </c>
      <c r="AD149" s="19">
        <v>3.16</v>
      </c>
      <c r="AE149" s="19">
        <v>0.59</v>
      </c>
      <c r="AF149" s="19">
        <v>3.75</v>
      </c>
      <c r="AG149" s="19">
        <v>0</v>
      </c>
      <c r="AH149" s="19">
        <v>67.5</v>
      </c>
      <c r="AI149" s="19">
        <v>3.75</v>
      </c>
      <c r="AJ149" t="s">
        <v>73</v>
      </c>
      <c r="AK149" s="19">
        <v>0</v>
      </c>
      <c r="AL149" s="19">
        <v>71.25</v>
      </c>
      <c r="AM149" t="b">
        <f t="shared" si="12"/>
        <v>1</v>
      </c>
      <c r="AN149" s="21">
        <f t="shared" si="13"/>
        <v>0</v>
      </c>
      <c r="AO149" s="19">
        <f t="shared" si="14"/>
        <v>0</v>
      </c>
      <c r="AP149" s="22">
        <v>15</v>
      </c>
      <c r="AQ149" s="18">
        <f t="shared" si="15"/>
        <v>0</v>
      </c>
      <c r="AR149" s="18">
        <f t="shared" si="16"/>
        <v>5</v>
      </c>
      <c r="AS149" s="23">
        <f t="shared" si="17"/>
        <v>10</v>
      </c>
      <c r="AT149" s="24">
        <v>46276.729166666664</v>
      </c>
      <c r="AU149" s="16" t="s">
        <v>735</v>
      </c>
      <c r="AV149" s="16">
        <v>291885470</v>
      </c>
      <c r="AW149" s="16">
        <v>739626313</v>
      </c>
      <c r="AX149" s="16" t="s">
        <v>736</v>
      </c>
      <c r="AY149" s="16">
        <v>75</v>
      </c>
      <c r="AZ149" s="16">
        <v>75</v>
      </c>
      <c r="BA149" s="16">
        <v>5</v>
      </c>
      <c r="BB149" s="16">
        <v>3.75</v>
      </c>
      <c r="BC149" s="16">
        <v>15</v>
      </c>
      <c r="BD149" s="16">
        <v>5</v>
      </c>
      <c r="BE149" s="16">
        <v>0</v>
      </c>
      <c r="BF149" s="16" t="s">
        <v>69</v>
      </c>
      <c r="BG149" s="16" t="s">
        <v>737</v>
      </c>
      <c r="BH149" s="16">
        <v>15</v>
      </c>
      <c r="BI149" s="16">
        <v>10</v>
      </c>
      <c r="BJ149" s="16">
        <v>76.25</v>
      </c>
      <c r="BK149" s="16">
        <v>3.75</v>
      </c>
      <c r="BL149" s="16">
        <v>5</v>
      </c>
    </row>
    <row r="150" spans="1:64" x14ac:dyDescent="0.25">
      <c r="A150" s="24">
        <v>46276</v>
      </c>
      <c r="B150" s="16" t="s">
        <v>738</v>
      </c>
      <c r="C150" s="25">
        <v>79667</v>
      </c>
      <c r="F150" s="25">
        <v>19321</v>
      </c>
      <c r="G150" s="25">
        <v>291958089</v>
      </c>
      <c r="H150" s="16" t="s">
        <v>64</v>
      </c>
      <c r="I150" s="16" t="s">
        <v>65</v>
      </c>
      <c r="J150" s="16" t="s">
        <v>66</v>
      </c>
      <c r="K150" s="17">
        <v>4804</v>
      </c>
      <c r="L150" t="s">
        <v>739</v>
      </c>
      <c r="M150" t="s">
        <v>740</v>
      </c>
      <c r="N150" t="s">
        <v>69</v>
      </c>
      <c r="O150" s="16" t="s">
        <v>70</v>
      </c>
      <c r="P150" t="s">
        <v>79</v>
      </c>
      <c r="Q150" s="19">
        <v>40</v>
      </c>
      <c r="R150" t="s">
        <v>72</v>
      </c>
      <c r="S150" s="19">
        <v>4</v>
      </c>
      <c r="T150" s="19">
        <v>7</v>
      </c>
      <c r="U150" s="19">
        <v>8.09</v>
      </c>
      <c r="V150" s="19">
        <v>43</v>
      </c>
      <c r="W150" s="19">
        <v>47</v>
      </c>
      <c r="X150" t="s">
        <v>73</v>
      </c>
      <c r="Y150" s="20">
        <v>0.05</v>
      </c>
      <c r="Z150" s="19">
        <v>2</v>
      </c>
      <c r="AA150" s="19">
        <v>45</v>
      </c>
      <c r="AB150" s="19">
        <v>2</v>
      </c>
      <c r="AC150" t="s">
        <v>73</v>
      </c>
      <c r="AD150" s="19">
        <v>1.6</v>
      </c>
      <c r="AE150" s="19">
        <v>0.4</v>
      </c>
      <c r="AF150" s="19">
        <v>2</v>
      </c>
      <c r="AG150" s="19">
        <v>0</v>
      </c>
      <c r="AH150" s="19">
        <v>43</v>
      </c>
      <c r="AI150" s="19">
        <v>2</v>
      </c>
      <c r="AJ150" t="s">
        <v>73</v>
      </c>
      <c r="AK150" s="19">
        <v>0</v>
      </c>
      <c r="AL150" s="19">
        <v>45</v>
      </c>
      <c r="AM150" t="b">
        <f t="shared" si="12"/>
        <v>1</v>
      </c>
      <c r="AN150" s="21">
        <f t="shared" si="13"/>
        <v>0</v>
      </c>
      <c r="AO150" s="19">
        <f t="shared" si="14"/>
        <v>0</v>
      </c>
      <c r="AP150" s="22">
        <v>22</v>
      </c>
      <c r="AQ150" s="18">
        <f t="shared" si="15"/>
        <v>7</v>
      </c>
      <c r="AR150" s="18">
        <f t="shared" si="16"/>
        <v>5</v>
      </c>
      <c r="AS150" s="23">
        <f t="shared" si="17"/>
        <v>10</v>
      </c>
      <c r="AT150" s="24">
        <v>46276.866666666669</v>
      </c>
      <c r="AU150" s="16" t="s">
        <v>741</v>
      </c>
      <c r="AV150" s="16">
        <v>291958089</v>
      </c>
      <c r="AW150" s="16">
        <v>739781900</v>
      </c>
      <c r="AX150" s="16" t="s">
        <v>210</v>
      </c>
      <c r="AY150" s="16">
        <v>47</v>
      </c>
      <c r="AZ150" s="16">
        <v>40</v>
      </c>
      <c r="BA150" s="16">
        <v>5</v>
      </c>
      <c r="BB150" s="16">
        <v>2</v>
      </c>
      <c r="BC150" s="16">
        <v>22</v>
      </c>
      <c r="BD150" s="16">
        <v>5</v>
      </c>
      <c r="BE150" s="16">
        <v>6</v>
      </c>
      <c r="BF150" s="16" t="s">
        <v>69</v>
      </c>
      <c r="BG150" s="16" t="s">
        <v>742</v>
      </c>
      <c r="BH150" s="16">
        <v>15</v>
      </c>
      <c r="BI150" s="16">
        <v>10</v>
      </c>
      <c r="BJ150" s="16">
        <v>50</v>
      </c>
      <c r="BK150" s="16">
        <v>2</v>
      </c>
      <c r="BL150" s="16">
        <v>12</v>
      </c>
    </row>
    <row r="151" spans="1:64" x14ac:dyDescent="0.25">
      <c r="A151" s="24">
        <v>46276</v>
      </c>
      <c r="B151" s="16" t="s">
        <v>576</v>
      </c>
      <c r="C151" s="25">
        <v>10236</v>
      </c>
      <c r="D151" s="17" t="s">
        <v>604</v>
      </c>
      <c r="F151" s="25">
        <v>19322</v>
      </c>
      <c r="G151" s="25">
        <v>291959031</v>
      </c>
      <c r="H151" s="16" t="s">
        <v>64</v>
      </c>
      <c r="I151" s="16" t="s">
        <v>65</v>
      </c>
      <c r="J151" s="16" t="s">
        <v>66</v>
      </c>
      <c r="K151" s="17">
        <v>108</v>
      </c>
      <c r="L151" t="s">
        <v>436</v>
      </c>
      <c r="M151" t="s">
        <v>743</v>
      </c>
      <c r="N151" t="s">
        <v>69</v>
      </c>
      <c r="O151" s="16" t="s">
        <v>70</v>
      </c>
      <c r="P151" t="s">
        <v>175</v>
      </c>
      <c r="Q151" s="19">
        <v>62</v>
      </c>
      <c r="R151" t="s">
        <v>73</v>
      </c>
      <c r="S151" s="19">
        <v>0</v>
      </c>
      <c r="T151" s="19">
        <v>0</v>
      </c>
      <c r="U151" s="19">
        <v>10.050000000000001</v>
      </c>
      <c r="V151" s="19">
        <v>62</v>
      </c>
      <c r="W151" s="19">
        <v>62</v>
      </c>
      <c r="X151" t="s">
        <v>73</v>
      </c>
      <c r="Y151" s="20">
        <v>0.05</v>
      </c>
      <c r="Z151" s="19">
        <v>3.1</v>
      </c>
      <c r="AA151" s="19">
        <v>58.9</v>
      </c>
      <c r="AB151" s="19">
        <v>3.1</v>
      </c>
      <c r="AC151" t="s">
        <v>73</v>
      </c>
      <c r="AD151" s="19">
        <v>2.6</v>
      </c>
      <c r="AE151" s="19">
        <v>0.5</v>
      </c>
      <c r="AF151" s="19">
        <v>3.1</v>
      </c>
      <c r="AG151" s="19">
        <v>57.03</v>
      </c>
      <c r="AH151" s="19">
        <v>4.97</v>
      </c>
      <c r="AI151" s="19">
        <v>3.1</v>
      </c>
      <c r="AJ151" t="s">
        <v>73</v>
      </c>
      <c r="AK151" s="19">
        <v>0</v>
      </c>
      <c r="AL151" s="19">
        <v>58.9</v>
      </c>
      <c r="AM151" t="b">
        <f t="shared" si="12"/>
        <v>1</v>
      </c>
      <c r="AN151" s="21">
        <f t="shared" si="13"/>
        <v>0</v>
      </c>
      <c r="AO151" s="19">
        <f t="shared" si="14"/>
        <v>0</v>
      </c>
      <c r="AP151" s="22">
        <v>15</v>
      </c>
      <c r="AQ151" s="18">
        <f t="shared" si="15"/>
        <v>0</v>
      </c>
      <c r="AR151" s="18">
        <f t="shared" si="16"/>
        <v>9.9</v>
      </c>
      <c r="AS151" s="23">
        <f t="shared" si="17"/>
        <v>5.0999999999999996</v>
      </c>
      <c r="AT151" s="24">
        <v>46276.861111111109</v>
      </c>
      <c r="AU151" s="16" t="s">
        <v>438</v>
      </c>
      <c r="AV151" s="16">
        <v>291959031</v>
      </c>
      <c r="AW151" s="16">
        <v>739784937</v>
      </c>
      <c r="AX151" s="16" t="s">
        <v>110</v>
      </c>
      <c r="AY151" s="16">
        <v>62</v>
      </c>
      <c r="AZ151" s="16">
        <v>62</v>
      </c>
      <c r="BA151" s="16">
        <v>5</v>
      </c>
      <c r="BB151" s="16">
        <v>3.1</v>
      </c>
      <c r="BC151" s="16">
        <v>15</v>
      </c>
      <c r="BD151" s="16">
        <v>9.9</v>
      </c>
      <c r="BE151" s="16">
        <v>0</v>
      </c>
      <c r="BF151" s="16" t="s">
        <v>69</v>
      </c>
      <c r="BG151" s="16" t="s">
        <v>744</v>
      </c>
      <c r="BH151" s="16">
        <v>15</v>
      </c>
      <c r="BI151" s="16">
        <v>5.0999999999999996</v>
      </c>
      <c r="BJ151" s="16">
        <v>68.800000000000011</v>
      </c>
      <c r="BK151" s="16">
        <v>3.1</v>
      </c>
      <c r="BL151" s="16">
        <v>9.9</v>
      </c>
    </row>
    <row r="152" spans="1:64" x14ac:dyDescent="0.25">
      <c r="A152" s="24">
        <v>46276</v>
      </c>
      <c r="B152" s="16" t="s">
        <v>745</v>
      </c>
      <c r="C152" s="25">
        <v>5</v>
      </c>
      <c r="D152" s="17" t="s">
        <v>229</v>
      </c>
      <c r="F152" s="25">
        <v>19323</v>
      </c>
      <c r="G152" s="25">
        <v>291966199</v>
      </c>
      <c r="H152" s="16" t="s">
        <v>64</v>
      </c>
      <c r="I152" s="16" t="s">
        <v>65</v>
      </c>
      <c r="J152" s="16" t="s">
        <v>66</v>
      </c>
      <c r="K152" s="17">
        <v>20</v>
      </c>
      <c r="L152" t="s">
        <v>118</v>
      </c>
      <c r="M152" t="s">
        <v>746</v>
      </c>
      <c r="N152" t="s">
        <v>69</v>
      </c>
      <c r="O152" s="16" t="s">
        <v>70</v>
      </c>
      <c r="P152" t="s">
        <v>246</v>
      </c>
      <c r="Q152" s="19">
        <v>56</v>
      </c>
      <c r="R152" t="s">
        <v>73</v>
      </c>
      <c r="S152" s="19">
        <v>0</v>
      </c>
      <c r="T152" s="19">
        <v>9</v>
      </c>
      <c r="U152" s="19">
        <v>9.26</v>
      </c>
      <c r="V152" s="19">
        <v>65</v>
      </c>
      <c r="W152" s="19">
        <v>65</v>
      </c>
      <c r="X152" t="s">
        <v>73</v>
      </c>
      <c r="Y152" s="20">
        <v>0.04</v>
      </c>
      <c r="Z152" s="19">
        <v>2.2400000000000002</v>
      </c>
      <c r="AA152" s="19">
        <v>62.76</v>
      </c>
      <c r="AB152" s="19">
        <v>2.2400000000000002</v>
      </c>
      <c r="AC152" t="s">
        <v>73</v>
      </c>
      <c r="AD152" s="19">
        <v>1.87</v>
      </c>
      <c r="AE152" s="19">
        <v>0.37</v>
      </c>
      <c r="AF152" s="19">
        <v>2.2400000000000002</v>
      </c>
      <c r="AG152" s="19">
        <v>0</v>
      </c>
      <c r="AH152" s="19">
        <v>65</v>
      </c>
      <c r="AI152" s="19">
        <v>2.2400000000000002</v>
      </c>
      <c r="AJ152" t="s">
        <v>73</v>
      </c>
      <c r="AK152" s="19">
        <v>0</v>
      </c>
      <c r="AL152" s="19">
        <v>62.76</v>
      </c>
      <c r="AM152" t="b">
        <f t="shared" si="12"/>
        <v>1</v>
      </c>
      <c r="AN152" s="21">
        <f t="shared" si="13"/>
        <v>0</v>
      </c>
      <c r="AO152" s="19">
        <f t="shared" si="14"/>
        <v>0</v>
      </c>
      <c r="AP152" s="22">
        <v>15</v>
      </c>
      <c r="AQ152" s="18">
        <f t="shared" si="15"/>
        <v>9</v>
      </c>
      <c r="AR152" s="18">
        <f t="shared" si="16"/>
        <v>6</v>
      </c>
      <c r="AS152" s="23">
        <f t="shared" si="17"/>
        <v>0</v>
      </c>
      <c r="AT152" s="24">
        <v>46276.883333333331</v>
      </c>
      <c r="AU152" s="16" t="s">
        <v>120</v>
      </c>
      <c r="AV152" s="16">
        <v>291966199</v>
      </c>
      <c r="AW152" s="16">
        <v>739801608</v>
      </c>
      <c r="AX152" s="16" t="s">
        <v>233</v>
      </c>
      <c r="AY152" s="16">
        <v>65</v>
      </c>
      <c r="AZ152" s="16">
        <v>56</v>
      </c>
      <c r="BA152" s="16">
        <v>4</v>
      </c>
      <c r="BB152" s="16">
        <v>2.2400000000000002</v>
      </c>
      <c r="BC152" s="16">
        <v>15</v>
      </c>
      <c r="BD152" s="16">
        <v>6</v>
      </c>
      <c r="BE152" s="16">
        <v>8</v>
      </c>
      <c r="BF152" s="16" t="s">
        <v>69</v>
      </c>
      <c r="BG152" s="16" t="s">
        <v>747</v>
      </c>
      <c r="BH152" s="16">
        <v>6</v>
      </c>
      <c r="BI152" s="16">
        <v>0</v>
      </c>
      <c r="BJ152" s="16">
        <v>68.760000000000005</v>
      </c>
      <c r="BK152" s="16">
        <v>2.2400000000000002</v>
      </c>
      <c r="BL152" s="16">
        <v>15</v>
      </c>
    </row>
    <row r="153" spans="1:64" x14ac:dyDescent="0.25">
      <c r="A153" s="24">
        <v>46276</v>
      </c>
      <c r="B153" s="16" t="s">
        <v>748</v>
      </c>
      <c r="C153" s="25">
        <v>51</v>
      </c>
      <c r="F153" s="25">
        <v>19324</v>
      </c>
      <c r="G153" s="25">
        <v>291992537</v>
      </c>
      <c r="H153" s="16" t="s">
        <v>64</v>
      </c>
      <c r="I153" s="16" t="s">
        <v>65</v>
      </c>
      <c r="J153" s="16" t="s">
        <v>66</v>
      </c>
      <c r="K153" s="17">
        <v>16238</v>
      </c>
      <c r="L153" t="s">
        <v>749</v>
      </c>
      <c r="M153" t="s">
        <v>750</v>
      </c>
      <c r="N153" t="s">
        <v>69</v>
      </c>
      <c r="O153" s="16" t="s">
        <v>70</v>
      </c>
      <c r="P153" t="s">
        <v>79</v>
      </c>
      <c r="Q153" s="19">
        <v>42.27</v>
      </c>
      <c r="R153" t="s">
        <v>73</v>
      </c>
      <c r="S153" s="19">
        <v>0</v>
      </c>
      <c r="T153" s="19">
        <v>15</v>
      </c>
      <c r="U153" s="19">
        <v>7.47</v>
      </c>
      <c r="V153" s="19">
        <v>57.27</v>
      </c>
      <c r="W153" s="19">
        <v>57.27</v>
      </c>
      <c r="X153" t="s">
        <v>73</v>
      </c>
      <c r="Y153" s="20">
        <v>4.99E-2</v>
      </c>
      <c r="Z153" s="19">
        <v>2.11</v>
      </c>
      <c r="AA153" s="19">
        <v>55.16</v>
      </c>
      <c r="AB153" s="19">
        <v>2.11</v>
      </c>
      <c r="AC153" t="s">
        <v>73</v>
      </c>
      <c r="AD153" s="19">
        <v>1.74</v>
      </c>
      <c r="AE153" s="19">
        <v>0.37</v>
      </c>
      <c r="AF153" s="19">
        <v>2.11</v>
      </c>
      <c r="AG153" s="19">
        <v>0</v>
      </c>
      <c r="AH153" s="19">
        <v>57.27</v>
      </c>
      <c r="AI153" s="19">
        <v>2.11</v>
      </c>
      <c r="AJ153" t="s">
        <v>73</v>
      </c>
      <c r="AK153" s="19">
        <v>0</v>
      </c>
      <c r="AL153" s="19">
        <v>55.16</v>
      </c>
      <c r="AM153" t="b">
        <f t="shared" si="12"/>
        <v>1</v>
      </c>
      <c r="AN153" s="21">
        <f t="shared" si="13"/>
        <v>1.0000000000000286E-4</v>
      </c>
      <c r="AO153" s="19">
        <f t="shared" si="14"/>
        <v>-3.5000000000002807E-3</v>
      </c>
      <c r="AP153" s="22">
        <v>15</v>
      </c>
      <c r="AQ153" s="18">
        <f t="shared" si="15"/>
        <v>15</v>
      </c>
      <c r="AR153" s="18">
        <f t="shared" si="16"/>
        <v>0</v>
      </c>
      <c r="AS153" s="23">
        <f t="shared" si="17"/>
        <v>0</v>
      </c>
      <c r="AT153" s="24">
        <v>46276.951388888891</v>
      </c>
      <c r="AU153" s="16" t="s">
        <v>749</v>
      </c>
      <c r="AV153" s="16">
        <v>291992537</v>
      </c>
      <c r="AW153" s="16">
        <v>739863015</v>
      </c>
      <c r="AX153" s="16" t="s">
        <v>110</v>
      </c>
      <c r="AY153" s="16">
        <v>57.270000457763672</v>
      </c>
      <c r="AZ153" s="16">
        <v>42.27</v>
      </c>
      <c r="BA153" s="16">
        <v>5</v>
      </c>
      <c r="BB153" s="16">
        <v>2.1135000000000002</v>
      </c>
      <c r="BC153" s="16">
        <v>15</v>
      </c>
      <c r="BD153" s="16">
        <v>0</v>
      </c>
      <c r="BE153" s="16">
        <v>14</v>
      </c>
      <c r="BF153" s="16" t="s">
        <v>69</v>
      </c>
      <c r="BG153" s="16" t="s">
        <v>751</v>
      </c>
      <c r="BH153" s="16">
        <v>0</v>
      </c>
      <c r="BI153" s="16">
        <v>0</v>
      </c>
      <c r="BJ153" s="16">
        <v>55.15650045776367</v>
      </c>
      <c r="BK153" s="16">
        <v>2.1135000000000002</v>
      </c>
      <c r="BL153" s="16">
        <v>15</v>
      </c>
    </row>
    <row r="154" spans="1:64" x14ac:dyDescent="0.25">
      <c r="A154" s="24">
        <v>46276</v>
      </c>
      <c r="B154" s="16" t="s">
        <v>752</v>
      </c>
      <c r="C154" s="25">
        <v>9</v>
      </c>
      <c r="D154" s="17" t="s">
        <v>707</v>
      </c>
      <c r="F154" s="25">
        <v>19325</v>
      </c>
      <c r="G154" s="25">
        <v>291996539</v>
      </c>
      <c r="H154" s="16" t="s">
        <v>64</v>
      </c>
      <c r="I154" s="16" t="s">
        <v>65</v>
      </c>
      <c r="J154" s="16" t="s">
        <v>66</v>
      </c>
      <c r="K154" s="17">
        <v>3</v>
      </c>
      <c r="L154" t="s">
        <v>207</v>
      </c>
      <c r="M154" t="s">
        <v>73</v>
      </c>
      <c r="N154" t="s">
        <v>69</v>
      </c>
      <c r="O154" s="16" t="s">
        <v>70</v>
      </c>
      <c r="P154" t="s">
        <v>92</v>
      </c>
      <c r="Q154" s="19">
        <v>138</v>
      </c>
      <c r="R154" t="s">
        <v>73</v>
      </c>
      <c r="S154" s="19">
        <v>0</v>
      </c>
      <c r="T154" s="19">
        <v>0</v>
      </c>
      <c r="U154" s="19">
        <v>19.96</v>
      </c>
      <c r="V154" s="19">
        <v>138</v>
      </c>
      <c r="W154" s="19">
        <v>138</v>
      </c>
      <c r="X154" t="s">
        <v>73</v>
      </c>
      <c r="Y154" s="20">
        <v>4.4999999999999998E-2</v>
      </c>
      <c r="Z154" s="19">
        <v>6.21</v>
      </c>
      <c r="AA154" s="19">
        <v>131.79</v>
      </c>
      <c r="AB154" s="19">
        <v>6.21</v>
      </c>
      <c r="AC154" t="s">
        <v>73</v>
      </c>
      <c r="AD154" s="19">
        <v>5.31</v>
      </c>
      <c r="AE154" s="19">
        <v>0.9</v>
      </c>
      <c r="AF154" s="19">
        <v>6.21</v>
      </c>
      <c r="AG154" s="19">
        <v>138</v>
      </c>
      <c r="AH154" s="19">
        <v>0</v>
      </c>
      <c r="AI154" s="19">
        <v>6.21</v>
      </c>
      <c r="AJ154" t="s">
        <v>73</v>
      </c>
      <c r="AK154" s="19">
        <v>0</v>
      </c>
      <c r="AL154" s="19">
        <v>131.79</v>
      </c>
      <c r="AM154" t="b">
        <f t="shared" si="12"/>
        <v>1</v>
      </c>
      <c r="AN154" s="21">
        <f t="shared" si="13"/>
        <v>0</v>
      </c>
      <c r="AO154" s="19">
        <f t="shared" si="14"/>
        <v>0</v>
      </c>
      <c r="AP154" s="22">
        <v>15</v>
      </c>
      <c r="AQ154" s="18">
        <f t="shared" si="15"/>
        <v>0</v>
      </c>
      <c r="AR154" s="18">
        <f t="shared" si="16"/>
        <v>6.9</v>
      </c>
      <c r="AS154" s="23">
        <f t="shared" si="17"/>
        <v>8.1</v>
      </c>
      <c r="AT154" s="24">
        <v>46276.977777777778</v>
      </c>
      <c r="AU154" s="16" t="s">
        <v>209</v>
      </c>
      <c r="AV154" s="16">
        <v>291996539</v>
      </c>
      <c r="AW154" s="16">
        <v>739843577</v>
      </c>
      <c r="AX154" s="16" t="s">
        <v>708</v>
      </c>
      <c r="AY154" s="16">
        <v>138</v>
      </c>
      <c r="AZ154" s="16">
        <v>138</v>
      </c>
      <c r="BA154" s="16">
        <v>4.5</v>
      </c>
      <c r="BB154" s="16">
        <v>6.21</v>
      </c>
      <c r="BC154" s="16">
        <v>15</v>
      </c>
      <c r="BD154" s="16">
        <v>6.9</v>
      </c>
      <c r="BE154" s="16">
        <v>0</v>
      </c>
      <c r="BF154" s="16" t="s">
        <v>69</v>
      </c>
      <c r="BG154" s="16" t="s">
        <v>753</v>
      </c>
      <c r="BH154" s="16">
        <v>15</v>
      </c>
      <c r="BI154" s="16">
        <v>8.1</v>
      </c>
      <c r="BJ154" s="16">
        <v>138.69</v>
      </c>
      <c r="BK154" s="16">
        <v>6.21</v>
      </c>
      <c r="BL154" s="16">
        <v>6.9</v>
      </c>
    </row>
    <row r="155" spans="1:64" x14ac:dyDescent="0.25">
      <c r="A155" s="24">
        <v>46276</v>
      </c>
      <c r="B155" s="16" t="s">
        <v>754</v>
      </c>
      <c r="C155" s="25">
        <v>79687</v>
      </c>
      <c r="F155" s="25">
        <v>19326</v>
      </c>
      <c r="G155" s="25">
        <v>291996672</v>
      </c>
      <c r="H155" s="16" t="s">
        <v>64</v>
      </c>
      <c r="I155" s="16" t="s">
        <v>65</v>
      </c>
      <c r="J155" s="16" t="s">
        <v>66</v>
      </c>
      <c r="K155" s="17">
        <v>201</v>
      </c>
      <c r="L155" t="s">
        <v>755</v>
      </c>
      <c r="M155" t="s">
        <v>756</v>
      </c>
      <c r="N155" t="s">
        <v>69</v>
      </c>
      <c r="O155" s="16" t="s">
        <v>70</v>
      </c>
      <c r="P155" t="s">
        <v>71</v>
      </c>
      <c r="Q155" s="19">
        <v>91</v>
      </c>
      <c r="R155" t="s">
        <v>72</v>
      </c>
      <c r="S155" s="19">
        <v>9.1</v>
      </c>
      <c r="T155" s="19">
        <v>28</v>
      </c>
      <c r="U155" s="19">
        <v>15.52</v>
      </c>
      <c r="V155" s="19">
        <v>109.9</v>
      </c>
      <c r="W155" s="19">
        <v>119</v>
      </c>
      <c r="X155" t="s">
        <v>73</v>
      </c>
      <c r="Y155" s="20">
        <v>0.05</v>
      </c>
      <c r="Z155" s="19">
        <v>4.55</v>
      </c>
      <c r="AA155" s="19">
        <v>114.45</v>
      </c>
      <c r="AB155" s="19">
        <v>4.55</v>
      </c>
      <c r="AC155" t="s">
        <v>73</v>
      </c>
      <c r="AD155" s="19">
        <v>3.77</v>
      </c>
      <c r="AE155" s="19">
        <v>0.78</v>
      </c>
      <c r="AF155" s="19">
        <v>4.55</v>
      </c>
      <c r="AG155" s="19">
        <v>2</v>
      </c>
      <c r="AH155" s="19">
        <v>107.9</v>
      </c>
      <c r="AI155" s="19">
        <v>4.55</v>
      </c>
      <c r="AJ155" t="s">
        <v>73</v>
      </c>
      <c r="AK155" s="19">
        <v>0</v>
      </c>
      <c r="AL155" s="19">
        <v>114.45</v>
      </c>
      <c r="AM155" t="b">
        <f t="shared" si="12"/>
        <v>1</v>
      </c>
      <c r="AN155" s="21">
        <f t="shared" si="13"/>
        <v>0</v>
      </c>
      <c r="AO155" s="19">
        <f t="shared" si="14"/>
        <v>0</v>
      </c>
      <c r="AP155" s="22">
        <v>28</v>
      </c>
      <c r="AQ155" s="18">
        <f t="shared" si="15"/>
        <v>28</v>
      </c>
      <c r="AR155" s="18">
        <f t="shared" si="16"/>
        <v>0</v>
      </c>
      <c r="AS155" s="23">
        <f t="shared" si="17"/>
        <v>0</v>
      </c>
      <c r="AT155" s="24">
        <v>46276.988194444442</v>
      </c>
      <c r="AU155" s="16" t="s">
        <v>757</v>
      </c>
      <c r="AV155" s="16">
        <v>291996672</v>
      </c>
      <c r="AW155" s="16">
        <v>739872825</v>
      </c>
      <c r="AX155" s="16" t="s">
        <v>361</v>
      </c>
      <c r="AY155" s="16">
        <v>119</v>
      </c>
      <c r="AZ155" s="16">
        <v>91</v>
      </c>
      <c r="BA155" s="16">
        <v>5</v>
      </c>
      <c r="BB155" s="16">
        <v>4.55</v>
      </c>
      <c r="BC155" s="16">
        <v>28</v>
      </c>
      <c r="BD155" s="16">
        <v>0</v>
      </c>
      <c r="BE155" s="16">
        <v>27</v>
      </c>
      <c r="BF155" s="16" t="s">
        <v>69</v>
      </c>
      <c r="BG155" s="16" t="s">
        <v>758</v>
      </c>
      <c r="BH155" s="16">
        <v>0</v>
      </c>
      <c r="BI155" s="16">
        <v>0</v>
      </c>
      <c r="BJ155" s="16">
        <v>114.45</v>
      </c>
      <c r="BK155" s="16">
        <v>4.55</v>
      </c>
      <c r="BL155" s="16">
        <v>28</v>
      </c>
    </row>
    <row r="156" spans="1:64" x14ac:dyDescent="0.25">
      <c r="A156" s="24">
        <v>46276</v>
      </c>
      <c r="B156" s="16" t="s">
        <v>759</v>
      </c>
      <c r="C156" s="25">
        <v>70924</v>
      </c>
      <c r="F156" s="25">
        <v>19328</v>
      </c>
      <c r="G156" s="25">
        <v>291997598</v>
      </c>
      <c r="H156" s="16" t="s">
        <v>64</v>
      </c>
      <c r="I156" s="16" t="s">
        <v>65</v>
      </c>
      <c r="J156" s="16" t="s">
        <v>66</v>
      </c>
      <c r="K156" s="17">
        <v>16239</v>
      </c>
      <c r="L156" t="s">
        <v>760</v>
      </c>
      <c r="M156" t="s">
        <v>761</v>
      </c>
      <c r="N156" t="s">
        <v>69</v>
      </c>
      <c r="O156" s="16" t="s">
        <v>70</v>
      </c>
      <c r="P156" t="s">
        <v>86</v>
      </c>
      <c r="Q156" s="19">
        <v>53</v>
      </c>
      <c r="R156" t="s">
        <v>73</v>
      </c>
      <c r="S156" s="19">
        <v>0</v>
      </c>
      <c r="T156" s="19">
        <v>15</v>
      </c>
      <c r="U156" s="19">
        <v>8.8699999999999992</v>
      </c>
      <c r="V156" s="19">
        <v>68</v>
      </c>
      <c r="W156" s="19">
        <v>68</v>
      </c>
      <c r="X156" t="s">
        <v>73</v>
      </c>
      <c r="Y156" s="20">
        <v>0.05</v>
      </c>
      <c r="Z156" s="19">
        <v>2.65</v>
      </c>
      <c r="AA156" s="19">
        <v>65.349999999999994</v>
      </c>
      <c r="AB156" s="19">
        <v>2.65</v>
      </c>
      <c r="AC156" t="s">
        <v>73</v>
      </c>
      <c r="AD156" s="19">
        <v>2.21</v>
      </c>
      <c r="AE156" s="19">
        <v>0.44</v>
      </c>
      <c r="AF156" s="19">
        <v>2.65</v>
      </c>
      <c r="AG156" s="19">
        <v>0</v>
      </c>
      <c r="AH156" s="19">
        <v>68</v>
      </c>
      <c r="AI156" s="19">
        <v>2.65</v>
      </c>
      <c r="AJ156" t="s">
        <v>73</v>
      </c>
      <c r="AK156" s="19">
        <v>0</v>
      </c>
      <c r="AL156" s="19">
        <v>65.349999999999994</v>
      </c>
      <c r="AM156" t="b">
        <f t="shared" si="12"/>
        <v>1</v>
      </c>
      <c r="AN156" s="21">
        <f t="shared" si="13"/>
        <v>0</v>
      </c>
      <c r="AO156" s="19">
        <f t="shared" si="14"/>
        <v>0</v>
      </c>
      <c r="AP156" s="22">
        <v>15</v>
      </c>
      <c r="AQ156" s="18">
        <f t="shared" si="15"/>
        <v>15</v>
      </c>
      <c r="AR156" s="18">
        <f t="shared" si="16"/>
        <v>0</v>
      </c>
      <c r="AS156" s="23">
        <f t="shared" si="17"/>
        <v>0</v>
      </c>
      <c r="AT156" s="24">
        <v>46276.979166666664</v>
      </c>
      <c r="AU156" s="16" t="s">
        <v>760</v>
      </c>
      <c r="AV156" s="16">
        <v>291997598</v>
      </c>
      <c r="AW156" s="16">
        <v>739875997</v>
      </c>
      <c r="AX156" s="16" t="s">
        <v>378</v>
      </c>
      <c r="AY156" s="16">
        <v>68</v>
      </c>
      <c r="AZ156" s="16">
        <v>53</v>
      </c>
      <c r="BA156" s="16">
        <v>5</v>
      </c>
      <c r="BB156" s="16">
        <v>2.65</v>
      </c>
      <c r="BC156" s="16">
        <v>15</v>
      </c>
      <c r="BD156" s="16">
        <v>0</v>
      </c>
      <c r="BE156" s="16">
        <v>14</v>
      </c>
      <c r="BF156" s="16" t="s">
        <v>69</v>
      </c>
      <c r="BG156" s="16" t="s">
        <v>762</v>
      </c>
      <c r="BH156" s="16">
        <v>0</v>
      </c>
      <c r="BI156" s="16">
        <v>0</v>
      </c>
      <c r="BJ156" s="16">
        <v>65.349999999999994</v>
      </c>
      <c r="BK156" s="16">
        <v>2.65</v>
      </c>
      <c r="BL156" s="16">
        <v>15</v>
      </c>
    </row>
    <row r="157" spans="1:64" x14ac:dyDescent="0.25">
      <c r="A157" s="24">
        <v>46276</v>
      </c>
      <c r="B157" s="16" t="s">
        <v>763</v>
      </c>
      <c r="C157" s="25">
        <v>67468</v>
      </c>
      <c r="F157" s="25">
        <v>19329</v>
      </c>
      <c r="G157" s="25">
        <v>292003100</v>
      </c>
      <c r="H157" s="16" t="s">
        <v>64</v>
      </c>
      <c r="I157" s="16" t="s">
        <v>65</v>
      </c>
      <c r="J157" s="16" t="s">
        <v>66</v>
      </c>
      <c r="K157" s="17">
        <v>16240</v>
      </c>
      <c r="L157" t="s">
        <v>764</v>
      </c>
      <c r="M157" t="s">
        <v>765</v>
      </c>
      <c r="N157" t="s">
        <v>69</v>
      </c>
      <c r="O157" s="16" t="s">
        <v>70</v>
      </c>
      <c r="P157" t="s">
        <v>79</v>
      </c>
      <c r="Q157" s="19">
        <v>376</v>
      </c>
      <c r="R157" t="s">
        <v>73</v>
      </c>
      <c r="S157" s="19">
        <v>0</v>
      </c>
      <c r="T157" s="19">
        <v>22</v>
      </c>
      <c r="U157" s="19">
        <v>51.91</v>
      </c>
      <c r="V157" s="19">
        <v>398</v>
      </c>
      <c r="W157" s="19">
        <v>398</v>
      </c>
      <c r="X157" t="s">
        <v>73</v>
      </c>
      <c r="Y157" s="20">
        <v>0.05</v>
      </c>
      <c r="Z157" s="19">
        <v>18.8</v>
      </c>
      <c r="AA157" s="19">
        <v>379.2</v>
      </c>
      <c r="AB157" s="19">
        <v>18.8</v>
      </c>
      <c r="AC157" t="s">
        <v>73</v>
      </c>
      <c r="AD157" s="19">
        <v>16.2</v>
      </c>
      <c r="AE157" s="19">
        <v>2.6</v>
      </c>
      <c r="AF157" s="19">
        <v>18.8</v>
      </c>
      <c r="AG157" s="19">
        <v>0</v>
      </c>
      <c r="AH157" s="19">
        <v>398</v>
      </c>
      <c r="AI157" s="19">
        <v>18.8</v>
      </c>
      <c r="AJ157" t="s">
        <v>73</v>
      </c>
      <c r="AK157" s="19">
        <v>0</v>
      </c>
      <c r="AL157" s="19">
        <v>379.2</v>
      </c>
      <c r="AM157" t="b">
        <f t="shared" si="12"/>
        <v>1</v>
      </c>
      <c r="AN157" s="21">
        <f t="shared" si="13"/>
        <v>0</v>
      </c>
      <c r="AO157" s="19">
        <f t="shared" si="14"/>
        <v>0</v>
      </c>
      <c r="AP157" s="22">
        <v>22</v>
      </c>
      <c r="AQ157" s="18">
        <f t="shared" si="15"/>
        <v>22</v>
      </c>
      <c r="AR157" s="18">
        <f t="shared" si="16"/>
        <v>0</v>
      </c>
      <c r="AS157" s="23">
        <f t="shared" si="17"/>
        <v>0</v>
      </c>
      <c r="AT157" s="24">
        <v>46277.020138888889</v>
      </c>
      <c r="AU157" s="16" t="s">
        <v>766</v>
      </c>
      <c r="AV157" s="16">
        <v>292003100</v>
      </c>
      <c r="AW157" s="16">
        <v>739893401</v>
      </c>
      <c r="AX157" s="16" t="s">
        <v>110</v>
      </c>
      <c r="AY157" s="16">
        <v>398</v>
      </c>
      <c r="AZ157" s="16">
        <v>376</v>
      </c>
      <c r="BA157" s="16">
        <v>5</v>
      </c>
      <c r="BB157" s="16">
        <v>18.8</v>
      </c>
      <c r="BC157" s="16">
        <v>22</v>
      </c>
      <c r="BD157" s="16">
        <v>0</v>
      </c>
      <c r="BE157" s="16">
        <v>21</v>
      </c>
      <c r="BF157" s="16" t="s">
        <v>69</v>
      </c>
      <c r="BG157" s="16" t="s">
        <v>767</v>
      </c>
      <c r="BH157" s="16">
        <v>0</v>
      </c>
      <c r="BI157" s="16">
        <v>0</v>
      </c>
      <c r="BJ157" s="16">
        <v>379.2</v>
      </c>
      <c r="BK157" s="16">
        <v>18.8</v>
      </c>
      <c r="BL157" s="16">
        <v>22</v>
      </c>
    </row>
    <row r="158" spans="1:64" x14ac:dyDescent="0.25">
      <c r="A158" s="24">
        <v>46277</v>
      </c>
      <c r="B158" s="16" t="s">
        <v>768</v>
      </c>
      <c r="C158" s="25">
        <v>73834</v>
      </c>
      <c r="F158" s="25">
        <v>19330</v>
      </c>
      <c r="G158" s="25">
        <v>292006592</v>
      </c>
      <c r="H158" s="16" t="s">
        <v>64</v>
      </c>
      <c r="I158" s="16" t="s">
        <v>65</v>
      </c>
      <c r="J158" s="16" t="s">
        <v>66</v>
      </c>
      <c r="K158" s="17">
        <v>273</v>
      </c>
      <c r="L158" t="s">
        <v>595</v>
      </c>
      <c r="M158" t="s">
        <v>769</v>
      </c>
      <c r="N158" t="s">
        <v>69</v>
      </c>
      <c r="O158" s="16" t="s">
        <v>70</v>
      </c>
      <c r="P158" t="s">
        <v>71</v>
      </c>
      <c r="Q158" s="19">
        <v>38</v>
      </c>
      <c r="R158" t="s">
        <v>73</v>
      </c>
      <c r="S158" s="19">
        <v>0</v>
      </c>
      <c r="T158" s="19">
        <v>0</v>
      </c>
      <c r="U158" s="19">
        <v>6.92</v>
      </c>
      <c r="V158" s="19">
        <v>38</v>
      </c>
      <c r="W158" s="19">
        <v>38</v>
      </c>
      <c r="X158" t="s">
        <v>73</v>
      </c>
      <c r="Y158" s="20">
        <v>0.05</v>
      </c>
      <c r="Z158" s="19">
        <v>1.9</v>
      </c>
      <c r="AA158" s="19">
        <v>36.1</v>
      </c>
      <c r="AB158" s="19">
        <v>1.9</v>
      </c>
      <c r="AC158" t="s">
        <v>73</v>
      </c>
      <c r="AD158" s="19">
        <v>1.55</v>
      </c>
      <c r="AE158" s="19">
        <v>0.35</v>
      </c>
      <c r="AF158" s="19">
        <v>1.9</v>
      </c>
      <c r="AG158" s="19">
        <v>2.52</v>
      </c>
      <c r="AH158" s="19">
        <v>35.479999999999997</v>
      </c>
      <c r="AI158" s="19">
        <v>1.9</v>
      </c>
      <c r="AJ158" t="s">
        <v>73</v>
      </c>
      <c r="AK158" s="19">
        <v>0</v>
      </c>
      <c r="AL158" s="19">
        <v>36.1</v>
      </c>
      <c r="AM158" t="b">
        <f t="shared" si="12"/>
        <v>1</v>
      </c>
      <c r="AN158" s="21">
        <f t="shared" si="13"/>
        <v>0</v>
      </c>
      <c r="AO158" s="19">
        <f t="shared" si="14"/>
        <v>0</v>
      </c>
      <c r="AP158" s="22">
        <v>15</v>
      </c>
      <c r="AQ158" s="18">
        <f t="shared" si="15"/>
        <v>0</v>
      </c>
      <c r="AR158" s="18">
        <f t="shared" si="16"/>
        <v>4.9499999999999993</v>
      </c>
      <c r="AS158" s="23">
        <f t="shared" si="17"/>
        <v>10.050000000000001</v>
      </c>
      <c r="AT158" s="24">
        <v>46277.050694444442</v>
      </c>
      <c r="AU158" s="16" t="s">
        <v>597</v>
      </c>
      <c r="AV158" s="16">
        <v>292006592</v>
      </c>
      <c r="AW158" s="16">
        <v>739905714</v>
      </c>
      <c r="AX158" s="16" t="s">
        <v>98</v>
      </c>
      <c r="AY158" s="16">
        <v>38</v>
      </c>
      <c r="AZ158" s="16">
        <v>38</v>
      </c>
      <c r="BA158" s="16">
        <v>5</v>
      </c>
      <c r="BB158" s="16">
        <v>1.9</v>
      </c>
      <c r="BC158" s="16">
        <v>15</v>
      </c>
      <c r="BD158" s="16">
        <v>4.95</v>
      </c>
      <c r="BE158" s="16">
        <v>0</v>
      </c>
      <c r="BF158" s="16" t="s">
        <v>69</v>
      </c>
      <c r="BG158" s="16" t="s">
        <v>770</v>
      </c>
      <c r="BH158" s="16">
        <v>15</v>
      </c>
      <c r="BI158" s="16">
        <v>10.050000000000001</v>
      </c>
      <c r="BJ158" s="16">
        <v>41.050000000000004</v>
      </c>
      <c r="BK158" s="16">
        <v>1.9</v>
      </c>
      <c r="BL158" s="16">
        <v>4.9499999999999993</v>
      </c>
    </row>
    <row r="159" spans="1:64" x14ac:dyDescent="0.25">
      <c r="A159" s="24">
        <v>46277</v>
      </c>
      <c r="B159" s="16" t="s">
        <v>108</v>
      </c>
      <c r="C159" s="25">
        <v>79482</v>
      </c>
      <c r="F159" s="25">
        <v>19331</v>
      </c>
      <c r="G159" s="25">
        <v>292008488</v>
      </c>
      <c r="H159" s="16" t="s">
        <v>64</v>
      </c>
      <c r="I159" s="16" t="s">
        <v>65</v>
      </c>
      <c r="J159" s="16" t="s">
        <v>66</v>
      </c>
      <c r="K159" s="17">
        <v>20</v>
      </c>
      <c r="L159" t="s">
        <v>118</v>
      </c>
      <c r="M159" t="s">
        <v>771</v>
      </c>
      <c r="N159" t="s">
        <v>69</v>
      </c>
      <c r="O159" s="16" t="s">
        <v>70</v>
      </c>
      <c r="P159" t="s">
        <v>175</v>
      </c>
      <c r="Q159" s="19">
        <v>41.5</v>
      </c>
      <c r="R159" t="s">
        <v>72</v>
      </c>
      <c r="S159" s="19">
        <v>4.1500000000000004</v>
      </c>
      <c r="T159" s="19">
        <v>9</v>
      </c>
      <c r="U159" s="19">
        <v>7.37</v>
      </c>
      <c r="V159" s="19">
        <v>46.35</v>
      </c>
      <c r="W159" s="19">
        <v>50.5</v>
      </c>
      <c r="X159" t="s">
        <v>73</v>
      </c>
      <c r="Y159" s="20">
        <v>0.04</v>
      </c>
      <c r="Z159" s="19">
        <v>1.66</v>
      </c>
      <c r="AA159" s="19">
        <v>48.84</v>
      </c>
      <c r="AB159" s="19">
        <v>1.66</v>
      </c>
      <c r="AC159" t="s">
        <v>73</v>
      </c>
      <c r="AD159" s="19">
        <v>1.37</v>
      </c>
      <c r="AE159" s="19">
        <v>0.28999999999999998</v>
      </c>
      <c r="AF159" s="19">
        <v>1.66</v>
      </c>
      <c r="AG159" s="19">
        <v>38</v>
      </c>
      <c r="AH159" s="19">
        <v>8.35</v>
      </c>
      <c r="AI159" s="19">
        <v>1.66</v>
      </c>
      <c r="AJ159" t="s">
        <v>73</v>
      </c>
      <c r="AK159" s="19">
        <v>13</v>
      </c>
      <c r="AL159" s="19">
        <v>48.84</v>
      </c>
      <c r="AM159" t="b">
        <f t="shared" si="12"/>
        <v>1</v>
      </c>
      <c r="AN159" s="21">
        <f t="shared" si="13"/>
        <v>0</v>
      </c>
      <c r="AO159" s="19">
        <f t="shared" si="14"/>
        <v>0</v>
      </c>
      <c r="AP159" s="22">
        <v>15</v>
      </c>
      <c r="AQ159" s="18">
        <f t="shared" si="15"/>
        <v>9</v>
      </c>
      <c r="AR159" s="18">
        <f t="shared" si="16"/>
        <v>6</v>
      </c>
      <c r="AS159" s="23">
        <f t="shared" si="17"/>
        <v>0</v>
      </c>
      <c r="AT159" s="24">
        <v>46277.069444444445</v>
      </c>
      <c r="AU159" s="16" t="s">
        <v>120</v>
      </c>
      <c r="AV159" s="16">
        <v>292008488</v>
      </c>
      <c r="AW159" s="16">
        <v>739911076</v>
      </c>
      <c r="AX159" s="16" t="s">
        <v>587</v>
      </c>
      <c r="AY159" s="16">
        <v>50.5</v>
      </c>
      <c r="AZ159" s="16">
        <v>41.5</v>
      </c>
      <c r="BA159" s="16">
        <v>4</v>
      </c>
      <c r="BB159" s="16">
        <v>1.66</v>
      </c>
      <c r="BC159" s="16">
        <v>15</v>
      </c>
      <c r="BD159" s="16">
        <v>6</v>
      </c>
      <c r="BE159" s="16">
        <v>8</v>
      </c>
      <c r="BF159" s="16" t="s">
        <v>69</v>
      </c>
      <c r="BG159" s="16" t="s">
        <v>772</v>
      </c>
      <c r="BH159" s="16">
        <v>6</v>
      </c>
      <c r="BI159" s="16">
        <v>0</v>
      </c>
      <c r="BJ159" s="16">
        <v>54.84</v>
      </c>
      <c r="BK159" s="16">
        <v>1.66</v>
      </c>
      <c r="BL159" s="16">
        <v>15</v>
      </c>
    </row>
    <row r="160" spans="1:64" x14ac:dyDescent="0.25">
      <c r="A160" s="24">
        <v>46277</v>
      </c>
      <c r="B160" s="16" t="s">
        <v>773</v>
      </c>
      <c r="C160" s="25">
        <v>70275</v>
      </c>
      <c r="F160" s="25">
        <v>19335</v>
      </c>
      <c r="G160" s="25">
        <v>292009290</v>
      </c>
      <c r="H160" s="16" t="s">
        <v>64</v>
      </c>
      <c r="I160" s="16" t="s">
        <v>65</v>
      </c>
      <c r="J160" s="16" t="s">
        <v>66</v>
      </c>
      <c r="K160" s="17">
        <v>3172</v>
      </c>
      <c r="L160" t="s">
        <v>774</v>
      </c>
      <c r="M160" t="s">
        <v>775</v>
      </c>
      <c r="N160" t="s">
        <v>69</v>
      </c>
      <c r="O160" s="16" t="s">
        <v>70</v>
      </c>
      <c r="P160" t="s">
        <v>86</v>
      </c>
      <c r="Q160" s="19">
        <v>53.79</v>
      </c>
      <c r="R160" t="s">
        <v>73</v>
      </c>
      <c r="S160" s="19">
        <v>0</v>
      </c>
      <c r="T160" s="19">
        <v>0</v>
      </c>
      <c r="U160" s="19">
        <v>8.98</v>
      </c>
      <c r="V160" s="19">
        <v>53.79</v>
      </c>
      <c r="W160" s="19">
        <v>53.79</v>
      </c>
      <c r="X160" t="s">
        <v>73</v>
      </c>
      <c r="Y160" s="20">
        <v>0.05</v>
      </c>
      <c r="Z160" s="19">
        <v>2.69</v>
      </c>
      <c r="AA160" s="19">
        <v>51.1</v>
      </c>
      <c r="AB160" s="19">
        <v>2.69</v>
      </c>
      <c r="AC160" t="s">
        <v>73</v>
      </c>
      <c r="AD160" s="19">
        <v>2.2400000000000002</v>
      </c>
      <c r="AE160" s="19">
        <v>0.45</v>
      </c>
      <c r="AF160" s="19">
        <v>2.69</v>
      </c>
      <c r="AG160" s="19">
        <v>0</v>
      </c>
      <c r="AH160" s="19">
        <v>53.79</v>
      </c>
      <c r="AI160" s="19">
        <v>2.69</v>
      </c>
      <c r="AJ160" t="s">
        <v>73</v>
      </c>
      <c r="AK160" s="19">
        <v>0</v>
      </c>
      <c r="AL160" s="19">
        <v>51.1</v>
      </c>
      <c r="AM160" t="b">
        <f t="shared" si="12"/>
        <v>1</v>
      </c>
      <c r="AN160" s="21">
        <f t="shared" si="13"/>
        <v>0</v>
      </c>
      <c r="AO160" s="19">
        <f t="shared" si="14"/>
        <v>5.0000000000016698E-4</v>
      </c>
      <c r="AP160" s="22">
        <v>15</v>
      </c>
      <c r="AQ160" s="18">
        <f t="shared" si="15"/>
        <v>0</v>
      </c>
      <c r="AR160" s="18">
        <f t="shared" si="16"/>
        <v>8</v>
      </c>
      <c r="AS160" s="23">
        <f t="shared" si="17"/>
        <v>7</v>
      </c>
      <c r="AT160" s="24">
        <v>46277.07916666667</v>
      </c>
      <c r="AU160" s="16" t="s">
        <v>776</v>
      </c>
      <c r="AV160" s="16">
        <v>292009290</v>
      </c>
      <c r="AW160" s="16">
        <v>739912928</v>
      </c>
      <c r="AX160" s="16" t="s">
        <v>405</v>
      </c>
      <c r="AY160" s="16">
        <v>53.790000915527344</v>
      </c>
      <c r="AZ160" s="16">
        <v>53.79</v>
      </c>
      <c r="BA160" s="16">
        <v>5</v>
      </c>
      <c r="BB160" s="16">
        <v>2.6894999999999998</v>
      </c>
      <c r="BC160" s="16">
        <v>15</v>
      </c>
      <c r="BD160" s="16">
        <v>8</v>
      </c>
      <c r="BE160" s="16">
        <v>0</v>
      </c>
      <c r="BF160" s="16" t="s">
        <v>69</v>
      </c>
      <c r="BG160" s="16" t="s">
        <v>777</v>
      </c>
      <c r="BH160" s="16">
        <v>15</v>
      </c>
      <c r="BI160" s="16">
        <v>7</v>
      </c>
      <c r="BJ160" s="16">
        <v>59.100500915527341</v>
      </c>
      <c r="BK160" s="16">
        <v>2.6894999999999998</v>
      </c>
      <c r="BL160" s="16">
        <v>8</v>
      </c>
    </row>
    <row r="161" spans="1:64" x14ac:dyDescent="0.25">
      <c r="A161" s="24">
        <v>46277</v>
      </c>
      <c r="B161" s="16" t="s">
        <v>778</v>
      </c>
      <c r="C161" s="25">
        <v>7918</v>
      </c>
      <c r="D161" s="17" t="s">
        <v>779</v>
      </c>
      <c r="F161" s="25">
        <v>19336</v>
      </c>
      <c r="G161" s="25">
        <v>292009371</v>
      </c>
      <c r="H161" s="16" t="s">
        <v>64</v>
      </c>
      <c r="I161" s="16" t="s">
        <v>65</v>
      </c>
      <c r="J161" s="16" t="s">
        <v>66</v>
      </c>
      <c r="K161" s="17">
        <v>62</v>
      </c>
      <c r="L161" t="s">
        <v>124</v>
      </c>
      <c r="M161" t="s">
        <v>73</v>
      </c>
      <c r="N161" t="s">
        <v>69</v>
      </c>
      <c r="O161" s="16" t="s">
        <v>70</v>
      </c>
      <c r="P161" t="s">
        <v>92</v>
      </c>
      <c r="Q161" s="19">
        <v>88</v>
      </c>
      <c r="R161" t="s">
        <v>73</v>
      </c>
      <c r="S161" s="19">
        <v>0</v>
      </c>
      <c r="T161" s="19">
        <v>15</v>
      </c>
      <c r="U161" s="19">
        <v>13.44</v>
      </c>
      <c r="V161" s="19">
        <v>103</v>
      </c>
      <c r="W161" s="19">
        <v>103</v>
      </c>
      <c r="X161" t="s">
        <v>73</v>
      </c>
      <c r="Y161" s="20">
        <v>4.7500000000000001E-2</v>
      </c>
      <c r="Z161" s="19">
        <v>4.18</v>
      </c>
      <c r="AA161" s="19">
        <v>98.82</v>
      </c>
      <c r="AB161" s="19">
        <v>4.18</v>
      </c>
      <c r="AC161" t="s">
        <v>73</v>
      </c>
      <c r="AD161" s="19">
        <v>3.54</v>
      </c>
      <c r="AE161" s="19">
        <v>0.64</v>
      </c>
      <c r="AF161" s="19">
        <v>4.18</v>
      </c>
      <c r="AG161" s="19">
        <v>103</v>
      </c>
      <c r="AH161" s="19">
        <v>0</v>
      </c>
      <c r="AI161" s="19">
        <v>4.18</v>
      </c>
      <c r="AJ161" t="s">
        <v>73</v>
      </c>
      <c r="AK161" s="19">
        <v>0</v>
      </c>
      <c r="AL161" s="19">
        <v>98.82</v>
      </c>
      <c r="AM161" t="b">
        <f t="shared" si="12"/>
        <v>1</v>
      </c>
      <c r="AN161" s="21">
        <f t="shared" si="13"/>
        <v>0</v>
      </c>
      <c r="AO161" s="19">
        <f t="shared" si="14"/>
        <v>0</v>
      </c>
      <c r="AP161" s="22">
        <v>15</v>
      </c>
      <c r="AQ161" s="18">
        <f t="shared" si="15"/>
        <v>15</v>
      </c>
      <c r="AR161" s="18">
        <f t="shared" si="16"/>
        <v>0</v>
      </c>
      <c r="AS161" s="23">
        <f t="shared" si="17"/>
        <v>0</v>
      </c>
      <c r="AT161" s="24">
        <v>46277.070833333331</v>
      </c>
      <c r="AU161" s="16" t="s">
        <v>125</v>
      </c>
      <c r="AV161" s="16">
        <v>292009371</v>
      </c>
      <c r="AW161" s="16">
        <v>739915775</v>
      </c>
      <c r="AX161" s="16" t="s">
        <v>587</v>
      </c>
      <c r="AY161" s="16">
        <v>103</v>
      </c>
      <c r="AZ161" s="16">
        <v>88</v>
      </c>
      <c r="BA161" s="16">
        <v>4.75</v>
      </c>
      <c r="BB161" s="16">
        <v>4.18</v>
      </c>
      <c r="BC161" s="16">
        <v>15</v>
      </c>
      <c r="BD161" s="16">
        <v>0</v>
      </c>
      <c r="BE161" s="16">
        <v>14</v>
      </c>
      <c r="BF161" s="16" t="s">
        <v>69</v>
      </c>
      <c r="BG161" s="16" t="s">
        <v>780</v>
      </c>
      <c r="BH161" s="16">
        <v>0</v>
      </c>
      <c r="BI161" s="16">
        <v>0</v>
      </c>
      <c r="BJ161" s="16">
        <v>98.82</v>
      </c>
      <c r="BK161" s="16">
        <v>4.18</v>
      </c>
      <c r="BL161" s="16">
        <v>15</v>
      </c>
    </row>
    <row r="162" spans="1:64" x14ac:dyDescent="0.25">
      <c r="A162" s="24">
        <v>46277</v>
      </c>
      <c r="B162" s="16" t="s">
        <v>781</v>
      </c>
      <c r="C162" s="25">
        <v>72713</v>
      </c>
      <c r="D162" s="17" t="s">
        <v>782</v>
      </c>
      <c r="F162" s="25">
        <v>19337</v>
      </c>
      <c r="G162" s="25">
        <v>292009701</v>
      </c>
      <c r="H162" s="16" t="s">
        <v>64</v>
      </c>
      <c r="I162" s="16" t="s">
        <v>65</v>
      </c>
      <c r="J162" s="16" t="s">
        <v>66</v>
      </c>
      <c r="K162" s="17">
        <v>3245</v>
      </c>
      <c r="L162" t="s">
        <v>783</v>
      </c>
      <c r="M162" t="s">
        <v>784</v>
      </c>
      <c r="N162" t="s">
        <v>69</v>
      </c>
      <c r="O162" s="16" t="s">
        <v>70</v>
      </c>
      <c r="P162" t="s">
        <v>246</v>
      </c>
      <c r="Q162" s="19">
        <v>53</v>
      </c>
      <c r="R162" t="s">
        <v>72</v>
      </c>
      <c r="S162" s="19">
        <v>5.3</v>
      </c>
      <c r="T162" s="19">
        <v>7</v>
      </c>
      <c r="U162" s="19">
        <v>9.7799999999999994</v>
      </c>
      <c r="V162" s="19">
        <v>54.7</v>
      </c>
      <c r="W162" s="19">
        <v>60</v>
      </c>
      <c r="X162" t="s">
        <v>73</v>
      </c>
      <c r="Y162" s="20">
        <v>0.05</v>
      </c>
      <c r="Z162" s="19">
        <v>2.65</v>
      </c>
      <c r="AA162" s="19">
        <v>57.35</v>
      </c>
      <c r="AB162" s="19">
        <v>2.65</v>
      </c>
      <c r="AC162" t="s">
        <v>73</v>
      </c>
      <c r="AD162" s="19">
        <v>2.16</v>
      </c>
      <c r="AE162" s="19">
        <v>0.49</v>
      </c>
      <c r="AF162" s="19">
        <v>2.65</v>
      </c>
      <c r="AG162" s="19">
        <v>0</v>
      </c>
      <c r="AH162" s="19">
        <v>54.7</v>
      </c>
      <c r="AI162" s="19">
        <v>2.65</v>
      </c>
      <c r="AJ162" t="s">
        <v>73</v>
      </c>
      <c r="AK162" s="19">
        <v>0</v>
      </c>
      <c r="AL162" s="19">
        <v>57.35</v>
      </c>
      <c r="AM162" t="b">
        <f t="shared" si="12"/>
        <v>1</v>
      </c>
      <c r="AN162" s="21">
        <f t="shared" si="13"/>
        <v>0</v>
      </c>
      <c r="AO162" s="19">
        <f t="shared" si="14"/>
        <v>0</v>
      </c>
      <c r="AP162" s="22">
        <v>22</v>
      </c>
      <c r="AQ162" s="18">
        <f t="shared" si="15"/>
        <v>7</v>
      </c>
      <c r="AR162" s="18">
        <f t="shared" si="16"/>
        <v>15</v>
      </c>
      <c r="AS162" s="23">
        <f t="shared" si="17"/>
        <v>0</v>
      </c>
      <c r="AT162" s="24">
        <v>46277.085416666669</v>
      </c>
      <c r="AU162" s="16" t="s">
        <v>785</v>
      </c>
      <c r="AV162" s="16">
        <v>292009701</v>
      </c>
      <c r="AW162" s="16">
        <v>739899542</v>
      </c>
      <c r="AX162" s="16" t="s">
        <v>786</v>
      </c>
      <c r="AY162" s="16">
        <v>60</v>
      </c>
      <c r="AZ162" s="16">
        <v>53</v>
      </c>
      <c r="BA162" s="16">
        <v>5</v>
      </c>
      <c r="BB162" s="16">
        <v>2.65</v>
      </c>
      <c r="BC162" s="16">
        <v>22</v>
      </c>
      <c r="BD162" s="16">
        <v>15</v>
      </c>
      <c r="BE162" s="16">
        <v>6</v>
      </c>
      <c r="BF162" s="16" t="s">
        <v>69</v>
      </c>
      <c r="BG162" s="16" t="s">
        <v>787</v>
      </c>
      <c r="BH162" s="16">
        <v>15</v>
      </c>
      <c r="BI162" s="16">
        <v>0</v>
      </c>
      <c r="BJ162" s="16">
        <v>72.349999999999994</v>
      </c>
      <c r="BK162" s="16">
        <v>2.65</v>
      </c>
      <c r="BL162" s="16">
        <v>22</v>
      </c>
    </row>
    <row r="163" spans="1:64" x14ac:dyDescent="0.25">
      <c r="A163" s="24">
        <v>46277</v>
      </c>
      <c r="B163" s="16" t="s">
        <v>788</v>
      </c>
      <c r="C163" s="25">
        <v>55877</v>
      </c>
      <c r="F163" s="25">
        <v>19338</v>
      </c>
      <c r="G163" s="25">
        <v>292010942</v>
      </c>
      <c r="H163" s="16" t="s">
        <v>64</v>
      </c>
      <c r="I163" s="16" t="s">
        <v>65</v>
      </c>
      <c r="J163" s="16" t="s">
        <v>66</v>
      </c>
      <c r="K163" s="17">
        <v>4370</v>
      </c>
      <c r="L163" t="s">
        <v>789</v>
      </c>
      <c r="M163" t="s">
        <v>73</v>
      </c>
      <c r="N163" t="s">
        <v>69</v>
      </c>
      <c r="O163" s="16" t="s">
        <v>70</v>
      </c>
      <c r="P163" t="s">
        <v>92</v>
      </c>
      <c r="Q163" s="19">
        <v>50.7</v>
      </c>
      <c r="R163" t="s">
        <v>72</v>
      </c>
      <c r="S163" s="19">
        <v>5.07</v>
      </c>
      <c r="T163" s="19">
        <v>0</v>
      </c>
      <c r="U163" s="19">
        <v>8.57</v>
      </c>
      <c r="V163" s="19">
        <v>45.63</v>
      </c>
      <c r="W163" s="19">
        <v>50.7</v>
      </c>
      <c r="X163" t="s">
        <v>73</v>
      </c>
      <c r="Y163" s="20">
        <v>5.0099999999999999E-2</v>
      </c>
      <c r="Z163" s="19">
        <v>2.54</v>
      </c>
      <c r="AA163" s="19">
        <v>48.17</v>
      </c>
      <c r="AB163" s="19">
        <v>2.54</v>
      </c>
      <c r="AC163" t="s">
        <v>73</v>
      </c>
      <c r="AD163" s="19">
        <v>2.11</v>
      </c>
      <c r="AE163" s="19">
        <v>0.43</v>
      </c>
      <c r="AF163" s="19">
        <v>2.54</v>
      </c>
      <c r="AG163" s="19">
        <v>45.63</v>
      </c>
      <c r="AH163" s="19">
        <v>0</v>
      </c>
      <c r="AI163" s="19">
        <v>2.54</v>
      </c>
      <c r="AJ163" t="s">
        <v>73</v>
      </c>
      <c r="AK163" s="19">
        <v>0</v>
      </c>
      <c r="AL163" s="19">
        <v>48.17</v>
      </c>
      <c r="AM163" t="b">
        <f t="shared" si="12"/>
        <v>1</v>
      </c>
      <c r="AN163" s="21">
        <f t="shared" si="13"/>
        <v>-9.9999999999995925E-5</v>
      </c>
      <c r="AO163" s="19">
        <f t="shared" si="14"/>
        <v>4.9999999999998934E-3</v>
      </c>
      <c r="AP163" s="22">
        <v>15</v>
      </c>
      <c r="AQ163" s="18">
        <f t="shared" si="15"/>
        <v>0</v>
      </c>
      <c r="AR163" s="18">
        <f t="shared" si="16"/>
        <v>15</v>
      </c>
      <c r="AS163" s="23">
        <f t="shared" si="17"/>
        <v>0</v>
      </c>
      <c r="AT163" s="24">
        <v>46277.112500000003</v>
      </c>
      <c r="AU163" s="16" t="s">
        <v>790</v>
      </c>
      <c r="AV163" s="16">
        <v>292010942</v>
      </c>
      <c r="AW163" s="16">
        <v>739922903</v>
      </c>
      <c r="AX163" s="16" t="s">
        <v>791</v>
      </c>
      <c r="AY163" s="16">
        <v>50.700000762939453</v>
      </c>
      <c r="AZ163" s="16">
        <v>50.7</v>
      </c>
      <c r="BA163" s="16">
        <v>5</v>
      </c>
      <c r="BB163" s="16">
        <v>2.5350000000000001</v>
      </c>
      <c r="BC163" s="16">
        <v>15</v>
      </c>
      <c r="BD163" s="16">
        <v>15</v>
      </c>
      <c r="BE163" s="16">
        <v>0</v>
      </c>
      <c r="BF163" s="16" t="s">
        <v>69</v>
      </c>
      <c r="BG163" s="16" t="s">
        <v>792</v>
      </c>
      <c r="BH163" s="16">
        <v>15</v>
      </c>
      <c r="BI163" s="16">
        <v>0</v>
      </c>
      <c r="BJ163" s="16">
        <v>63.165000762939457</v>
      </c>
      <c r="BK163" s="16">
        <v>2.5350000000000001</v>
      </c>
      <c r="BL163" s="16">
        <v>15</v>
      </c>
    </row>
    <row r="164" spans="1:64" x14ac:dyDescent="0.25">
      <c r="A164" s="24">
        <v>46277</v>
      </c>
      <c r="B164" s="16" t="s">
        <v>793</v>
      </c>
      <c r="C164" s="25">
        <v>59566</v>
      </c>
      <c r="F164" s="25">
        <v>19339</v>
      </c>
      <c r="G164" s="25">
        <v>292012625</v>
      </c>
      <c r="H164" s="16" t="s">
        <v>64</v>
      </c>
      <c r="I164" s="16" t="s">
        <v>65</v>
      </c>
      <c r="J164" s="16" t="s">
        <v>66</v>
      </c>
      <c r="K164" s="17">
        <v>4360</v>
      </c>
      <c r="L164" t="s">
        <v>794</v>
      </c>
      <c r="M164" t="s">
        <v>795</v>
      </c>
      <c r="N164" t="s">
        <v>69</v>
      </c>
      <c r="O164" s="16" t="s">
        <v>70</v>
      </c>
      <c r="P164" t="s">
        <v>79</v>
      </c>
      <c r="Q164" s="19">
        <v>35</v>
      </c>
      <c r="R164" t="s">
        <v>72</v>
      </c>
      <c r="S164" s="19">
        <v>3.5</v>
      </c>
      <c r="T164" s="19">
        <v>0</v>
      </c>
      <c r="U164" s="19">
        <v>6.53</v>
      </c>
      <c r="V164" s="19">
        <v>31.5</v>
      </c>
      <c r="W164" s="19">
        <v>35</v>
      </c>
      <c r="X164" t="s">
        <v>73</v>
      </c>
      <c r="Y164" s="20">
        <v>0.05</v>
      </c>
      <c r="Z164" s="19">
        <v>1.75</v>
      </c>
      <c r="AA164" s="19">
        <v>33.25</v>
      </c>
      <c r="AB164" s="19">
        <v>1.75</v>
      </c>
      <c r="AC164" t="s">
        <v>73</v>
      </c>
      <c r="AD164" s="19">
        <v>1.42</v>
      </c>
      <c r="AE164" s="19">
        <v>0.33</v>
      </c>
      <c r="AF164" s="19">
        <v>1.75</v>
      </c>
      <c r="AG164" s="19">
        <v>0</v>
      </c>
      <c r="AH164" s="19">
        <v>31.5</v>
      </c>
      <c r="AI164" s="19">
        <v>1.75</v>
      </c>
      <c r="AJ164" t="s">
        <v>73</v>
      </c>
      <c r="AK164" s="19">
        <v>0</v>
      </c>
      <c r="AL164" s="19">
        <v>33.25</v>
      </c>
      <c r="AM164" t="b">
        <f t="shared" si="12"/>
        <v>1</v>
      </c>
      <c r="AN164" s="21">
        <f t="shared" si="13"/>
        <v>0</v>
      </c>
      <c r="AO164" s="19">
        <f t="shared" si="14"/>
        <v>0</v>
      </c>
      <c r="AP164" s="22">
        <v>15</v>
      </c>
      <c r="AQ164" s="18">
        <f t="shared" si="15"/>
        <v>0</v>
      </c>
      <c r="AR164" s="18">
        <f t="shared" si="16"/>
        <v>5</v>
      </c>
      <c r="AS164" s="23">
        <f t="shared" si="17"/>
        <v>10</v>
      </c>
      <c r="AT164" s="24">
        <v>46277.160416666666</v>
      </c>
      <c r="AU164" s="16" t="s">
        <v>796</v>
      </c>
      <c r="AV164" s="16">
        <v>292012625</v>
      </c>
      <c r="AW164" s="16">
        <v>739931559</v>
      </c>
      <c r="AX164" s="16" t="s">
        <v>797</v>
      </c>
      <c r="AY164" s="16">
        <v>35</v>
      </c>
      <c r="AZ164" s="16">
        <v>35</v>
      </c>
      <c r="BA164" s="16">
        <v>5</v>
      </c>
      <c r="BB164" s="16">
        <v>1.75</v>
      </c>
      <c r="BC164" s="16">
        <v>15</v>
      </c>
      <c r="BD164" s="16">
        <v>5</v>
      </c>
      <c r="BE164" s="16">
        <v>0</v>
      </c>
      <c r="BF164" s="16" t="s">
        <v>69</v>
      </c>
      <c r="BG164" s="16" t="s">
        <v>798</v>
      </c>
      <c r="BH164" s="16">
        <v>15</v>
      </c>
      <c r="BI164" s="16">
        <v>10</v>
      </c>
      <c r="BJ164" s="16">
        <v>38.25</v>
      </c>
      <c r="BK164" s="16">
        <v>1.75</v>
      </c>
      <c r="BL164" s="16">
        <v>5</v>
      </c>
    </row>
    <row r="165" spans="1:64" x14ac:dyDescent="0.25">
      <c r="A165" s="24">
        <v>46277</v>
      </c>
      <c r="B165" s="16" t="s">
        <v>799</v>
      </c>
      <c r="C165" s="25">
        <v>53947</v>
      </c>
      <c r="F165" s="25">
        <v>19340</v>
      </c>
      <c r="G165" s="25">
        <v>292014169</v>
      </c>
      <c r="H165" s="16" t="s">
        <v>64</v>
      </c>
      <c r="I165" s="16" t="s">
        <v>65</v>
      </c>
      <c r="J165" s="16" t="s">
        <v>66</v>
      </c>
      <c r="K165" s="17">
        <v>16271</v>
      </c>
      <c r="L165" t="s">
        <v>800</v>
      </c>
      <c r="M165" t="s">
        <v>801</v>
      </c>
      <c r="N165" t="s">
        <v>69</v>
      </c>
      <c r="O165" s="16" t="s">
        <v>70</v>
      </c>
      <c r="P165" t="s">
        <v>71</v>
      </c>
      <c r="Q165" s="19">
        <v>34</v>
      </c>
      <c r="R165" t="s">
        <v>72</v>
      </c>
      <c r="S165" s="19">
        <v>3.4</v>
      </c>
      <c r="T165" s="19">
        <v>17</v>
      </c>
      <c r="U165" s="19">
        <v>6.65</v>
      </c>
      <c r="V165" s="19">
        <v>47.6</v>
      </c>
      <c r="W165" s="19">
        <v>51</v>
      </c>
      <c r="X165" t="s">
        <v>73</v>
      </c>
      <c r="Y165" s="20">
        <v>0.05</v>
      </c>
      <c r="Z165" s="19">
        <v>1.7</v>
      </c>
      <c r="AA165" s="19">
        <v>49.3</v>
      </c>
      <c r="AB165" s="19">
        <v>1.7</v>
      </c>
      <c r="AC165" t="s">
        <v>73</v>
      </c>
      <c r="AD165" s="19">
        <v>1.37</v>
      </c>
      <c r="AE165" s="19">
        <v>0.33</v>
      </c>
      <c r="AF165" s="19">
        <v>1.7</v>
      </c>
      <c r="AG165" s="19">
        <v>20</v>
      </c>
      <c r="AH165" s="19">
        <v>27.6</v>
      </c>
      <c r="AI165" s="19">
        <v>1.7</v>
      </c>
      <c r="AJ165" t="s">
        <v>73</v>
      </c>
      <c r="AK165" s="19">
        <v>0</v>
      </c>
      <c r="AL165" s="19">
        <v>49.3</v>
      </c>
      <c r="AM165" t="b">
        <f t="shared" si="12"/>
        <v>1</v>
      </c>
      <c r="AN165" s="21">
        <f t="shared" si="13"/>
        <v>0</v>
      </c>
      <c r="AO165" s="19">
        <f t="shared" si="14"/>
        <v>0</v>
      </c>
      <c r="AP165" s="22">
        <v>17</v>
      </c>
      <c r="AQ165" s="18">
        <f t="shared" si="15"/>
        <v>17</v>
      </c>
      <c r="AR165" s="18">
        <f t="shared" si="16"/>
        <v>0</v>
      </c>
      <c r="AS165" s="23">
        <f t="shared" si="17"/>
        <v>0</v>
      </c>
      <c r="AT165" s="24">
        <v>46277.274305555555</v>
      </c>
      <c r="AU165" s="16" t="s">
        <v>802</v>
      </c>
      <c r="AV165" s="16">
        <v>292014169</v>
      </c>
      <c r="AW165" s="16">
        <v>739941988</v>
      </c>
      <c r="AX165" s="16" t="s">
        <v>803</v>
      </c>
      <c r="AY165" s="16">
        <v>51</v>
      </c>
      <c r="AZ165" s="16">
        <v>34</v>
      </c>
      <c r="BA165" s="16">
        <v>5</v>
      </c>
      <c r="BB165" s="16">
        <v>1.7</v>
      </c>
      <c r="BC165" s="16">
        <v>17</v>
      </c>
      <c r="BD165" s="16">
        <v>0</v>
      </c>
      <c r="BE165" s="16">
        <v>16</v>
      </c>
      <c r="BF165" s="16" t="s">
        <v>69</v>
      </c>
      <c r="BG165" s="16" t="s">
        <v>804</v>
      </c>
      <c r="BH165" s="16">
        <v>0</v>
      </c>
      <c r="BI165" s="16">
        <v>0</v>
      </c>
      <c r="BJ165" s="16">
        <v>49.3</v>
      </c>
      <c r="BK165" s="16">
        <v>1.7</v>
      </c>
      <c r="BL165" s="16">
        <v>17</v>
      </c>
    </row>
    <row r="166" spans="1:64" x14ac:dyDescent="0.25">
      <c r="A166" s="24">
        <v>46277</v>
      </c>
      <c r="B166" s="16" t="s">
        <v>805</v>
      </c>
      <c r="C166" s="25">
        <v>78821</v>
      </c>
      <c r="F166" s="25">
        <v>19341</v>
      </c>
      <c r="G166" s="25">
        <v>292014965</v>
      </c>
      <c r="H166" s="16" t="s">
        <v>64</v>
      </c>
      <c r="I166" s="16" t="s">
        <v>65</v>
      </c>
      <c r="J166" s="16" t="s">
        <v>66</v>
      </c>
      <c r="K166" s="17">
        <v>1223</v>
      </c>
      <c r="L166" t="s">
        <v>806</v>
      </c>
      <c r="M166" t="s">
        <v>807</v>
      </c>
      <c r="N166" t="s">
        <v>69</v>
      </c>
      <c r="O166" s="16" t="s">
        <v>70</v>
      </c>
      <c r="P166" t="s">
        <v>71</v>
      </c>
      <c r="Q166" s="19">
        <v>68.900000000000006</v>
      </c>
      <c r="R166" t="s">
        <v>73</v>
      </c>
      <c r="S166" s="19">
        <v>0</v>
      </c>
      <c r="T166" s="19">
        <v>7</v>
      </c>
      <c r="U166" s="19">
        <v>11.86</v>
      </c>
      <c r="V166" s="19">
        <v>75.900000000000006</v>
      </c>
      <c r="W166" s="19">
        <v>75.900000000000006</v>
      </c>
      <c r="X166" t="s">
        <v>73</v>
      </c>
      <c r="Y166" s="20">
        <v>5.0099999999999999E-2</v>
      </c>
      <c r="Z166" s="19">
        <v>3.45</v>
      </c>
      <c r="AA166" s="19">
        <v>72.459999999999994</v>
      </c>
      <c r="AB166" s="19">
        <v>3.45</v>
      </c>
      <c r="AC166" t="s">
        <v>73</v>
      </c>
      <c r="AD166" s="19">
        <v>2.86</v>
      </c>
      <c r="AE166" s="19">
        <v>0.59</v>
      </c>
      <c r="AF166" s="19">
        <v>3.45</v>
      </c>
      <c r="AG166" s="19">
        <v>1.39</v>
      </c>
      <c r="AH166" s="19">
        <v>74.510000000000005</v>
      </c>
      <c r="AI166" s="19">
        <v>3.45</v>
      </c>
      <c r="AJ166" t="s">
        <v>73</v>
      </c>
      <c r="AK166" s="19">
        <v>0</v>
      </c>
      <c r="AL166" s="19">
        <v>72.459999999999994</v>
      </c>
      <c r="AM166" t="b">
        <f t="shared" si="12"/>
        <v>1</v>
      </c>
      <c r="AN166" s="21">
        <f t="shared" si="13"/>
        <v>-9.9999999999995925E-5</v>
      </c>
      <c r="AO166" s="19">
        <f t="shared" si="14"/>
        <v>5.0000000000003375E-3</v>
      </c>
      <c r="AP166" s="22">
        <v>22</v>
      </c>
      <c r="AQ166" s="18">
        <f t="shared" si="15"/>
        <v>7</v>
      </c>
      <c r="AR166" s="18">
        <f t="shared" si="16"/>
        <v>7.95</v>
      </c>
      <c r="AS166" s="23">
        <f t="shared" si="17"/>
        <v>7.05</v>
      </c>
      <c r="AT166" s="24">
        <v>46277.314583333333</v>
      </c>
      <c r="AU166" s="16" t="s">
        <v>808</v>
      </c>
      <c r="AV166" s="16">
        <v>292014965</v>
      </c>
      <c r="AW166" s="16">
        <v>739945658</v>
      </c>
      <c r="AX166" s="16" t="s">
        <v>106</v>
      </c>
      <c r="AY166" s="16">
        <v>75.900001525878906</v>
      </c>
      <c r="AZ166" s="16">
        <v>68.900000000000006</v>
      </c>
      <c r="BA166" s="16">
        <v>5</v>
      </c>
      <c r="BB166" s="16">
        <v>3.4449999999999998</v>
      </c>
      <c r="BC166" s="16">
        <v>22</v>
      </c>
      <c r="BD166" s="16">
        <v>7.95</v>
      </c>
      <c r="BE166" s="16">
        <v>6</v>
      </c>
      <c r="BF166" s="16" t="s">
        <v>69</v>
      </c>
      <c r="BG166" s="16" t="s">
        <v>809</v>
      </c>
      <c r="BH166" s="16">
        <v>15</v>
      </c>
      <c r="BI166" s="16">
        <v>7.05</v>
      </c>
      <c r="BJ166" s="16">
        <v>80.405001525878916</v>
      </c>
      <c r="BK166" s="16">
        <v>3.4449999999999998</v>
      </c>
      <c r="BL166" s="16">
        <v>14.95</v>
      </c>
    </row>
    <row r="167" spans="1:64" x14ac:dyDescent="0.25">
      <c r="A167" s="24">
        <v>46277</v>
      </c>
      <c r="B167" s="16" t="s">
        <v>810</v>
      </c>
      <c r="C167" s="25">
        <v>79681</v>
      </c>
      <c r="F167" s="25">
        <v>19342</v>
      </c>
      <c r="G167" s="25">
        <v>292015838</v>
      </c>
      <c r="H167" s="16" t="s">
        <v>64</v>
      </c>
      <c r="I167" s="16" t="s">
        <v>65</v>
      </c>
      <c r="J167" s="16" t="s">
        <v>66</v>
      </c>
      <c r="K167" s="17">
        <v>10397</v>
      </c>
      <c r="L167" t="s">
        <v>811</v>
      </c>
      <c r="M167" t="s">
        <v>812</v>
      </c>
      <c r="N167" t="s">
        <v>69</v>
      </c>
      <c r="O167" s="16" t="s">
        <v>70</v>
      </c>
      <c r="P167" t="s">
        <v>79</v>
      </c>
      <c r="Q167" s="19">
        <v>46</v>
      </c>
      <c r="R167" t="s">
        <v>72</v>
      </c>
      <c r="S167" s="19">
        <v>4.5999999999999996</v>
      </c>
      <c r="T167" s="19">
        <v>2</v>
      </c>
      <c r="U167" s="19">
        <v>8.2200000000000006</v>
      </c>
      <c r="V167" s="19">
        <v>43.4</v>
      </c>
      <c r="W167" s="19">
        <v>48</v>
      </c>
      <c r="X167" t="s">
        <v>73</v>
      </c>
      <c r="Y167" s="20">
        <v>0.05</v>
      </c>
      <c r="Z167" s="19">
        <v>2.2999999999999998</v>
      </c>
      <c r="AA167" s="19">
        <v>45.7</v>
      </c>
      <c r="AB167" s="19">
        <v>2.2999999999999998</v>
      </c>
      <c r="AC167" t="s">
        <v>73</v>
      </c>
      <c r="AD167" s="19">
        <v>1.89</v>
      </c>
      <c r="AE167" s="19">
        <v>0.41</v>
      </c>
      <c r="AF167" s="19">
        <v>2.2999999999999998</v>
      </c>
      <c r="AG167" s="19">
        <v>0</v>
      </c>
      <c r="AH167" s="19">
        <v>43.4</v>
      </c>
      <c r="AI167" s="19">
        <v>2.2999999999999998</v>
      </c>
      <c r="AJ167" t="s">
        <v>73</v>
      </c>
      <c r="AK167" s="19">
        <v>0</v>
      </c>
      <c r="AL167" s="19">
        <v>45.7</v>
      </c>
      <c r="AM167" t="b">
        <f t="shared" si="12"/>
        <v>1</v>
      </c>
      <c r="AN167" s="21">
        <f t="shared" si="13"/>
        <v>0</v>
      </c>
      <c r="AO167" s="19">
        <f t="shared" si="14"/>
        <v>0</v>
      </c>
      <c r="AP167" s="22">
        <v>17</v>
      </c>
      <c r="AQ167" s="18">
        <f t="shared" si="15"/>
        <v>2</v>
      </c>
      <c r="AR167" s="18">
        <f t="shared" si="16"/>
        <v>7</v>
      </c>
      <c r="AS167" s="23">
        <f t="shared" si="17"/>
        <v>8</v>
      </c>
      <c r="AT167" s="24">
        <v>46277.352777777778</v>
      </c>
      <c r="AU167" s="16" t="s">
        <v>813</v>
      </c>
      <c r="AV167" s="16">
        <v>292015838</v>
      </c>
      <c r="AW167" s="16">
        <v>739948933</v>
      </c>
      <c r="AX167" s="16" t="s">
        <v>110</v>
      </c>
      <c r="AY167" s="16">
        <v>48</v>
      </c>
      <c r="AZ167" s="16">
        <v>46</v>
      </c>
      <c r="BA167" s="16">
        <v>5</v>
      </c>
      <c r="BB167" s="16">
        <v>2.2999999999999998</v>
      </c>
      <c r="BC167" s="16">
        <v>17</v>
      </c>
      <c r="BD167" s="16">
        <v>7</v>
      </c>
      <c r="BE167" s="16">
        <v>1</v>
      </c>
      <c r="BF167" s="16" t="s">
        <v>69</v>
      </c>
      <c r="BG167" s="16" t="s">
        <v>814</v>
      </c>
      <c r="BH167" s="16">
        <v>15</v>
      </c>
      <c r="BI167" s="16">
        <v>8</v>
      </c>
      <c r="BJ167" s="16">
        <v>52.7</v>
      </c>
      <c r="BK167" s="16">
        <v>2.2999999999999998</v>
      </c>
      <c r="BL167" s="16">
        <v>9</v>
      </c>
    </row>
    <row r="168" spans="1:64" x14ac:dyDescent="0.25">
      <c r="A168" s="24">
        <v>46277</v>
      </c>
      <c r="B168" s="16" t="s">
        <v>815</v>
      </c>
      <c r="C168" s="25">
        <v>79720</v>
      </c>
      <c r="D168" s="17" t="s">
        <v>816</v>
      </c>
      <c r="F168" s="25">
        <v>19343</v>
      </c>
      <c r="G168" s="25">
        <v>292023795</v>
      </c>
      <c r="H168" s="16" t="s">
        <v>64</v>
      </c>
      <c r="I168" s="16" t="s">
        <v>65</v>
      </c>
      <c r="J168" s="16" t="s">
        <v>66</v>
      </c>
      <c r="K168" s="17">
        <v>16304</v>
      </c>
      <c r="L168" t="s">
        <v>817</v>
      </c>
      <c r="M168" t="s">
        <v>818</v>
      </c>
      <c r="N168" t="s">
        <v>69</v>
      </c>
      <c r="O168" s="16" t="s">
        <v>70</v>
      </c>
      <c r="P168" t="s">
        <v>79</v>
      </c>
      <c r="Q168" s="19">
        <v>109</v>
      </c>
      <c r="R168" t="s">
        <v>72</v>
      </c>
      <c r="S168" s="19">
        <v>10.9</v>
      </c>
      <c r="T168" s="19">
        <v>0</v>
      </c>
      <c r="U168" s="19">
        <v>16.18</v>
      </c>
      <c r="V168" s="19">
        <v>98.1</v>
      </c>
      <c r="W168" s="19">
        <v>109</v>
      </c>
      <c r="X168" t="s">
        <v>73</v>
      </c>
      <c r="Y168" s="20">
        <v>0.05</v>
      </c>
      <c r="Z168" s="19">
        <v>5.45</v>
      </c>
      <c r="AA168" s="19">
        <v>103.55</v>
      </c>
      <c r="AB168" s="19">
        <v>5.45</v>
      </c>
      <c r="AC168" t="s">
        <v>73</v>
      </c>
      <c r="AD168" s="19">
        <v>4.6399999999999997</v>
      </c>
      <c r="AE168" s="19">
        <v>0.81</v>
      </c>
      <c r="AF168" s="19">
        <v>5.45</v>
      </c>
      <c r="AG168" s="19">
        <v>0</v>
      </c>
      <c r="AH168" s="19">
        <v>98.1</v>
      </c>
      <c r="AI168" s="19">
        <v>5.45</v>
      </c>
      <c r="AJ168" t="s">
        <v>73</v>
      </c>
      <c r="AK168" s="19">
        <v>0</v>
      </c>
      <c r="AL168" s="19">
        <v>103.55</v>
      </c>
      <c r="AM168" t="b">
        <f t="shared" si="12"/>
        <v>1</v>
      </c>
      <c r="AN168" s="21">
        <f t="shared" si="13"/>
        <v>0</v>
      </c>
      <c r="AO168" s="19">
        <f t="shared" si="14"/>
        <v>0</v>
      </c>
      <c r="AP168" s="22">
        <v>15</v>
      </c>
      <c r="AQ168" s="18">
        <f t="shared" si="15"/>
        <v>0</v>
      </c>
      <c r="AR168" s="18">
        <f t="shared" si="16"/>
        <v>5</v>
      </c>
      <c r="AS168" s="23">
        <f t="shared" si="17"/>
        <v>10</v>
      </c>
      <c r="AT168" s="24">
        <v>46277.488888888889</v>
      </c>
      <c r="AU168" s="16" t="s">
        <v>819</v>
      </c>
      <c r="AV168" s="16">
        <v>292023795</v>
      </c>
      <c r="AW168" s="16">
        <v>739973020</v>
      </c>
      <c r="AX168" s="16" t="s">
        <v>820</v>
      </c>
      <c r="AY168" s="16">
        <v>109</v>
      </c>
      <c r="AZ168" s="16">
        <v>109</v>
      </c>
      <c r="BA168" s="16">
        <v>5</v>
      </c>
      <c r="BB168" s="16">
        <v>5.45</v>
      </c>
      <c r="BC168" s="16">
        <v>15</v>
      </c>
      <c r="BD168" s="16">
        <v>5</v>
      </c>
      <c r="BE168" s="16">
        <v>0</v>
      </c>
      <c r="BF168" s="16" t="s">
        <v>69</v>
      </c>
      <c r="BG168" s="16" t="s">
        <v>821</v>
      </c>
      <c r="BH168" s="16">
        <v>15</v>
      </c>
      <c r="BI168" s="16">
        <v>10</v>
      </c>
      <c r="BJ168" s="16">
        <v>108.55</v>
      </c>
      <c r="BK168" s="16">
        <v>5.45</v>
      </c>
      <c r="BL168" s="16">
        <v>5</v>
      </c>
    </row>
    <row r="169" spans="1:64" x14ac:dyDescent="0.25">
      <c r="A169" s="24">
        <v>46277</v>
      </c>
      <c r="B169" s="16" t="s">
        <v>822</v>
      </c>
      <c r="C169" s="25">
        <v>21141</v>
      </c>
      <c r="D169" s="17" t="s">
        <v>823</v>
      </c>
      <c r="F169" s="25">
        <v>19344</v>
      </c>
      <c r="G169" s="25">
        <v>292029198</v>
      </c>
      <c r="H169" s="16" t="s">
        <v>64</v>
      </c>
      <c r="I169" s="16" t="s">
        <v>65</v>
      </c>
      <c r="J169" s="16" t="s">
        <v>66</v>
      </c>
      <c r="K169" s="17">
        <v>4259</v>
      </c>
      <c r="L169" t="s">
        <v>824</v>
      </c>
      <c r="M169" t="s">
        <v>825</v>
      </c>
      <c r="N169" t="s">
        <v>69</v>
      </c>
      <c r="O169" s="16" t="s">
        <v>70</v>
      </c>
      <c r="P169" t="s">
        <v>175</v>
      </c>
      <c r="Q169" s="19">
        <v>111.1</v>
      </c>
      <c r="R169" t="s">
        <v>72</v>
      </c>
      <c r="S169" s="19">
        <v>11.11</v>
      </c>
      <c r="T169" s="19">
        <v>28</v>
      </c>
      <c r="U169" s="19">
        <v>20.100000000000001</v>
      </c>
      <c r="V169" s="19">
        <v>127.99</v>
      </c>
      <c r="W169" s="19">
        <v>139.1</v>
      </c>
      <c r="X169" t="s">
        <v>73</v>
      </c>
      <c r="Y169" s="20">
        <v>0.05</v>
      </c>
      <c r="Z169" s="19">
        <v>5.56</v>
      </c>
      <c r="AA169" s="19">
        <v>133.55000000000001</v>
      </c>
      <c r="AB169" s="19">
        <v>5.56</v>
      </c>
      <c r="AC169" t="s">
        <v>73</v>
      </c>
      <c r="AD169" s="19">
        <v>4.55</v>
      </c>
      <c r="AE169" s="19">
        <v>1.01</v>
      </c>
      <c r="AF169" s="19">
        <v>5.56</v>
      </c>
      <c r="AG169" s="19">
        <v>0.1</v>
      </c>
      <c r="AH169" s="19">
        <v>127.89</v>
      </c>
      <c r="AI169" s="19">
        <v>5.56</v>
      </c>
      <c r="AJ169" t="s">
        <v>73</v>
      </c>
      <c r="AK169" s="19">
        <v>36</v>
      </c>
      <c r="AL169" s="19">
        <v>133.55000000000001</v>
      </c>
      <c r="AM169" t="b">
        <f t="shared" si="12"/>
        <v>1</v>
      </c>
      <c r="AN169" s="21">
        <f t="shared" si="13"/>
        <v>0</v>
      </c>
      <c r="AO169" s="19">
        <f t="shared" si="14"/>
        <v>4.9999999999998934E-3</v>
      </c>
      <c r="AP169" s="22">
        <v>43</v>
      </c>
      <c r="AQ169" s="18">
        <f t="shared" si="15"/>
        <v>28</v>
      </c>
      <c r="AR169" s="18">
        <f t="shared" si="16"/>
        <v>5</v>
      </c>
      <c r="AS169" s="23">
        <f t="shared" si="17"/>
        <v>10</v>
      </c>
      <c r="AT169" s="24">
        <v>46277.543749999997</v>
      </c>
      <c r="AU169" s="16" t="s">
        <v>824</v>
      </c>
      <c r="AV169" s="16">
        <v>292029198</v>
      </c>
      <c r="AW169" s="16">
        <v>739976780</v>
      </c>
      <c r="AX169" s="16" t="s">
        <v>826</v>
      </c>
      <c r="AY169" s="16">
        <v>139.10000610351563</v>
      </c>
      <c r="AZ169" s="16">
        <v>111.1</v>
      </c>
      <c r="BA169" s="16">
        <v>5</v>
      </c>
      <c r="BB169" s="16">
        <v>5.5549999999999997</v>
      </c>
      <c r="BC169" s="16">
        <v>43</v>
      </c>
      <c r="BD169" s="16">
        <v>5</v>
      </c>
      <c r="BE169" s="16">
        <v>26</v>
      </c>
      <c r="BF169" s="16" t="s">
        <v>69</v>
      </c>
      <c r="BG169" s="16" t="s">
        <v>827</v>
      </c>
      <c r="BH169" s="16">
        <v>15</v>
      </c>
      <c r="BI169" s="16">
        <v>10</v>
      </c>
      <c r="BJ169" s="16">
        <v>138.54500610351562</v>
      </c>
      <c r="BK169" s="16">
        <v>5.5549999999999997</v>
      </c>
      <c r="BL169" s="16">
        <v>33</v>
      </c>
    </row>
    <row r="170" spans="1:64" x14ac:dyDescent="0.25">
      <c r="A170" s="24">
        <v>46277</v>
      </c>
      <c r="B170" s="16" t="s">
        <v>828</v>
      </c>
      <c r="C170" s="25">
        <v>79725</v>
      </c>
      <c r="F170" s="25">
        <v>19345</v>
      </c>
      <c r="G170" s="25">
        <v>292033801</v>
      </c>
      <c r="H170" s="16" t="s">
        <v>64</v>
      </c>
      <c r="I170" s="16" t="s">
        <v>65</v>
      </c>
      <c r="J170" s="16" t="s">
        <v>66</v>
      </c>
      <c r="K170" s="17">
        <v>11562</v>
      </c>
      <c r="L170" t="s">
        <v>416</v>
      </c>
      <c r="M170" t="s">
        <v>829</v>
      </c>
      <c r="N170" t="s">
        <v>69</v>
      </c>
      <c r="O170" s="16" t="s">
        <v>70</v>
      </c>
      <c r="P170" t="s">
        <v>79</v>
      </c>
      <c r="Q170" s="19">
        <v>176</v>
      </c>
      <c r="R170" t="s">
        <v>72</v>
      </c>
      <c r="S170" s="19">
        <v>17.600000000000001</v>
      </c>
      <c r="T170" s="19">
        <v>2</v>
      </c>
      <c r="U170" s="19">
        <v>25.18</v>
      </c>
      <c r="V170" s="19">
        <v>160.4</v>
      </c>
      <c r="W170" s="19">
        <v>178</v>
      </c>
      <c r="X170" t="s">
        <v>73</v>
      </c>
      <c r="Y170" s="20">
        <v>0.05</v>
      </c>
      <c r="Z170" s="19">
        <v>8.8000000000000007</v>
      </c>
      <c r="AA170" s="19">
        <v>169.2</v>
      </c>
      <c r="AB170" s="19">
        <v>8.8000000000000007</v>
      </c>
      <c r="AC170" t="s">
        <v>73</v>
      </c>
      <c r="AD170" s="19">
        <v>7.54</v>
      </c>
      <c r="AE170" s="19">
        <v>1.26</v>
      </c>
      <c r="AF170" s="19">
        <v>8.8000000000000007</v>
      </c>
      <c r="AG170" s="19">
        <v>0</v>
      </c>
      <c r="AH170" s="19">
        <v>160.4</v>
      </c>
      <c r="AI170" s="19">
        <v>8.8000000000000007</v>
      </c>
      <c r="AJ170" t="s">
        <v>73</v>
      </c>
      <c r="AK170" s="19">
        <v>0</v>
      </c>
      <c r="AL170" s="19">
        <v>169.2</v>
      </c>
      <c r="AM170" t="b">
        <f t="shared" si="12"/>
        <v>1</v>
      </c>
      <c r="AN170" s="21">
        <f t="shared" si="13"/>
        <v>0</v>
      </c>
      <c r="AO170" s="19">
        <f t="shared" si="14"/>
        <v>0</v>
      </c>
      <c r="AP170" s="22">
        <v>17</v>
      </c>
      <c r="AQ170" s="18">
        <f t="shared" si="15"/>
        <v>2</v>
      </c>
      <c r="AR170" s="18">
        <f t="shared" si="16"/>
        <v>6.9</v>
      </c>
      <c r="AS170" s="23">
        <f t="shared" si="17"/>
        <v>8.1</v>
      </c>
      <c r="AT170" s="24">
        <v>46277.561111111114</v>
      </c>
      <c r="AU170" s="16" t="s">
        <v>418</v>
      </c>
      <c r="AV170" s="16">
        <v>292033801</v>
      </c>
      <c r="AW170" s="16">
        <v>739996082</v>
      </c>
      <c r="AX170" s="16" t="s">
        <v>830</v>
      </c>
      <c r="AY170" s="16">
        <v>178</v>
      </c>
      <c r="AZ170" s="16">
        <v>176</v>
      </c>
      <c r="BA170" s="16">
        <v>5</v>
      </c>
      <c r="BB170" s="16">
        <v>8.8000000000000007</v>
      </c>
      <c r="BC170" s="16">
        <v>17</v>
      </c>
      <c r="BD170" s="16">
        <v>6.9</v>
      </c>
      <c r="BE170" s="16">
        <v>1</v>
      </c>
      <c r="BF170" s="16" t="s">
        <v>69</v>
      </c>
      <c r="BG170" s="16" t="s">
        <v>831</v>
      </c>
      <c r="BH170" s="16">
        <v>15</v>
      </c>
      <c r="BI170" s="16">
        <v>8.1</v>
      </c>
      <c r="BJ170" s="16">
        <v>176.1</v>
      </c>
      <c r="BK170" s="16">
        <v>8.8000000000000007</v>
      </c>
      <c r="BL170" s="16">
        <v>8.9</v>
      </c>
    </row>
    <row r="171" spans="1:64" x14ac:dyDescent="0.25">
      <c r="A171" s="24">
        <v>46277</v>
      </c>
      <c r="B171" s="16" t="s">
        <v>832</v>
      </c>
      <c r="C171" s="25">
        <v>79732</v>
      </c>
      <c r="F171" s="25">
        <v>19346</v>
      </c>
      <c r="G171" s="25">
        <v>292066523</v>
      </c>
      <c r="H171" s="16" t="s">
        <v>64</v>
      </c>
      <c r="I171" s="16" t="s">
        <v>65</v>
      </c>
      <c r="J171" s="16" t="s">
        <v>66</v>
      </c>
      <c r="K171" s="17">
        <v>60</v>
      </c>
      <c r="L171" t="s">
        <v>833</v>
      </c>
      <c r="M171" t="s">
        <v>834</v>
      </c>
      <c r="N171" t="s">
        <v>69</v>
      </c>
      <c r="O171" s="16" t="s">
        <v>70</v>
      </c>
      <c r="P171" t="s">
        <v>246</v>
      </c>
      <c r="Q171" s="19">
        <v>31.5</v>
      </c>
      <c r="R171" t="s">
        <v>72</v>
      </c>
      <c r="S171" s="19">
        <v>3.15</v>
      </c>
      <c r="T171" s="19">
        <v>17</v>
      </c>
      <c r="U171" s="19">
        <v>6.33</v>
      </c>
      <c r="V171" s="19">
        <v>45.35</v>
      </c>
      <c r="W171" s="19">
        <v>48.5</v>
      </c>
      <c r="X171" t="s">
        <v>73</v>
      </c>
      <c r="Y171" s="20">
        <v>5.0200000000000002E-2</v>
      </c>
      <c r="Z171" s="19">
        <v>1.58</v>
      </c>
      <c r="AA171" s="19">
        <v>46.93</v>
      </c>
      <c r="AB171" s="19">
        <v>1.58</v>
      </c>
      <c r="AC171" t="s">
        <v>73</v>
      </c>
      <c r="AD171" s="19">
        <v>1.26</v>
      </c>
      <c r="AE171" s="19">
        <v>0.32</v>
      </c>
      <c r="AF171" s="19">
        <v>1.58</v>
      </c>
      <c r="AG171" s="19">
        <v>0</v>
      </c>
      <c r="AH171" s="19">
        <v>45.35</v>
      </c>
      <c r="AI171" s="19">
        <v>1.58</v>
      </c>
      <c r="AJ171" t="s">
        <v>73</v>
      </c>
      <c r="AK171" s="19">
        <v>0</v>
      </c>
      <c r="AL171" s="19">
        <v>46.93</v>
      </c>
      <c r="AM171" t="b">
        <f t="shared" si="12"/>
        <v>1</v>
      </c>
      <c r="AN171" s="21">
        <f t="shared" si="13"/>
        <v>-1.9999999999999879E-4</v>
      </c>
      <c r="AO171" s="19">
        <f t="shared" si="14"/>
        <v>5.0000000000001155E-3</v>
      </c>
      <c r="AP171" s="22">
        <v>17</v>
      </c>
      <c r="AQ171" s="18">
        <f t="shared" si="15"/>
        <v>17</v>
      </c>
      <c r="AR171" s="18">
        <f t="shared" si="16"/>
        <v>0</v>
      </c>
      <c r="AS171" s="23">
        <f t="shared" si="17"/>
        <v>0</v>
      </c>
      <c r="AT171" s="24">
        <v>46277.677777777775</v>
      </c>
      <c r="AU171" s="16" t="s">
        <v>835</v>
      </c>
      <c r="AV171" s="16">
        <v>292066523</v>
      </c>
      <c r="AW171" s="16">
        <v>740072259</v>
      </c>
      <c r="AX171" s="16" t="s">
        <v>405</v>
      </c>
      <c r="AY171" s="16">
        <v>48.5</v>
      </c>
      <c r="AZ171" s="16">
        <v>31.5</v>
      </c>
      <c r="BA171" s="16">
        <v>5</v>
      </c>
      <c r="BB171" s="16">
        <v>1.575</v>
      </c>
      <c r="BC171" s="16">
        <v>17</v>
      </c>
      <c r="BD171" s="16">
        <v>0</v>
      </c>
      <c r="BE171" s="16">
        <v>16</v>
      </c>
      <c r="BF171" s="16" t="s">
        <v>69</v>
      </c>
      <c r="BG171" s="16" t="s">
        <v>836</v>
      </c>
      <c r="BH171" s="16">
        <v>0</v>
      </c>
      <c r="BI171" s="16">
        <v>0</v>
      </c>
      <c r="BJ171" s="16">
        <v>46.924999999999997</v>
      </c>
      <c r="BK171" s="16">
        <v>1.575</v>
      </c>
      <c r="BL171" s="16">
        <v>17</v>
      </c>
    </row>
    <row r="172" spans="1:64" x14ac:dyDescent="0.25">
      <c r="A172" s="24">
        <v>46277</v>
      </c>
      <c r="B172" s="16" t="s">
        <v>837</v>
      </c>
      <c r="C172" s="25">
        <v>5</v>
      </c>
      <c r="D172" s="17" t="s">
        <v>229</v>
      </c>
      <c r="F172" s="25">
        <v>19347</v>
      </c>
      <c r="G172" s="25">
        <v>292069409</v>
      </c>
      <c r="H172" s="16" t="s">
        <v>64</v>
      </c>
      <c r="I172" s="16" t="s">
        <v>65</v>
      </c>
      <c r="J172" s="16" t="s">
        <v>66</v>
      </c>
      <c r="K172" s="17">
        <v>1586</v>
      </c>
      <c r="L172" t="s">
        <v>452</v>
      </c>
      <c r="M172" t="s">
        <v>838</v>
      </c>
      <c r="N172" t="s">
        <v>69</v>
      </c>
      <c r="O172" s="16" t="s">
        <v>70</v>
      </c>
      <c r="P172" t="s">
        <v>246</v>
      </c>
      <c r="Q172" s="19">
        <v>47</v>
      </c>
      <c r="R172" t="s">
        <v>73</v>
      </c>
      <c r="S172" s="19">
        <v>0</v>
      </c>
      <c r="T172" s="19">
        <v>17</v>
      </c>
      <c r="U172" s="19">
        <v>8.35</v>
      </c>
      <c r="V172" s="19">
        <v>64</v>
      </c>
      <c r="W172" s="19">
        <v>64</v>
      </c>
      <c r="X172" t="s">
        <v>73</v>
      </c>
      <c r="Y172" s="20">
        <v>0.05</v>
      </c>
      <c r="Z172" s="19">
        <v>2.35</v>
      </c>
      <c r="AA172" s="19">
        <v>61.65</v>
      </c>
      <c r="AB172" s="19">
        <v>2.35</v>
      </c>
      <c r="AC172" t="s">
        <v>73</v>
      </c>
      <c r="AD172" s="19">
        <v>1.93</v>
      </c>
      <c r="AE172" s="19">
        <v>0.42</v>
      </c>
      <c r="AF172" s="19">
        <v>2.35</v>
      </c>
      <c r="AG172" s="19">
        <v>0</v>
      </c>
      <c r="AH172" s="19">
        <v>64</v>
      </c>
      <c r="AI172" s="19">
        <v>2.35</v>
      </c>
      <c r="AJ172" t="s">
        <v>73</v>
      </c>
      <c r="AK172" s="19">
        <v>0</v>
      </c>
      <c r="AL172" s="19">
        <v>61.65</v>
      </c>
      <c r="AM172" t="b">
        <f t="shared" si="12"/>
        <v>1</v>
      </c>
      <c r="AN172" s="21">
        <f t="shared" si="13"/>
        <v>0</v>
      </c>
      <c r="AO172" s="19">
        <f t="shared" si="14"/>
        <v>0</v>
      </c>
      <c r="AP172" s="22">
        <v>17</v>
      </c>
      <c r="AQ172" s="18">
        <f t="shared" si="15"/>
        <v>17</v>
      </c>
      <c r="AR172" s="18">
        <f t="shared" si="16"/>
        <v>0</v>
      </c>
      <c r="AS172" s="23">
        <f t="shared" si="17"/>
        <v>0</v>
      </c>
      <c r="AT172" s="24">
        <v>46277.688888888886</v>
      </c>
      <c r="AU172" s="16" t="s">
        <v>454</v>
      </c>
      <c r="AV172" s="16">
        <v>292069409</v>
      </c>
      <c r="AW172" s="16">
        <v>740085791</v>
      </c>
      <c r="AX172" s="16" t="s">
        <v>233</v>
      </c>
      <c r="AY172" s="16">
        <v>64</v>
      </c>
      <c r="AZ172" s="16">
        <v>47</v>
      </c>
      <c r="BA172" s="16">
        <v>5</v>
      </c>
      <c r="BB172" s="16">
        <v>2.35</v>
      </c>
      <c r="BC172" s="16">
        <v>17</v>
      </c>
      <c r="BD172" s="16">
        <v>0</v>
      </c>
      <c r="BE172" s="16">
        <v>16</v>
      </c>
      <c r="BF172" s="16" t="s">
        <v>69</v>
      </c>
      <c r="BG172" s="16" t="s">
        <v>839</v>
      </c>
      <c r="BH172" s="16">
        <v>0</v>
      </c>
      <c r="BI172" s="16">
        <v>0</v>
      </c>
      <c r="BJ172" s="16">
        <v>61.65</v>
      </c>
      <c r="BK172" s="16">
        <v>2.35</v>
      </c>
      <c r="BL172" s="16">
        <v>17</v>
      </c>
    </row>
    <row r="173" spans="1:64" x14ac:dyDescent="0.25">
      <c r="A173" s="24">
        <v>46277</v>
      </c>
      <c r="B173" s="16" t="s">
        <v>840</v>
      </c>
      <c r="C173" s="25">
        <v>24864</v>
      </c>
      <c r="F173" s="25">
        <v>19348</v>
      </c>
      <c r="G173" s="25">
        <v>292083696</v>
      </c>
      <c r="H173" s="16" t="s">
        <v>64</v>
      </c>
      <c r="I173" s="16" t="s">
        <v>65</v>
      </c>
      <c r="J173" s="16" t="s">
        <v>66</v>
      </c>
      <c r="K173" s="17">
        <v>20</v>
      </c>
      <c r="L173" t="s">
        <v>118</v>
      </c>
      <c r="M173" t="s">
        <v>841</v>
      </c>
      <c r="N173" t="s">
        <v>69</v>
      </c>
      <c r="O173" s="16" t="s">
        <v>70</v>
      </c>
      <c r="P173" t="s">
        <v>71</v>
      </c>
      <c r="Q173" s="19">
        <v>49</v>
      </c>
      <c r="R173" t="s">
        <v>72</v>
      </c>
      <c r="S173" s="19">
        <v>4.9000000000000004</v>
      </c>
      <c r="T173" s="19">
        <v>9</v>
      </c>
      <c r="U173" s="19">
        <v>8.35</v>
      </c>
      <c r="V173" s="19">
        <v>53.1</v>
      </c>
      <c r="W173" s="19">
        <v>58</v>
      </c>
      <c r="X173" t="s">
        <v>73</v>
      </c>
      <c r="Y173" s="20">
        <v>0.04</v>
      </c>
      <c r="Z173" s="19">
        <v>1.96</v>
      </c>
      <c r="AA173" s="19">
        <v>56.04</v>
      </c>
      <c r="AB173" s="19">
        <v>1.96</v>
      </c>
      <c r="AC173" t="s">
        <v>73</v>
      </c>
      <c r="AD173" s="19">
        <v>1.63</v>
      </c>
      <c r="AE173" s="19">
        <v>0.33</v>
      </c>
      <c r="AF173" s="19">
        <v>1.96</v>
      </c>
      <c r="AG173" s="19">
        <v>25.25</v>
      </c>
      <c r="AH173" s="19">
        <v>27.85</v>
      </c>
      <c r="AI173" s="19">
        <v>1.96</v>
      </c>
      <c r="AJ173" t="s">
        <v>73</v>
      </c>
      <c r="AK173" s="19">
        <v>0</v>
      </c>
      <c r="AL173" s="19">
        <v>56.04</v>
      </c>
      <c r="AM173" t="b">
        <f t="shared" si="12"/>
        <v>1</v>
      </c>
      <c r="AN173" s="21">
        <f t="shared" si="13"/>
        <v>0</v>
      </c>
      <c r="AO173" s="19">
        <f t="shared" si="14"/>
        <v>0</v>
      </c>
      <c r="AP173" s="22">
        <v>15</v>
      </c>
      <c r="AQ173" s="18">
        <f t="shared" si="15"/>
        <v>9</v>
      </c>
      <c r="AR173" s="18">
        <f t="shared" si="16"/>
        <v>6</v>
      </c>
      <c r="AS173" s="23">
        <f t="shared" si="17"/>
        <v>0</v>
      </c>
      <c r="AT173" s="24">
        <v>46277.724999999999</v>
      </c>
      <c r="AU173" s="16" t="s">
        <v>120</v>
      </c>
      <c r="AV173" s="16">
        <v>292083696</v>
      </c>
      <c r="AW173" s="16">
        <v>740108102</v>
      </c>
      <c r="AX173" s="16" t="s">
        <v>625</v>
      </c>
      <c r="AY173" s="16">
        <v>58</v>
      </c>
      <c r="AZ173" s="16">
        <v>49</v>
      </c>
      <c r="BA173" s="16">
        <v>4</v>
      </c>
      <c r="BB173" s="16">
        <v>1.96</v>
      </c>
      <c r="BC173" s="16">
        <v>15</v>
      </c>
      <c r="BD173" s="16">
        <v>6</v>
      </c>
      <c r="BE173" s="16">
        <v>8</v>
      </c>
      <c r="BF173" s="16" t="s">
        <v>69</v>
      </c>
      <c r="BG173" s="16" t="s">
        <v>842</v>
      </c>
      <c r="BH173" s="16">
        <v>6</v>
      </c>
      <c r="BI173" s="16">
        <v>0</v>
      </c>
      <c r="BJ173" s="16">
        <v>62.04</v>
      </c>
      <c r="BK173" s="16">
        <v>1.96</v>
      </c>
      <c r="BL173" s="16">
        <v>15</v>
      </c>
    </row>
    <row r="174" spans="1:64" x14ac:dyDescent="0.25">
      <c r="A174" s="24">
        <v>46277</v>
      </c>
      <c r="B174" s="16" t="s">
        <v>843</v>
      </c>
      <c r="C174" s="25">
        <v>75181</v>
      </c>
      <c r="F174" s="25">
        <v>19349</v>
      </c>
      <c r="G174" s="25">
        <v>292090402</v>
      </c>
      <c r="H174" s="16" t="s">
        <v>64</v>
      </c>
      <c r="I174" s="16" t="s">
        <v>65</v>
      </c>
      <c r="J174" s="16" t="s">
        <v>66</v>
      </c>
      <c r="K174" s="17">
        <v>11567</v>
      </c>
      <c r="L174" t="s">
        <v>844</v>
      </c>
      <c r="M174" t="s">
        <v>845</v>
      </c>
      <c r="N174" t="s">
        <v>69</v>
      </c>
      <c r="O174" s="16" t="s">
        <v>70</v>
      </c>
      <c r="P174" t="s">
        <v>246</v>
      </c>
      <c r="Q174" s="19">
        <v>54</v>
      </c>
      <c r="R174" t="s">
        <v>72</v>
      </c>
      <c r="S174" s="19">
        <v>5.4</v>
      </c>
      <c r="T174" s="19">
        <v>7</v>
      </c>
      <c r="U174" s="19">
        <v>9.91</v>
      </c>
      <c r="V174" s="19">
        <v>55.6</v>
      </c>
      <c r="W174" s="19">
        <v>61</v>
      </c>
      <c r="X174" t="s">
        <v>73</v>
      </c>
      <c r="Y174" s="20">
        <v>0.05</v>
      </c>
      <c r="Z174" s="19">
        <v>2.7</v>
      </c>
      <c r="AA174" s="19">
        <v>58.3</v>
      </c>
      <c r="AB174" s="19">
        <v>2.7</v>
      </c>
      <c r="AC174" t="s">
        <v>73</v>
      </c>
      <c r="AD174" s="19">
        <v>2.2000000000000002</v>
      </c>
      <c r="AE174" s="19">
        <v>0.5</v>
      </c>
      <c r="AF174" s="19">
        <v>2.7</v>
      </c>
      <c r="AG174" s="19">
        <v>0</v>
      </c>
      <c r="AH174" s="19">
        <v>55.6</v>
      </c>
      <c r="AI174" s="19">
        <v>2.7</v>
      </c>
      <c r="AJ174" t="s">
        <v>73</v>
      </c>
      <c r="AK174" s="19">
        <v>0</v>
      </c>
      <c r="AL174" s="19">
        <v>58.3</v>
      </c>
      <c r="AM174" t="b">
        <f t="shared" si="12"/>
        <v>1</v>
      </c>
      <c r="AN174" s="21">
        <f t="shared" si="13"/>
        <v>0</v>
      </c>
      <c r="AO174" s="19">
        <f t="shared" si="14"/>
        <v>0</v>
      </c>
      <c r="AP174" s="22">
        <v>22</v>
      </c>
      <c r="AQ174" s="18">
        <f t="shared" si="15"/>
        <v>7</v>
      </c>
      <c r="AR174" s="18">
        <f t="shared" si="16"/>
        <v>4.9499999999999993</v>
      </c>
      <c r="AS174" s="23">
        <f t="shared" si="17"/>
        <v>10.050000000000001</v>
      </c>
      <c r="AT174" s="24">
        <v>46277.745138888888</v>
      </c>
      <c r="AU174" s="16" t="s">
        <v>844</v>
      </c>
      <c r="AV174" s="16">
        <v>292090402</v>
      </c>
      <c r="AW174" s="16">
        <v>740130188</v>
      </c>
      <c r="AX174" s="16" t="s">
        <v>846</v>
      </c>
      <c r="AY174" s="16">
        <v>61</v>
      </c>
      <c r="AZ174" s="16">
        <v>54</v>
      </c>
      <c r="BA174" s="16">
        <v>5</v>
      </c>
      <c r="BB174" s="16">
        <v>2.7</v>
      </c>
      <c r="BC174" s="16">
        <v>22</v>
      </c>
      <c r="BD174" s="16">
        <v>4.95</v>
      </c>
      <c r="BE174" s="16">
        <v>6</v>
      </c>
      <c r="BF174" s="16" t="s">
        <v>69</v>
      </c>
      <c r="BG174" s="16" t="s">
        <v>847</v>
      </c>
      <c r="BH174" s="16">
        <v>15</v>
      </c>
      <c r="BI174" s="16">
        <v>10.050000000000001</v>
      </c>
      <c r="BJ174" s="16">
        <v>63.25</v>
      </c>
      <c r="BK174" s="16">
        <v>2.7</v>
      </c>
      <c r="BL174" s="16">
        <v>11.95</v>
      </c>
    </row>
    <row r="175" spans="1:64" x14ac:dyDescent="0.25">
      <c r="A175" s="24">
        <v>46277</v>
      </c>
      <c r="B175" s="16" t="s">
        <v>848</v>
      </c>
      <c r="C175" s="25">
        <v>79737</v>
      </c>
      <c r="F175" s="25">
        <v>19351</v>
      </c>
      <c r="G175" s="25">
        <v>292096139</v>
      </c>
      <c r="H175" s="16" t="s">
        <v>64</v>
      </c>
      <c r="I175" s="16" t="s">
        <v>65</v>
      </c>
      <c r="J175" s="16" t="s">
        <v>66</v>
      </c>
      <c r="K175" s="17">
        <v>123</v>
      </c>
      <c r="L175" t="s">
        <v>849</v>
      </c>
      <c r="M175" t="s">
        <v>850</v>
      </c>
      <c r="N175" t="s">
        <v>69</v>
      </c>
      <c r="O175" s="16" t="s">
        <v>70</v>
      </c>
      <c r="P175" t="s">
        <v>246</v>
      </c>
      <c r="Q175" s="19">
        <v>31</v>
      </c>
      <c r="R175" t="s">
        <v>72</v>
      </c>
      <c r="S175" s="19">
        <v>3.1</v>
      </c>
      <c r="T175" s="19">
        <v>15</v>
      </c>
      <c r="U175" s="19">
        <v>6</v>
      </c>
      <c r="V175" s="19">
        <v>42.9</v>
      </c>
      <c r="W175" s="19">
        <v>46</v>
      </c>
      <c r="X175" t="s">
        <v>73</v>
      </c>
      <c r="Y175" s="20">
        <v>0.05</v>
      </c>
      <c r="Z175" s="19">
        <v>1.55</v>
      </c>
      <c r="AA175" s="19">
        <v>44.45</v>
      </c>
      <c r="AB175" s="19">
        <v>1.55</v>
      </c>
      <c r="AC175" t="s">
        <v>73</v>
      </c>
      <c r="AD175" s="19">
        <v>1.25</v>
      </c>
      <c r="AE175" s="19">
        <v>0.3</v>
      </c>
      <c r="AF175" s="19">
        <v>1.55</v>
      </c>
      <c r="AG175" s="19">
        <v>0</v>
      </c>
      <c r="AH175" s="19">
        <v>42.9</v>
      </c>
      <c r="AI175" s="19">
        <v>1.55</v>
      </c>
      <c r="AJ175" t="s">
        <v>73</v>
      </c>
      <c r="AK175" s="19">
        <v>0</v>
      </c>
      <c r="AL175" s="19">
        <v>44.45</v>
      </c>
      <c r="AM175" t="b">
        <f t="shared" si="12"/>
        <v>1</v>
      </c>
      <c r="AN175" s="21">
        <f t="shared" si="13"/>
        <v>0</v>
      </c>
      <c r="AO175" s="19">
        <f t="shared" si="14"/>
        <v>0</v>
      </c>
      <c r="AP175" s="22">
        <v>15</v>
      </c>
      <c r="AQ175" s="18">
        <f t="shared" si="15"/>
        <v>15</v>
      </c>
      <c r="AR175" s="18">
        <f t="shared" si="16"/>
        <v>0</v>
      </c>
      <c r="AS175" s="23">
        <f t="shared" si="17"/>
        <v>0</v>
      </c>
      <c r="AT175" s="24">
        <v>46277.754861111112</v>
      </c>
      <c r="AU175" s="16" t="s">
        <v>851</v>
      </c>
      <c r="AV175" s="16">
        <v>292096139</v>
      </c>
      <c r="AW175" s="16">
        <v>740141843</v>
      </c>
      <c r="AX175" s="16" t="s">
        <v>852</v>
      </c>
      <c r="AY175" s="16">
        <v>46</v>
      </c>
      <c r="AZ175" s="16">
        <v>31</v>
      </c>
      <c r="BA175" s="16">
        <v>5</v>
      </c>
      <c r="BB175" s="16">
        <v>1.55</v>
      </c>
      <c r="BC175" s="16">
        <v>15</v>
      </c>
      <c r="BD175" s="16">
        <v>0</v>
      </c>
      <c r="BE175" s="16">
        <v>14</v>
      </c>
      <c r="BF175" s="16" t="s">
        <v>69</v>
      </c>
      <c r="BG175" s="16" t="s">
        <v>853</v>
      </c>
      <c r="BH175" s="16">
        <v>0</v>
      </c>
      <c r="BI175" s="16">
        <v>0</v>
      </c>
      <c r="BJ175" s="16">
        <v>44.45</v>
      </c>
      <c r="BK175" s="16">
        <v>1.55</v>
      </c>
      <c r="BL175" s="16">
        <v>15</v>
      </c>
    </row>
    <row r="176" spans="1:64" x14ac:dyDescent="0.25">
      <c r="A176" s="24">
        <v>46277</v>
      </c>
      <c r="B176" s="16" t="s">
        <v>854</v>
      </c>
      <c r="C176" s="25">
        <v>79745</v>
      </c>
      <c r="F176" s="25">
        <v>19354</v>
      </c>
      <c r="G176" s="25">
        <v>292110917</v>
      </c>
      <c r="H176" s="16" t="s">
        <v>64</v>
      </c>
      <c r="I176" s="16" t="s">
        <v>65</v>
      </c>
      <c r="J176" s="16" t="s">
        <v>66</v>
      </c>
      <c r="K176" s="17">
        <v>179</v>
      </c>
      <c r="L176" t="s">
        <v>491</v>
      </c>
      <c r="M176" t="s">
        <v>855</v>
      </c>
      <c r="N176" t="s">
        <v>69</v>
      </c>
      <c r="O176" s="16" t="s">
        <v>70</v>
      </c>
      <c r="P176" t="s">
        <v>86</v>
      </c>
      <c r="Q176" s="19">
        <v>142</v>
      </c>
      <c r="R176" t="s">
        <v>72</v>
      </c>
      <c r="S176" s="19">
        <v>14.2</v>
      </c>
      <c r="T176" s="19">
        <v>15</v>
      </c>
      <c r="U176" s="19">
        <v>20.48</v>
      </c>
      <c r="V176" s="19">
        <v>142.80000000000001</v>
      </c>
      <c r="W176" s="19">
        <v>157</v>
      </c>
      <c r="X176" t="s">
        <v>73</v>
      </c>
      <c r="Y176" s="20">
        <v>4.4999999999999998E-2</v>
      </c>
      <c r="Z176" s="19">
        <v>6.39</v>
      </c>
      <c r="AA176" s="19">
        <v>150.61000000000001</v>
      </c>
      <c r="AB176" s="19">
        <v>6.39</v>
      </c>
      <c r="AC176" t="s">
        <v>73</v>
      </c>
      <c r="AD176" s="19">
        <v>5.47</v>
      </c>
      <c r="AE176" s="19">
        <v>0.92</v>
      </c>
      <c r="AF176" s="19">
        <v>6.39</v>
      </c>
      <c r="AG176" s="19">
        <v>0</v>
      </c>
      <c r="AH176" s="19">
        <v>142.80000000000001</v>
      </c>
      <c r="AI176" s="19">
        <v>6.39</v>
      </c>
      <c r="AJ176" t="s">
        <v>73</v>
      </c>
      <c r="AK176" s="19">
        <v>0</v>
      </c>
      <c r="AL176" s="19">
        <v>150.61000000000001</v>
      </c>
      <c r="AM176" t="b">
        <f t="shared" si="12"/>
        <v>1</v>
      </c>
      <c r="AN176" s="21">
        <f t="shared" si="13"/>
        <v>0</v>
      </c>
      <c r="AO176" s="19">
        <f t="shared" si="14"/>
        <v>0</v>
      </c>
      <c r="AP176" s="22">
        <v>15</v>
      </c>
      <c r="AQ176" s="18">
        <f t="shared" si="15"/>
        <v>15</v>
      </c>
      <c r="AR176" s="18">
        <f t="shared" si="16"/>
        <v>0</v>
      </c>
      <c r="AS176" s="23">
        <f t="shared" si="17"/>
        <v>0</v>
      </c>
      <c r="AT176" s="24">
        <v>46277.802083333336</v>
      </c>
      <c r="AU176" s="16" t="s">
        <v>493</v>
      </c>
      <c r="AV176" s="16">
        <v>292110917</v>
      </c>
      <c r="AW176" s="16">
        <v>740177776</v>
      </c>
      <c r="AX176" s="16" t="s">
        <v>856</v>
      </c>
      <c r="AY176" s="16">
        <v>157</v>
      </c>
      <c r="AZ176" s="16">
        <v>142</v>
      </c>
      <c r="BA176" s="16">
        <v>4.5</v>
      </c>
      <c r="BB176" s="16">
        <v>6.39</v>
      </c>
      <c r="BC176" s="16">
        <v>15</v>
      </c>
      <c r="BD176" s="16">
        <v>0</v>
      </c>
      <c r="BE176" s="16">
        <v>14</v>
      </c>
      <c r="BF176" s="16" t="s">
        <v>69</v>
      </c>
      <c r="BG176" s="16" t="s">
        <v>857</v>
      </c>
      <c r="BH176" s="16">
        <v>0</v>
      </c>
      <c r="BI176" s="16">
        <v>0</v>
      </c>
      <c r="BJ176" s="16">
        <v>150.61000000000001</v>
      </c>
      <c r="BK176" s="16">
        <v>6.39</v>
      </c>
      <c r="BL176" s="16">
        <v>15</v>
      </c>
    </row>
    <row r="177" spans="1:64" x14ac:dyDescent="0.25">
      <c r="A177" s="24">
        <v>46277</v>
      </c>
      <c r="B177" s="16" t="s">
        <v>858</v>
      </c>
      <c r="C177" s="25">
        <v>24782</v>
      </c>
      <c r="D177" s="17" t="s">
        <v>859</v>
      </c>
      <c r="F177" s="25">
        <v>19355</v>
      </c>
      <c r="G177" s="25">
        <v>292111761</v>
      </c>
      <c r="H177" s="16" t="s">
        <v>64</v>
      </c>
      <c r="I177" s="16" t="s">
        <v>65</v>
      </c>
      <c r="J177" s="16" t="s">
        <v>66</v>
      </c>
      <c r="K177" s="17">
        <v>3172</v>
      </c>
      <c r="L177" t="s">
        <v>774</v>
      </c>
      <c r="M177" t="s">
        <v>860</v>
      </c>
      <c r="N177" t="s">
        <v>69</v>
      </c>
      <c r="O177" s="16" t="s">
        <v>70</v>
      </c>
      <c r="P177" t="s">
        <v>71</v>
      </c>
      <c r="Q177" s="19">
        <v>45</v>
      </c>
      <c r="R177" t="s">
        <v>72</v>
      </c>
      <c r="S177" s="19">
        <v>4.5</v>
      </c>
      <c r="T177" s="19">
        <v>0</v>
      </c>
      <c r="U177" s="19">
        <v>7.83</v>
      </c>
      <c r="V177" s="19">
        <v>40.5</v>
      </c>
      <c r="W177" s="19">
        <v>45</v>
      </c>
      <c r="X177" t="s">
        <v>73</v>
      </c>
      <c r="Y177" s="20">
        <v>0.05</v>
      </c>
      <c r="Z177" s="19">
        <v>2.25</v>
      </c>
      <c r="AA177" s="19">
        <v>42.75</v>
      </c>
      <c r="AB177" s="19">
        <v>2.25</v>
      </c>
      <c r="AC177" t="s">
        <v>73</v>
      </c>
      <c r="AD177" s="19">
        <v>1.86</v>
      </c>
      <c r="AE177" s="19">
        <v>0.39</v>
      </c>
      <c r="AF177" s="19">
        <v>2.25</v>
      </c>
      <c r="AG177" s="19">
        <v>0.42</v>
      </c>
      <c r="AH177" s="19">
        <v>40.08</v>
      </c>
      <c r="AI177" s="19">
        <v>2.25</v>
      </c>
      <c r="AJ177" t="s">
        <v>73</v>
      </c>
      <c r="AK177" s="19">
        <v>0</v>
      </c>
      <c r="AL177" s="19">
        <v>42.75</v>
      </c>
      <c r="AM177" t="b">
        <f t="shared" si="12"/>
        <v>1</v>
      </c>
      <c r="AN177" s="21">
        <f t="shared" si="13"/>
        <v>0</v>
      </c>
      <c r="AO177" s="19">
        <f t="shared" si="14"/>
        <v>0</v>
      </c>
      <c r="AP177" s="22">
        <v>15</v>
      </c>
      <c r="AQ177" s="18">
        <f t="shared" si="15"/>
        <v>0</v>
      </c>
      <c r="AR177" s="18">
        <f t="shared" si="16"/>
        <v>8</v>
      </c>
      <c r="AS177" s="23">
        <f t="shared" si="17"/>
        <v>7</v>
      </c>
      <c r="AT177" s="24">
        <v>46277.800694444442</v>
      </c>
      <c r="AU177" s="16" t="s">
        <v>776</v>
      </c>
      <c r="AV177" s="16">
        <v>292111761</v>
      </c>
      <c r="AW177" s="16">
        <v>740181652</v>
      </c>
      <c r="AX177" s="16" t="s">
        <v>106</v>
      </c>
      <c r="AY177" s="16">
        <v>45</v>
      </c>
      <c r="AZ177" s="16">
        <v>45</v>
      </c>
      <c r="BA177" s="16">
        <v>5</v>
      </c>
      <c r="BB177" s="16">
        <v>2.25</v>
      </c>
      <c r="BC177" s="16">
        <v>15</v>
      </c>
      <c r="BD177" s="16">
        <v>8</v>
      </c>
      <c r="BE177" s="16">
        <v>0</v>
      </c>
      <c r="BF177" s="16" t="s">
        <v>69</v>
      </c>
      <c r="BG177" s="16" t="s">
        <v>861</v>
      </c>
      <c r="BH177" s="16">
        <v>15</v>
      </c>
      <c r="BI177" s="16">
        <v>7</v>
      </c>
      <c r="BJ177" s="16">
        <v>50.75</v>
      </c>
      <c r="BK177" s="16">
        <v>2.25</v>
      </c>
      <c r="BL177" s="16">
        <v>8</v>
      </c>
    </row>
    <row r="178" spans="1:64" x14ac:dyDescent="0.25">
      <c r="A178" s="24">
        <v>46277</v>
      </c>
      <c r="B178" s="16" t="s">
        <v>862</v>
      </c>
      <c r="C178" s="25">
        <v>69902</v>
      </c>
      <c r="F178" s="25">
        <v>19356</v>
      </c>
      <c r="G178" s="25">
        <v>292113013</v>
      </c>
      <c r="H178" s="16" t="s">
        <v>64</v>
      </c>
      <c r="I178" s="16" t="s">
        <v>65</v>
      </c>
      <c r="J178" s="16" t="s">
        <v>66</v>
      </c>
      <c r="K178" s="17">
        <v>16337</v>
      </c>
      <c r="L178" t="s">
        <v>863</v>
      </c>
      <c r="M178" t="s">
        <v>864</v>
      </c>
      <c r="N178" t="s">
        <v>69</v>
      </c>
      <c r="O178" s="16" t="s">
        <v>70</v>
      </c>
      <c r="P178" t="s">
        <v>71</v>
      </c>
      <c r="Q178" s="19">
        <v>115</v>
      </c>
      <c r="R178" t="s">
        <v>72</v>
      </c>
      <c r="S178" s="19">
        <v>11.5</v>
      </c>
      <c r="T178" s="19">
        <v>43</v>
      </c>
      <c r="U178" s="19">
        <v>20.61</v>
      </c>
      <c r="V178" s="19">
        <v>146.5</v>
      </c>
      <c r="W178" s="19">
        <v>158</v>
      </c>
      <c r="X178" t="s">
        <v>73</v>
      </c>
      <c r="Y178" s="20">
        <v>0.05</v>
      </c>
      <c r="Z178" s="19">
        <v>5.75</v>
      </c>
      <c r="AA178" s="19">
        <v>152.25</v>
      </c>
      <c r="AB178" s="19">
        <v>5.75</v>
      </c>
      <c r="AC178" t="s">
        <v>73</v>
      </c>
      <c r="AD178" s="19">
        <v>4.72</v>
      </c>
      <c r="AE178" s="19">
        <v>1.03</v>
      </c>
      <c r="AF178" s="19">
        <v>5.75</v>
      </c>
      <c r="AG178" s="19">
        <v>5</v>
      </c>
      <c r="AH178" s="19">
        <v>141.5</v>
      </c>
      <c r="AI178" s="19">
        <v>5.75</v>
      </c>
      <c r="AJ178" t="s">
        <v>73</v>
      </c>
      <c r="AK178" s="19">
        <v>0</v>
      </c>
      <c r="AL178" s="19">
        <v>152.25</v>
      </c>
      <c r="AM178" t="b">
        <f t="shared" si="12"/>
        <v>1</v>
      </c>
      <c r="AN178" s="21">
        <f t="shared" si="13"/>
        <v>0</v>
      </c>
      <c r="AO178" s="19">
        <f t="shared" si="14"/>
        <v>0</v>
      </c>
      <c r="AP178" s="22">
        <v>43</v>
      </c>
      <c r="AQ178" s="18">
        <f t="shared" si="15"/>
        <v>43</v>
      </c>
      <c r="AR178" s="18">
        <f t="shared" si="16"/>
        <v>0</v>
      </c>
      <c r="AS178" s="23">
        <f t="shared" si="17"/>
        <v>0</v>
      </c>
      <c r="AT178" s="24">
        <v>46277.827777777777</v>
      </c>
      <c r="AU178" s="16" t="s">
        <v>863</v>
      </c>
      <c r="AV178" s="16">
        <v>292113013</v>
      </c>
      <c r="AW178" s="16">
        <v>740184419</v>
      </c>
      <c r="AX178" s="16" t="s">
        <v>865</v>
      </c>
      <c r="AY178" s="16">
        <v>158</v>
      </c>
      <c r="AZ178" s="16">
        <v>115</v>
      </c>
      <c r="BA178" s="16">
        <v>5</v>
      </c>
      <c r="BB178" s="16">
        <v>5.75</v>
      </c>
      <c r="BC178" s="16">
        <v>43</v>
      </c>
      <c r="BD178" s="16">
        <v>0</v>
      </c>
      <c r="BE178" s="16">
        <v>41</v>
      </c>
      <c r="BF178" s="16" t="s">
        <v>69</v>
      </c>
      <c r="BG178" s="16" t="s">
        <v>866</v>
      </c>
      <c r="BH178" s="16">
        <v>0</v>
      </c>
      <c r="BI178" s="16">
        <v>0</v>
      </c>
      <c r="BJ178" s="16">
        <v>152.25</v>
      </c>
      <c r="BK178" s="16">
        <v>5.75</v>
      </c>
      <c r="BL178" s="16">
        <v>43</v>
      </c>
    </row>
    <row r="179" spans="1:64" x14ac:dyDescent="0.25">
      <c r="A179" s="24">
        <v>46277</v>
      </c>
      <c r="B179" s="16" t="s">
        <v>867</v>
      </c>
      <c r="C179" s="25">
        <v>5</v>
      </c>
      <c r="D179" s="17" t="s">
        <v>229</v>
      </c>
      <c r="F179" s="25">
        <v>19358</v>
      </c>
      <c r="G179" s="25">
        <v>292119912</v>
      </c>
      <c r="H179" s="16" t="s">
        <v>64</v>
      </c>
      <c r="I179" s="16" t="s">
        <v>65</v>
      </c>
      <c r="J179" s="16" t="s">
        <v>66</v>
      </c>
      <c r="K179" s="17">
        <v>16338</v>
      </c>
      <c r="L179" t="s">
        <v>868</v>
      </c>
      <c r="M179" t="s">
        <v>869</v>
      </c>
      <c r="N179" t="s">
        <v>69</v>
      </c>
      <c r="O179" s="16" t="s">
        <v>70</v>
      </c>
      <c r="P179" t="s">
        <v>246</v>
      </c>
      <c r="Q179" s="19">
        <v>142</v>
      </c>
      <c r="R179" t="s">
        <v>73</v>
      </c>
      <c r="S179" s="19">
        <v>0</v>
      </c>
      <c r="T179" s="19">
        <v>9</v>
      </c>
      <c r="U179" s="19">
        <v>20.48</v>
      </c>
      <c r="V179" s="19">
        <v>151</v>
      </c>
      <c r="W179" s="19">
        <v>151</v>
      </c>
      <c r="X179" t="s">
        <v>73</v>
      </c>
      <c r="Y179" s="20">
        <v>0.05</v>
      </c>
      <c r="Z179" s="19">
        <v>7.1</v>
      </c>
      <c r="AA179" s="19">
        <v>143.9</v>
      </c>
      <c r="AB179" s="19">
        <v>7.1</v>
      </c>
      <c r="AC179" t="s">
        <v>73</v>
      </c>
      <c r="AD179" s="19">
        <v>6.08</v>
      </c>
      <c r="AE179" s="19">
        <v>1.02</v>
      </c>
      <c r="AF179" s="19">
        <v>7.1</v>
      </c>
      <c r="AG179" s="19">
        <v>0</v>
      </c>
      <c r="AH179" s="19">
        <v>151</v>
      </c>
      <c r="AI179" s="19">
        <v>7.1</v>
      </c>
      <c r="AJ179" t="s">
        <v>73</v>
      </c>
      <c r="AK179" s="19">
        <v>0</v>
      </c>
      <c r="AL179" s="19">
        <v>143.9</v>
      </c>
      <c r="AM179" t="b">
        <f t="shared" si="12"/>
        <v>1</v>
      </c>
      <c r="AN179" s="21">
        <f t="shared" si="13"/>
        <v>0</v>
      </c>
      <c r="AO179" s="19">
        <f t="shared" si="14"/>
        <v>0</v>
      </c>
      <c r="AP179" s="22">
        <v>15</v>
      </c>
      <c r="AQ179" s="18">
        <f t="shared" si="15"/>
        <v>9</v>
      </c>
      <c r="AR179" s="18">
        <f t="shared" si="16"/>
        <v>0</v>
      </c>
      <c r="AS179" s="23">
        <f t="shared" si="17"/>
        <v>6</v>
      </c>
      <c r="AT179" s="24">
        <v>46277.834722222222</v>
      </c>
      <c r="AU179" s="16" t="s">
        <v>870</v>
      </c>
      <c r="AV179" s="16">
        <v>292119912</v>
      </c>
      <c r="AW179" s="16">
        <v>740200642</v>
      </c>
      <c r="AX179" s="16" t="s">
        <v>233</v>
      </c>
      <c r="AY179" s="16">
        <v>151</v>
      </c>
      <c r="AZ179" s="16">
        <v>142</v>
      </c>
      <c r="BA179" s="16">
        <v>5</v>
      </c>
      <c r="BB179" s="16">
        <v>7.1</v>
      </c>
      <c r="BC179" s="16">
        <v>15</v>
      </c>
      <c r="BD179" s="16">
        <v>0</v>
      </c>
      <c r="BE179" s="16">
        <v>8</v>
      </c>
      <c r="BF179" s="16" t="s">
        <v>69</v>
      </c>
      <c r="BG179" s="16" t="s">
        <v>871</v>
      </c>
      <c r="BH179" s="16">
        <v>6</v>
      </c>
      <c r="BI179" s="16">
        <v>6</v>
      </c>
      <c r="BJ179" s="16">
        <v>143.9</v>
      </c>
      <c r="BK179" s="16">
        <v>7.1</v>
      </c>
      <c r="BL179" s="16">
        <v>9</v>
      </c>
    </row>
    <row r="180" spans="1:64" x14ac:dyDescent="0.25">
      <c r="A180" s="24">
        <v>46277</v>
      </c>
      <c r="B180" s="16" t="s">
        <v>872</v>
      </c>
      <c r="C180" s="25">
        <v>5</v>
      </c>
      <c r="D180" s="17" t="s">
        <v>229</v>
      </c>
      <c r="F180" s="25">
        <v>19359</v>
      </c>
      <c r="G180" s="25">
        <v>292120297</v>
      </c>
      <c r="H180" s="16" t="s">
        <v>64</v>
      </c>
      <c r="I180" s="16" t="s">
        <v>65</v>
      </c>
      <c r="J180" s="16" t="s">
        <v>66</v>
      </c>
      <c r="K180" s="17">
        <v>16339</v>
      </c>
      <c r="L180" t="s">
        <v>873</v>
      </c>
      <c r="M180" t="s">
        <v>874</v>
      </c>
      <c r="N180" t="s">
        <v>69</v>
      </c>
      <c r="O180" s="16" t="s">
        <v>70</v>
      </c>
      <c r="P180" t="s">
        <v>246</v>
      </c>
      <c r="Q180" s="19">
        <v>96</v>
      </c>
      <c r="R180" t="s">
        <v>73</v>
      </c>
      <c r="S180" s="19">
        <v>0</v>
      </c>
      <c r="T180" s="19">
        <v>0</v>
      </c>
      <c r="U180" s="19">
        <v>1.96</v>
      </c>
      <c r="V180" s="19">
        <v>96</v>
      </c>
      <c r="W180" s="19">
        <v>96</v>
      </c>
      <c r="X180" t="s">
        <v>73</v>
      </c>
      <c r="Y180" s="20">
        <v>0.05</v>
      </c>
      <c r="Z180" s="19">
        <v>4.8</v>
      </c>
      <c r="AA180" s="19">
        <v>91.2</v>
      </c>
      <c r="AB180" s="19">
        <v>4.8</v>
      </c>
      <c r="AC180" t="s">
        <v>73</v>
      </c>
      <c r="AD180" s="19">
        <v>4.7</v>
      </c>
      <c r="AE180" s="19">
        <v>0.1</v>
      </c>
      <c r="AF180" s="19">
        <v>4.8</v>
      </c>
      <c r="AG180" s="19">
        <v>0</v>
      </c>
      <c r="AH180" s="19">
        <v>96</v>
      </c>
      <c r="AI180" s="19">
        <v>4.8</v>
      </c>
      <c r="AJ180" t="s">
        <v>73</v>
      </c>
      <c r="AK180" s="19">
        <v>0</v>
      </c>
      <c r="AL180" s="19">
        <v>91.2</v>
      </c>
      <c r="AM180" t="b">
        <f t="shared" si="12"/>
        <v>1</v>
      </c>
      <c r="AN180" s="21">
        <f t="shared" si="13"/>
        <v>0</v>
      </c>
      <c r="AO180" s="19">
        <f t="shared" si="14"/>
        <v>0</v>
      </c>
      <c r="AP180" s="22">
        <v>15</v>
      </c>
      <c r="AQ180" s="18">
        <f t="shared" si="15"/>
        <v>0</v>
      </c>
      <c r="AR180" s="18">
        <f t="shared" si="16"/>
        <v>4.9499999999999993</v>
      </c>
      <c r="AS180" s="23">
        <f t="shared" si="17"/>
        <v>10.050000000000001</v>
      </c>
      <c r="AT180" s="24">
        <v>46277.834027777775</v>
      </c>
      <c r="AU180" s="16" t="s">
        <v>875</v>
      </c>
      <c r="AV180" s="16">
        <v>292120297</v>
      </c>
      <c r="AW180" s="16">
        <v>740201690</v>
      </c>
      <c r="AX180" s="16" t="s">
        <v>233</v>
      </c>
      <c r="AY180" s="16">
        <v>96</v>
      </c>
      <c r="AZ180" s="16">
        <v>96</v>
      </c>
      <c r="BA180" s="16">
        <v>5</v>
      </c>
      <c r="BB180" s="16">
        <v>4.8</v>
      </c>
      <c r="BC180" s="16">
        <v>15</v>
      </c>
      <c r="BD180" s="16">
        <v>4.95</v>
      </c>
      <c r="BE180" s="16">
        <v>0</v>
      </c>
      <c r="BF180" s="16" t="s">
        <v>69</v>
      </c>
      <c r="BG180" s="16" t="s">
        <v>876</v>
      </c>
      <c r="BH180" s="16">
        <v>15</v>
      </c>
      <c r="BI180" s="16">
        <v>10.050000000000001</v>
      </c>
      <c r="BJ180" s="16">
        <v>96.15</v>
      </c>
      <c r="BK180" s="16">
        <v>4.8</v>
      </c>
      <c r="BL180" s="16">
        <v>4.9499999999999993</v>
      </c>
    </row>
    <row r="181" spans="1:64" x14ac:dyDescent="0.25">
      <c r="A181" s="24">
        <v>46277</v>
      </c>
      <c r="B181" s="16" t="s">
        <v>877</v>
      </c>
      <c r="C181" s="25">
        <v>78790</v>
      </c>
      <c r="F181" s="25">
        <v>19360</v>
      </c>
      <c r="G181" s="25">
        <v>292125165</v>
      </c>
      <c r="H181" s="16" t="s">
        <v>64</v>
      </c>
      <c r="I181" s="16" t="s">
        <v>65</v>
      </c>
      <c r="J181" s="16" t="s">
        <v>66</v>
      </c>
      <c r="K181" s="17">
        <v>20</v>
      </c>
      <c r="L181" t="s">
        <v>118</v>
      </c>
      <c r="M181" t="s">
        <v>878</v>
      </c>
      <c r="N181" t="s">
        <v>69</v>
      </c>
      <c r="O181" s="16" t="s">
        <v>70</v>
      </c>
      <c r="P181" t="s">
        <v>71</v>
      </c>
      <c r="Q181" s="19">
        <v>37.5</v>
      </c>
      <c r="R181" t="s">
        <v>72</v>
      </c>
      <c r="S181" s="19">
        <v>3.75</v>
      </c>
      <c r="T181" s="19">
        <v>9</v>
      </c>
      <c r="U181" s="19">
        <v>6.85</v>
      </c>
      <c r="V181" s="19">
        <v>42.75</v>
      </c>
      <c r="W181" s="19">
        <v>46.5</v>
      </c>
      <c r="X181" t="s">
        <v>73</v>
      </c>
      <c r="Y181" s="20">
        <v>0.04</v>
      </c>
      <c r="Z181" s="19">
        <v>1.5</v>
      </c>
      <c r="AA181" s="19">
        <v>45</v>
      </c>
      <c r="AB181" s="19">
        <v>1.5</v>
      </c>
      <c r="AC181" t="s">
        <v>73</v>
      </c>
      <c r="AD181" s="19">
        <v>1.23</v>
      </c>
      <c r="AE181" s="19">
        <v>0.27</v>
      </c>
      <c r="AF181" s="19">
        <v>1.5</v>
      </c>
      <c r="AG181" s="19">
        <v>20</v>
      </c>
      <c r="AH181" s="19">
        <v>22.75</v>
      </c>
      <c r="AI181" s="19">
        <v>1.5</v>
      </c>
      <c r="AJ181" t="s">
        <v>73</v>
      </c>
      <c r="AK181" s="19">
        <v>0</v>
      </c>
      <c r="AL181" s="19">
        <v>45</v>
      </c>
      <c r="AM181" t="b">
        <f t="shared" si="12"/>
        <v>1</v>
      </c>
      <c r="AN181" s="21">
        <f t="shared" si="13"/>
        <v>0</v>
      </c>
      <c r="AO181" s="19">
        <f t="shared" si="14"/>
        <v>0</v>
      </c>
      <c r="AP181" s="22">
        <v>15</v>
      </c>
      <c r="AQ181" s="18">
        <f t="shared" si="15"/>
        <v>9</v>
      </c>
      <c r="AR181" s="18">
        <f t="shared" si="16"/>
        <v>6</v>
      </c>
      <c r="AS181" s="23">
        <f t="shared" si="17"/>
        <v>0</v>
      </c>
      <c r="AT181" s="24">
        <v>46277.847916666666</v>
      </c>
      <c r="AU181" s="16" t="s">
        <v>120</v>
      </c>
      <c r="AV181" s="16">
        <v>292125165</v>
      </c>
      <c r="AW181" s="16">
        <v>740184430</v>
      </c>
      <c r="AX181" s="16" t="s">
        <v>110</v>
      </c>
      <c r="AY181" s="16">
        <v>46.5</v>
      </c>
      <c r="AZ181" s="16">
        <v>37.5</v>
      </c>
      <c r="BA181" s="16">
        <v>4</v>
      </c>
      <c r="BB181" s="16">
        <v>1.5</v>
      </c>
      <c r="BC181" s="16">
        <v>15</v>
      </c>
      <c r="BD181" s="16">
        <v>6</v>
      </c>
      <c r="BE181" s="16">
        <v>8</v>
      </c>
      <c r="BF181" s="16" t="s">
        <v>69</v>
      </c>
      <c r="BG181" s="16" t="s">
        <v>879</v>
      </c>
      <c r="BH181" s="16">
        <v>6</v>
      </c>
      <c r="BI181" s="16">
        <v>0</v>
      </c>
      <c r="BJ181" s="16">
        <v>51</v>
      </c>
      <c r="BK181" s="16">
        <v>1.5</v>
      </c>
      <c r="BL181" s="16">
        <v>15</v>
      </c>
    </row>
    <row r="182" spans="1:64" x14ac:dyDescent="0.25">
      <c r="A182" s="24">
        <v>46277</v>
      </c>
      <c r="B182" s="16" t="s">
        <v>880</v>
      </c>
      <c r="C182" s="25">
        <v>29599</v>
      </c>
      <c r="F182" s="25">
        <v>19361</v>
      </c>
      <c r="G182" s="25">
        <v>292129485</v>
      </c>
      <c r="H182" s="16" t="s">
        <v>64</v>
      </c>
      <c r="I182" s="16" t="s">
        <v>65</v>
      </c>
      <c r="J182" s="16" t="s">
        <v>66</v>
      </c>
      <c r="K182" s="17">
        <v>16340</v>
      </c>
      <c r="L182" t="s">
        <v>881</v>
      </c>
      <c r="M182" t="s">
        <v>882</v>
      </c>
      <c r="N182" t="s">
        <v>69</v>
      </c>
      <c r="O182" s="16" t="s">
        <v>70</v>
      </c>
      <c r="P182" t="s">
        <v>71</v>
      </c>
      <c r="Q182" s="19">
        <v>89</v>
      </c>
      <c r="R182" t="s">
        <v>73</v>
      </c>
      <c r="S182" s="19">
        <v>0</v>
      </c>
      <c r="T182" s="19">
        <v>22</v>
      </c>
      <c r="U182" s="19">
        <v>14.48</v>
      </c>
      <c r="V182" s="19">
        <v>111</v>
      </c>
      <c r="W182" s="19">
        <v>111</v>
      </c>
      <c r="X182" t="s">
        <v>73</v>
      </c>
      <c r="Y182" s="20">
        <v>0.05</v>
      </c>
      <c r="Z182" s="19">
        <v>4.45</v>
      </c>
      <c r="AA182" s="19">
        <v>106.55</v>
      </c>
      <c r="AB182" s="19">
        <v>4.45</v>
      </c>
      <c r="AC182" t="s">
        <v>73</v>
      </c>
      <c r="AD182" s="19">
        <v>3.73</v>
      </c>
      <c r="AE182" s="19">
        <v>0.72</v>
      </c>
      <c r="AF182" s="19">
        <v>4.45</v>
      </c>
      <c r="AG182" s="19">
        <v>20</v>
      </c>
      <c r="AH182" s="19">
        <v>91</v>
      </c>
      <c r="AI182" s="19">
        <v>4.45</v>
      </c>
      <c r="AJ182" t="s">
        <v>73</v>
      </c>
      <c r="AK182" s="19">
        <v>0</v>
      </c>
      <c r="AL182" s="19">
        <v>106.55</v>
      </c>
      <c r="AM182" t="b">
        <f t="shared" si="12"/>
        <v>1</v>
      </c>
      <c r="AN182" s="21">
        <f t="shared" si="13"/>
        <v>0</v>
      </c>
      <c r="AO182" s="19">
        <f t="shared" si="14"/>
        <v>0</v>
      </c>
      <c r="AP182" s="22">
        <v>22</v>
      </c>
      <c r="AQ182" s="18">
        <f t="shared" si="15"/>
        <v>22</v>
      </c>
      <c r="AR182" s="18">
        <f t="shared" si="16"/>
        <v>0</v>
      </c>
      <c r="AS182" s="23">
        <f t="shared" si="17"/>
        <v>0</v>
      </c>
      <c r="AT182" s="24">
        <v>46277.872916666667</v>
      </c>
      <c r="AU182" s="16" t="s">
        <v>881</v>
      </c>
      <c r="AV182" s="16">
        <v>292129485</v>
      </c>
      <c r="AW182" s="16">
        <v>740212430</v>
      </c>
      <c r="AX182" s="16" t="s">
        <v>883</v>
      </c>
      <c r="AY182" s="16">
        <v>111</v>
      </c>
      <c r="AZ182" s="16">
        <v>89</v>
      </c>
      <c r="BA182" s="16">
        <v>5</v>
      </c>
      <c r="BB182" s="16">
        <v>4.45</v>
      </c>
      <c r="BC182" s="16">
        <v>22</v>
      </c>
      <c r="BD182" s="16">
        <v>0</v>
      </c>
      <c r="BE182" s="16">
        <v>21</v>
      </c>
      <c r="BF182" s="16" t="s">
        <v>69</v>
      </c>
      <c r="BG182" s="16" t="s">
        <v>884</v>
      </c>
      <c r="BH182" s="16">
        <v>0</v>
      </c>
      <c r="BI182" s="16">
        <v>0</v>
      </c>
      <c r="BJ182" s="16">
        <v>106.55</v>
      </c>
      <c r="BK182" s="16">
        <v>4.45</v>
      </c>
      <c r="BL182" s="16">
        <v>22</v>
      </c>
    </row>
    <row r="183" spans="1:64" x14ac:dyDescent="0.25">
      <c r="A183" s="24">
        <v>46277</v>
      </c>
      <c r="B183" s="16" t="s">
        <v>885</v>
      </c>
      <c r="C183" s="25">
        <v>79386</v>
      </c>
      <c r="F183" s="25">
        <v>19363</v>
      </c>
      <c r="G183" s="25">
        <v>292134495</v>
      </c>
      <c r="H183" s="16" t="s">
        <v>64</v>
      </c>
      <c r="I183" s="16" t="s">
        <v>65</v>
      </c>
      <c r="J183" s="16" t="s">
        <v>66</v>
      </c>
      <c r="K183" s="17">
        <v>20</v>
      </c>
      <c r="L183" t="s">
        <v>118</v>
      </c>
      <c r="M183" t="s">
        <v>886</v>
      </c>
      <c r="N183" t="s">
        <v>69</v>
      </c>
      <c r="O183" s="16" t="s">
        <v>70</v>
      </c>
      <c r="P183" t="s">
        <v>86</v>
      </c>
      <c r="Q183" s="19">
        <v>71.5</v>
      </c>
      <c r="R183" t="s">
        <v>72</v>
      </c>
      <c r="S183" s="19">
        <v>7.15</v>
      </c>
      <c r="T183" s="19">
        <v>9</v>
      </c>
      <c r="U183" s="19">
        <v>11.29</v>
      </c>
      <c r="V183" s="19">
        <v>73.349999999999994</v>
      </c>
      <c r="W183" s="19">
        <v>80.5</v>
      </c>
      <c r="X183" t="s">
        <v>73</v>
      </c>
      <c r="Y183" s="20">
        <v>0.04</v>
      </c>
      <c r="Z183" s="19">
        <v>2.86</v>
      </c>
      <c r="AA183" s="19">
        <v>77.64</v>
      </c>
      <c r="AB183" s="19">
        <v>2.86</v>
      </c>
      <c r="AC183" t="s">
        <v>73</v>
      </c>
      <c r="AD183" s="19">
        <v>2.41</v>
      </c>
      <c r="AE183" s="19">
        <v>0.45</v>
      </c>
      <c r="AF183" s="19">
        <v>2.86</v>
      </c>
      <c r="AG183" s="19">
        <v>0</v>
      </c>
      <c r="AH183" s="19">
        <v>73.349999999999994</v>
      </c>
      <c r="AI183" s="19">
        <v>2.86</v>
      </c>
      <c r="AJ183" t="s">
        <v>73</v>
      </c>
      <c r="AK183" s="19">
        <v>0</v>
      </c>
      <c r="AL183" s="19">
        <v>77.64</v>
      </c>
      <c r="AM183" t="b">
        <f t="shared" si="12"/>
        <v>1</v>
      </c>
      <c r="AN183" s="21">
        <f t="shared" si="13"/>
        <v>0</v>
      </c>
      <c r="AO183" s="19">
        <f t="shared" si="14"/>
        <v>0</v>
      </c>
      <c r="AP183" s="22">
        <v>15</v>
      </c>
      <c r="AQ183" s="18">
        <f t="shared" si="15"/>
        <v>9</v>
      </c>
      <c r="AR183" s="18">
        <f t="shared" si="16"/>
        <v>6</v>
      </c>
      <c r="AS183" s="23">
        <f t="shared" si="17"/>
        <v>0</v>
      </c>
      <c r="AT183" s="24">
        <v>46277.887499999997</v>
      </c>
      <c r="AU183" s="16" t="s">
        <v>120</v>
      </c>
      <c r="AV183" s="16">
        <v>292134495</v>
      </c>
      <c r="AW183" s="16">
        <v>740233673</v>
      </c>
      <c r="AX183" s="16" t="s">
        <v>303</v>
      </c>
      <c r="AY183" s="16">
        <v>80.5</v>
      </c>
      <c r="AZ183" s="16">
        <v>71.5</v>
      </c>
      <c r="BA183" s="16">
        <v>4</v>
      </c>
      <c r="BB183" s="16">
        <v>2.86</v>
      </c>
      <c r="BC183" s="16">
        <v>15</v>
      </c>
      <c r="BD183" s="16">
        <v>6</v>
      </c>
      <c r="BE183" s="16">
        <v>8</v>
      </c>
      <c r="BF183" s="16" t="s">
        <v>69</v>
      </c>
      <c r="BG183" s="16" t="s">
        <v>887</v>
      </c>
      <c r="BH183" s="16">
        <v>6</v>
      </c>
      <c r="BI183" s="16">
        <v>0</v>
      </c>
      <c r="BJ183" s="16">
        <v>83.64</v>
      </c>
      <c r="BK183" s="16">
        <v>2.86</v>
      </c>
      <c r="BL183" s="16">
        <v>15</v>
      </c>
    </row>
    <row r="184" spans="1:64" x14ac:dyDescent="0.25">
      <c r="A184" s="24">
        <v>46277</v>
      </c>
      <c r="B184" s="16" t="s">
        <v>888</v>
      </c>
      <c r="C184" s="25">
        <v>48012</v>
      </c>
      <c r="F184" s="25">
        <v>19364</v>
      </c>
      <c r="G184" s="25">
        <v>292135641</v>
      </c>
      <c r="H184" s="16" t="s">
        <v>64</v>
      </c>
      <c r="I184" s="16" t="s">
        <v>65</v>
      </c>
      <c r="J184" s="16" t="s">
        <v>66</v>
      </c>
      <c r="K184" s="17">
        <v>29</v>
      </c>
      <c r="L184" t="s">
        <v>889</v>
      </c>
      <c r="M184" t="s">
        <v>73</v>
      </c>
      <c r="N184" t="s">
        <v>69</v>
      </c>
      <c r="O184" s="16" t="s">
        <v>70</v>
      </c>
      <c r="P184" t="s">
        <v>92</v>
      </c>
      <c r="Q184" s="19">
        <v>70</v>
      </c>
      <c r="R184" t="s">
        <v>73</v>
      </c>
      <c r="S184" s="19">
        <v>0</v>
      </c>
      <c r="T184" s="19">
        <v>15</v>
      </c>
      <c r="U184" s="19">
        <v>11.09</v>
      </c>
      <c r="V184" s="19">
        <v>85</v>
      </c>
      <c r="W184" s="19">
        <v>85</v>
      </c>
      <c r="X184" t="s">
        <v>73</v>
      </c>
      <c r="Y184" s="20">
        <v>0.05</v>
      </c>
      <c r="Z184" s="19">
        <v>3.5</v>
      </c>
      <c r="AA184" s="19">
        <v>81.5</v>
      </c>
      <c r="AB184" s="19">
        <v>3.5</v>
      </c>
      <c r="AC184" t="s">
        <v>73</v>
      </c>
      <c r="AD184" s="19">
        <v>2.95</v>
      </c>
      <c r="AE184" s="19">
        <v>0.55000000000000004</v>
      </c>
      <c r="AF184" s="19">
        <v>3.5</v>
      </c>
      <c r="AG184" s="19">
        <v>85</v>
      </c>
      <c r="AH184" s="19">
        <v>0</v>
      </c>
      <c r="AI184" s="19">
        <v>3.5</v>
      </c>
      <c r="AJ184" t="s">
        <v>73</v>
      </c>
      <c r="AK184" s="19">
        <v>0</v>
      </c>
      <c r="AL184" s="19">
        <v>81.5</v>
      </c>
      <c r="AM184" t="b">
        <f t="shared" si="12"/>
        <v>1</v>
      </c>
      <c r="AN184" s="21">
        <f t="shared" si="13"/>
        <v>0</v>
      </c>
      <c r="AO184" s="19">
        <f t="shared" si="14"/>
        <v>0</v>
      </c>
      <c r="AP184" s="22">
        <v>15</v>
      </c>
      <c r="AQ184" s="18">
        <f t="shared" si="15"/>
        <v>15</v>
      </c>
      <c r="AR184" s="18">
        <f t="shared" si="16"/>
        <v>0</v>
      </c>
      <c r="AS184" s="23">
        <f t="shared" si="17"/>
        <v>0</v>
      </c>
      <c r="AT184" s="24">
        <v>46277.882638888892</v>
      </c>
      <c r="AU184" s="16" t="s">
        <v>890</v>
      </c>
      <c r="AV184" s="16">
        <v>292135641</v>
      </c>
      <c r="AW184" s="16">
        <v>740012884</v>
      </c>
      <c r="AX184" s="16" t="s">
        <v>110</v>
      </c>
      <c r="AY184" s="16">
        <v>85</v>
      </c>
      <c r="AZ184" s="16">
        <v>70</v>
      </c>
      <c r="BA184" s="16">
        <v>5</v>
      </c>
      <c r="BB184" s="16">
        <v>3.5</v>
      </c>
      <c r="BC184" s="16">
        <v>15</v>
      </c>
      <c r="BD184" s="16">
        <v>0</v>
      </c>
      <c r="BE184" s="16">
        <v>14</v>
      </c>
      <c r="BF184" s="16" t="s">
        <v>69</v>
      </c>
      <c r="BG184" s="16" t="s">
        <v>891</v>
      </c>
      <c r="BH184" s="16">
        <v>0</v>
      </c>
      <c r="BI184" s="16">
        <v>0</v>
      </c>
      <c r="BJ184" s="16">
        <v>81.5</v>
      </c>
      <c r="BK184" s="16">
        <v>3.5</v>
      </c>
      <c r="BL184" s="16">
        <v>15</v>
      </c>
    </row>
    <row r="185" spans="1:64" x14ac:dyDescent="0.25">
      <c r="A185" s="24">
        <v>46277</v>
      </c>
      <c r="B185" s="16" t="s">
        <v>892</v>
      </c>
      <c r="C185" s="25">
        <v>74523</v>
      </c>
      <c r="F185" s="25">
        <v>19365</v>
      </c>
      <c r="G185" s="25">
        <v>292139241</v>
      </c>
      <c r="H185" s="16" t="s">
        <v>64</v>
      </c>
      <c r="I185" s="16" t="s">
        <v>65</v>
      </c>
      <c r="J185" s="16" t="s">
        <v>66</v>
      </c>
      <c r="K185" s="17">
        <v>253</v>
      </c>
      <c r="L185" t="s">
        <v>893</v>
      </c>
      <c r="M185" t="s">
        <v>894</v>
      </c>
      <c r="N185" t="s">
        <v>69</v>
      </c>
      <c r="O185" s="16" t="s">
        <v>70</v>
      </c>
      <c r="P185" t="s">
        <v>71</v>
      </c>
      <c r="Q185" s="19">
        <v>41</v>
      </c>
      <c r="R185" t="s">
        <v>72</v>
      </c>
      <c r="S185" s="19">
        <v>4.0999999999999996</v>
      </c>
      <c r="T185" s="19">
        <v>2</v>
      </c>
      <c r="U185" s="19">
        <v>7.57</v>
      </c>
      <c r="V185" s="19">
        <v>38.9</v>
      </c>
      <c r="W185" s="19">
        <v>43</v>
      </c>
      <c r="X185" t="s">
        <v>73</v>
      </c>
      <c r="Y185" s="20">
        <v>0.05</v>
      </c>
      <c r="Z185" s="19">
        <v>2.0499999999999998</v>
      </c>
      <c r="AA185" s="19">
        <v>40.950000000000003</v>
      </c>
      <c r="AB185" s="19">
        <v>2.0499999999999998</v>
      </c>
      <c r="AC185" t="s">
        <v>73</v>
      </c>
      <c r="AD185" s="19">
        <v>1.67</v>
      </c>
      <c r="AE185" s="19">
        <v>0.38</v>
      </c>
      <c r="AF185" s="19">
        <v>2.0499999999999998</v>
      </c>
      <c r="AG185" s="19">
        <v>0.56999999999999995</v>
      </c>
      <c r="AH185" s="19">
        <v>38.33</v>
      </c>
      <c r="AI185" s="19">
        <v>2.0499999999999998</v>
      </c>
      <c r="AJ185" t="s">
        <v>73</v>
      </c>
      <c r="AK185" s="19">
        <v>0</v>
      </c>
      <c r="AL185" s="19">
        <v>40.950000000000003</v>
      </c>
      <c r="AM185" t="b">
        <f t="shared" si="12"/>
        <v>1</v>
      </c>
      <c r="AN185" s="21">
        <f t="shared" si="13"/>
        <v>0</v>
      </c>
      <c r="AO185" s="19">
        <f t="shared" si="14"/>
        <v>0</v>
      </c>
      <c r="AP185" s="22">
        <v>17</v>
      </c>
      <c r="AQ185" s="18">
        <f t="shared" si="15"/>
        <v>2</v>
      </c>
      <c r="AR185" s="18">
        <f t="shared" si="16"/>
        <v>5</v>
      </c>
      <c r="AS185" s="23">
        <f t="shared" si="17"/>
        <v>10</v>
      </c>
      <c r="AT185" s="24">
        <v>46277.912499999999</v>
      </c>
      <c r="AU185" s="16" t="s">
        <v>895</v>
      </c>
      <c r="AV185" s="16">
        <v>292139241</v>
      </c>
      <c r="AW185" s="16">
        <v>740249849</v>
      </c>
      <c r="AX185" s="16" t="s">
        <v>896</v>
      </c>
      <c r="AY185" s="16">
        <v>43</v>
      </c>
      <c r="AZ185" s="16">
        <v>41</v>
      </c>
      <c r="BA185" s="16">
        <v>5</v>
      </c>
      <c r="BB185" s="16">
        <v>2.0499999999999998</v>
      </c>
      <c r="BC185" s="16">
        <v>17</v>
      </c>
      <c r="BD185" s="16">
        <v>5</v>
      </c>
      <c r="BE185" s="16">
        <v>1</v>
      </c>
      <c r="BF185" s="16" t="s">
        <v>69</v>
      </c>
      <c r="BG185" s="16" t="s">
        <v>897</v>
      </c>
      <c r="BH185" s="16">
        <v>15</v>
      </c>
      <c r="BI185" s="16">
        <v>10</v>
      </c>
      <c r="BJ185" s="16">
        <v>45.95</v>
      </c>
      <c r="BK185" s="16">
        <v>2.0499999999999998</v>
      </c>
      <c r="BL185" s="16">
        <v>7</v>
      </c>
    </row>
    <row r="186" spans="1:64" x14ac:dyDescent="0.25">
      <c r="A186" s="24">
        <v>46277</v>
      </c>
      <c r="B186" s="16" t="s">
        <v>898</v>
      </c>
      <c r="C186" s="25">
        <v>63036</v>
      </c>
      <c r="F186" s="25">
        <v>19366</v>
      </c>
      <c r="G186" s="25">
        <v>292140132</v>
      </c>
      <c r="H186" s="16" t="s">
        <v>64</v>
      </c>
      <c r="I186" s="16" t="s">
        <v>65</v>
      </c>
      <c r="J186" s="16" t="s">
        <v>66</v>
      </c>
      <c r="K186" s="17">
        <v>65</v>
      </c>
      <c r="L186" t="s">
        <v>340</v>
      </c>
      <c r="M186" t="s">
        <v>899</v>
      </c>
      <c r="N186" t="s">
        <v>69</v>
      </c>
      <c r="O186" s="16" t="s">
        <v>70</v>
      </c>
      <c r="P186" t="s">
        <v>71</v>
      </c>
      <c r="Q186" s="19">
        <v>35</v>
      </c>
      <c r="R186" t="s">
        <v>72</v>
      </c>
      <c r="S186" s="19">
        <v>3.5</v>
      </c>
      <c r="T186" s="19">
        <v>0</v>
      </c>
      <c r="U186" s="19">
        <v>6.53</v>
      </c>
      <c r="V186" s="19">
        <v>31.5</v>
      </c>
      <c r="W186" s="19">
        <v>35</v>
      </c>
      <c r="X186" t="s">
        <v>73</v>
      </c>
      <c r="Y186" s="20">
        <v>0.05</v>
      </c>
      <c r="Z186" s="19">
        <v>1.75</v>
      </c>
      <c r="AA186" s="19">
        <v>33.25</v>
      </c>
      <c r="AB186" s="19">
        <v>1.75</v>
      </c>
      <c r="AC186" t="s">
        <v>73</v>
      </c>
      <c r="AD186" s="19">
        <v>1.42</v>
      </c>
      <c r="AE186" s="19">
        <v>0.33</v>
      </c>
      <c r="AF186" s="19">
        <v>1.75</v>
      </c>
      <c r="AG186" s="19">
        <v>20</v>
      </c>
      <c r="AH186" s="19">
        <v>11.5</v>
      </c>
      <c r="AI186" s="19">
        <v>1.75</v>
      </c>
      <c r="AJ186" t="s">
        <v>73</v>
      </c>
      <c r="AK186" s="19">
        <v>0</v>
      </c>
      <c r="AL186" s="19">
        <v>33.25</v>
      </c>
      <c r="AM186" t="b">
        <f t="shared" si="12"/>
        <v>1</v>
      </c>
      <c r="AN186" s="21">
        <f t="shared" si="13"/>
        <v>0</v>
      </c>
      <c r="AO186" s="19">
        <f t="shared" si="14"/>
        <v>0</v>
      </c>
      <c r="AP186" s="22">
        <v>15</v>
      </c>
      <c r="AQ186" s="18">
        <f t="shared" si="15"/>
        <v>0</v>
      </c>
      <c r="AR186" s="18">
        <f t="shared" si="16"/>
        <v>6.9</v>
      </c>
      <c r="AS186" s="23">
        <f t="shared" si="17"/>
        <v>8.1</v>
      </c>
      <c r="AT186" s="24">
        <v>46277.909722222219</v>
      </c>
      <c r="AU186" s="16" t="s">
        <v>342</v>
      </c>
      <c r="AV186" s="16">
        <v>292140132</v>
      </c>
      <c r="AW186" s="16">
        <v>740252197</v>
      </c>
      <c r="AX186" s="16" t="s">
        <v>900</v>
      </c>
      <c r="AY186" s="16">
        <v>35</v>
      </c>
      <c r="AZ186" s="16">
        <v>35</v>
      </c>
      <c r="BA186" s="16">
        <v>5</v>
      </c>
      <c r="BB186" s="16">
        <v>1.75</v>
      </c>
      <c r="BC186" s="16">
        <v>15</v>
      </c>
      <c r="BD186" s="16">
        <v>6.9</v>
      </c>
      <c r="BE186" s="16">
        <v>0</v>
      </c>
      <c r="BF186" s="16" t="s">
        <v>69</v>
      </c>
      <c r="BG186" s="16" t="s">
        <v>343</v>
      </c>
      <c r="BH186" s="16">
        <v>15</v>
      </c>
      <c r="BI186" s="16">
        <v>8.1</v>
      </c>
      <c r="BJ186" s="16">
        <v>40.15</v>
      </c>
      <c r="BK186" s="16">
        <v>1.75</v>
      </c>
      <c r="BL186" s="16">
        <v>6.9</v>
      </c>
    </row>
    <row r="187" spans="1:64" x14ac:dyDescent="0.25">
      <c r="A187" s="24">
        <v>46277</v>
      </c>
      <c r="B187" s="16" t="s">
        <v>901</v>
      </c>
      <c r="C187" s="25">
        <v>11860</v>
      </c>
      <c r="F187" s="25">
        <v>19367</v>
      </c>
      <c r="G187" s="25">
        <v>292140369</v>
      </c>
      <c r="H187" s="16" t="s">
        <v>64</v>
      </c>
      <c r="I187" s="16" t="s">
        <v>65</v>
      </c>
      <c r="J187" s="16" t="s">
        <v>66</v>
      </c>
      <c r="K187" s="17">
        <v>3</v>
      </c>
      <c r="L187" t="s">
        <v>207</v>
      </c>
      <c r="M187" t="s">
        <v>73</v>
      </c>
      <c r="N187" t="s">
        <v>69</v>
      </c>
      <c r="O187" s="16" t="s">
        <v>70</v>
      </c>
      <c r="P187" t="s">
        <v>92</v>
      </c>
      <c r="Q187" s="19">
        <v>61</v>
      </c>
      <c r="R187" t="s">
        <v>72</v>
      </c>
      <c r="S187" s="19">
        <v>6.1</v>
      </c>
      <c r="T187" s="19">
        <v>0</v>
      </c>
      <c r="U187" s="19">
        <v>9.92</v>
      </c>
      <c r="V187" s="19">
        <v>54.9</v>
      </c>
      <c r="W187" s="19">
        <v>61</v>
      </c>
      <c r="X187" t="s">
        <v>73</v>
      </c>
      <c r="Y187" s="20">
        <v>4.5100000000000001E-2</v>
      </c>
      <c r="Z187" s="19">
        <v>2.75</v>
      </c>
      <c r="AA187" s="19">
        <v>58.26</v>
      </c>
      <c r="AB187" s="19">
        <v>2.75</v>
      </c>
      <c r="AC187" t="s">
        <v>73</v>
      </c>
      <c r="AD187" s="19">
        <v>2.2999999999999998</v>
      </c>
      <c r="AE187" s="19">
        <v>0.45</v>
      </c>
      <c r="AF187" s="19">
        <v>2.75</v>
      </c>
      <c r="AG187" s="19">
        <v>54.9</v>
      </c>
      <c r="AH187" s="19">
        <v>0</v>
      </c>
      <c r="AI187" s="19">
        <v>2.75</v>
      </c>
      <c r="AJ187" t="s">
        <v>73</v>
      </c>
      <c r="AK187" s="19">
        <v>0</v>
      </c>
      <c r="AL187" s="19">
        <v>58.26</v>
      </c>
      <c r="AM187" t="b">
        <f t="shared" si="12"/>
        <v>1</v>
      </c>
      <c r="AN187" s="21">
        <f t="shared" si="13"/>
        <v>-1.0000000000000286E-4</v>
      </c>
      <c r="AO187" s="19">
        <f t="shared" si="14"/>
        <v>4.9999999999998934E-3</v>
      </c>
      <c r="AP187" s="22">
        <v>15</v>
      </c>
      <c r="AQ187" s="18">
        <f t="shared" si="15"/>
        <v>0</v>
      </c>
      <c r="AR187" s="18">
        <f t="shared" si="16"/>
        <v>6.9</v>
      </c>
      <c r="AS187" s="23">
        <f t="shared" si="17"/>
        <v>8.1</v>
      </c>
      <c r="AT187" s="24">
        <v>46277.915972222225</v>
      </c>
      <c r="AU187" s="16" t="s">
        <v>209</v>
      </c>
      <c r="AV187" s="16">
        <v>292140369</v>
      </c>
      <c r="AW187" s="16">
        <v>740250921</v>
      </c>
      <c r="AX187" s="16" t="s">
        <v>110</v>
      </c>
      <c r="AY187" s="16">
        <v>61</v>
      </c>
      <c r="AZ187" s="16">
        <v>61</v>
      </c>
      <c r="BA187" s="16">
        <v>4.5</v>
      </c>
      <c r="BB187" s="16">
        <v>2.7450000000000001</v>
      </c>
      <c r="BC187" s="16">
        <v>15</v>
      </c>
      <c r="BD187" s="16">
        <v>6.9</v>
      </c>
      <c r="BE187" s="16">
        <v>0</v>
      </c>
      <c r="BF187" s="16" t="s">
        <v>69</v>
      </c>
      <c r="BG187" s="16" t="s">
        <v>902</v>
      </c>
      <c r="BH187" s="16">
        <v>15</v>
      </c>
      <c r="BI187" s="16">
        <v>8.1</v>
      </c>
      <c r="BJ187" s="16">
        <v>65.155000000000001</v>
      </c>
      <c r="BK187" s="16">
        <v>2.7450000000000001</v>
      </c>
      <c r="BL187" s="16">
        <v>6.9</v>
      </c>
    </row>
    <row r="188" spans="1:64" x14ac:dyDescent="0.25">
      <c r="A188" s="24">
        <v>46277</v>
      </c>
      <c r="B188" s="16" t="s">
        <v>903</v>
      </c>
      <c r="C188" s="25">
        <v>60001</v>
      </c>
      <c r="F188" s="25">
        <v>19369</v>
      </c>
      <c r="G188" s="25">
        <v>292141497</v>
      </c>
      <c r="H188" s="16" t="s">
        <v>64</v>
      </c>
      <c r="I188" s="16" t="s">
        <v>65</v>
      </c>
      <c r="J188" s="16" t="s">
        <v>66</v>
      </c>
      <c r="K188" s="17">
        <v>3700</v>
      </c>
      <c r="L188" t="s">
        <v>904</v>
      </c>
      <c r="M188" t="s">
        <v>905</v>
      </c>
      <c r="N188" t="s">
        <v>69</v>
      </c>
      <c r="O188" s="16" t="s">
        <v>70</v>
      </c>
      <c r="P188" t="s">
        <v>71</v>
      </c>
      <c r="Q188" s="19">
        <v>53</v>
      </c>
      <c r="R188" t="s">
        <v>72</v>
      </c>
      <c r="S188" s="19">
        <v>5.3</v>
      </c>
      <c r="T188" s="19">
        <v>0</v>
      </c>
      <c r="U188" s="19">
        <v>8.8699999999999992</v>
      </c>
      <c r="V188" s="19">
        <v>47.7</v>
      </c>
      <c r="W188" s="19">
        <v>53</v>
      </c>
      <c r="X188" t="s">
        <v>73</v>
      </c>
      <c r="Y188" s="20">
        <v>0.05</v>
      </c>
      <c r="Z188" s="19">
        <v>2.65</v>
      </c>
      <c r="AA188" s="19">
        <v>50.35</v>
      </c>
      <c r="AB188" s="19">
        <v>2.65</v>
      </c>
      <c r="AC188" t="s">
        <v>73</v>
      </c>
      <c r="AD188" s="19">
        <v>2.21</v>
      </c>
      <c r="AE188" s="19">
        <v>0.44</v>
      </c>
      <c r="AF188" s="19">
        <v>2.65</v>
      </c>
      <c r="AG188" s="19">
        <v>2</v>
      </c>
      <c r="AH188" s="19">
        <v>45.7</v>
      </c>
      <c r="AI188" s="19">
        <v>2.65</v>
      </c>
      <c r="AJ188" t="s">
        <v>73</v>
      </c>
      <c r="AK188" s="19">
        <v>53</v>
      </c>
      <c r="AL188" s="19">
        <v>50.35</v>
      </c>
      <c r="AM188" t="b">
        <f t="shared" si="12"/>
        <v>1</v>
      </c>
      <c r="AN188" s="21">
        <f t="shared" si="13"/>
        <v>0</v>
      </c>
      <c r="AO188" s="19">
        <f t="shared" si="14"/>
        <v>0</v>
      </c>
      <c r="AP188" s="22">
        <v>15</v>
      </c>
      <c r="AQ188" s="18">
        <f t="shared" si="15"/>
        <v>0</v>
      </c>
      <c r="AR188" s="18">
        <f t="shared" si="16"/>
        <v>4.9499999999999993</v>
      </c>
      <c r="AS188" s="23">
        <f t="shared" si="17"/>
        <v>10.050000000000001</v>
      </c>
      <c r="AT188" s="24">
        <v>46277.915277777778</v>
      </c>
      <c r="AU188" s="16" t="s">
        <v>904</v>
      </c>
      <c r="AV188" s="16">
        <v>292141497</v>
      </c>
      <c r="AW188" s="16">
        <v>740255334</v>
      </c>
      <c r="AX188" s="16" t="s">
        <v>906</v>
      </c>
      <c r="AY188" s="16">
        <v>53</v>
      </c>
      <c r="AZ188" s="16">
        <v>53</v>
      </c>
      <c r="BA188" s="16">
        <v>5</v>
      </c>
      <c r="BB188" s="16">
        <v>2.65</v>
      </c>
      <c r="BC188" s="16">
        <v>15</v>
      </c>
      <c r="BD188" s="16">
        <v>4.95</v>
      </c>
      <c r="BE188" s="16">
        <v>0</v>
      </c>
      <c r="BF188" s="16" t="s">
        <v>69</v>
      </c>
      <c r="BG188" s="16" t="s">
        <v>907</v>
      </c>
      <c r="BH188" s="16">
        <v>15</v>
      </c>
      <c r="BI188" s="16">
        <v>10.050000000000001</v>
      </c>
      <c r="BJ188" s="16">
        <v>55.300000000000004</v>
      </c>
      <c r="BK188" s="16">
        <v>2.65</v>
      </c>
      <c r="BL188" s="16">
        <v>4.9499999999999993</v>
      </c>
    </row>
    <row r="189" spans="1:64" x14ac:dyDescent="0.25">
      <c r="A189" s="24">
        <v>46277</v>
      </c>
      <c r="B189" s="16" t="s">
        <v>908</v>
      </c>
      <c r="C189" s="25">
        <v>70674</v>
      </c>
      <c r="D189" s="17" t="s">
        <v>909</v>
      </c>
      <c r="F189" s="25">
        <v>19371</v>
      </c>
      <c r="G189" s="25">
        <v>292147278</v>
      </c>
      <c r="H189" s="16" t="s">
        <v>64</v>
      </c>
      <c r="I189" s="16" t="s">
        <v>65</v>
      </c>
      <c r="J189" s="16" t="s">
        <v>66</v>
      </c>
      <c r="K189" s="17">
        <v>11</v>
      </c>
      <c r="L189" t="s">
        <v>520</v>
      </c>
      <c r="M189" t="s">
        <v>910</v>
      </c>
      <c r="N189" t="s">
        <v>69</v>
      </c>
      <c r="O189" s="16" t="s">
        <v>70</v>
      </c>
      <c r="P189" t="s">
        <v>79</v>
      </c>
      <c r="Q189" s="19">
        <v>92</v>
      </c>
      <c r="R189" t="s">
        <v>72</v>
      </c>
      <c r="S189" s="19">
        <v>9.1999999999999993</v>
      </c>
      <c r="T189" s="19">
        <v>43</v>
      </c>
      <c r="U189" s="19">
        <v>17.61</v>
      </c>
      <c r="V189" s="19">
        <v>125.8</v>
      </c>
      <c r="W189" s="19">
        <v>135</v>
      </c>
      <c r="X189" t="s">
        <v>73</v>
      </c>
      <c r="Y189" s="20">
        <v>0.05</v>
      </c>
      <c r="Z189" s="19">
        <v>4.5999999999999996</v>
      </c>
      <c r="AA189" s="19">
        <v>130.4</v>
      </c>
      <c r="AB189" s="19">
        <v>4.5999999999999996</v>
      </c>
      <c r="AC189" t="s">
        <v>73</v>
      </c>
      <c r="AD189" s="19">
        <v>3.72</v>
      </c>
      <c r="AE189" s="19">
        <v>0.88</v>
      </c>
      <c r="AF189" s="19">
        <v>4.5999999999999996</v>
      </c>
      <c r="AG189" s="19">
        <v>0</v>
      </c>
      <c r="AH189" s="19">
        <v>125.8</v>
      </c>
      <c r="AI189" s="19">
        <v>4.5999999999999996</v>
      </c>
      <c r="AJ189" t="s">
        <v>73</v>
      </c>
      <c r="AK189" s="19">
        <v>0</v>
      </c>
      <c r="AL189" s="19">
        <v>130.4</v>
      </c>
      <c r="AM189" t="b">
        <f t="shared" si="12"/>
        <v>1</v>
      </c>
      <c r="AN189" s="21">
        <f t="shared" si="13"/>
        <v>0</v>
      </c>
      <c r="AO189" s="19">
        <f t="shared" si="14"/>
        <v>0</v>
      </c>
      <c r="AP189" s="22">
        <v>43</v>
      </c>
      <c r="AQ189" s="18">
        <f t="shared" si="15"/>
        <v>43</v>
      </c>
      <c r="AR189" s="18">
        <f t="shared" si="16"/>
        <v>0</v>
      </c>
      <c r="AS189" s="23">
        <f t="shared" si="17"/>
        <v>0</v>
      </c>
      <c r="AT189" s="24">
        <v>46277.964583333334</v>
      </c>
      <c r="AU189" s="16" t="s">
        <v>522</v>
      </c>
      <c r="AV189" s="16">
        <v>292147278</v>
      </c>
      <c r="AW189" s="16">
        <v>740270187</v>
      </c>
      <c r="AX189" s="16" t="s">
        <v>911</v>
      </c>
      <c r="AY189" s="16">
        <v>135</v>
      </c>
      <c r="AZ189" s="16">
        <v>92</v>
      </c>
      <c r="BA189" s="16">
        <v>5</v>
      </c>
      <c r="BB189" s="16">
        <v>4.5999999999999996</v>
      </c>
      <c r="BC189" s="16">
        <v>43</v>
      </c>
      <c r="BD189" s="16">
        <v>0</v>
      </c>
      <c r="BE189" s="16">
        <v>41</v>
      </c>
      <c r="BF189" s="16" t="s">
        <v>69</v>
      </c>
      <c r="BG189" s="16" t="s">
        <v>912</v>
      </c>
      <c r="BH189" s="16">
        <v>0</v>
      </c>
      <c r="BI189" s="16">
        <v>0</v>
      </c>
      <c r="BJ189" s="16">
        <v>130.4</v>
      </c>
      <c r="BK189" s="16">
        <v>4.5999999999999996</v>
      </c>
      <c r="BL189" s="16">
        <v>43</v>
      </c>
    </row>
    <row r="190" spans="1:64" x14ac:dyDescent="0.25">
      <c r="A190" s="24">
        <v>46277</v>
      </c>
      <c r="B190" s="16" t="s">
        <v>913</v>
      </c>
      <c r="C190" s="25">
        <v>53917</v>
      </c>
      <c r="F190" s="25">
        <v>19374</v>
      </c>
      <c r="G190" s="25">
        <v>292153339</v>
      </c>
      <c r="H190" s="16" t="s">
        <v>64</v>
      </c>
      <c r="I190" s="16" t="s">
        <v>65</v>
      </c>
      <c r="J190" s="16" t="s">
        <v>66</v>
      </c>
      <c r="K190" s="17">
        <v>20</v>
      </c>
      <c r="L190" t="s">
        <v>118</v>
      </c>
      <c r="M190" t="s">
        <v>914</v>
      </c>
      <c r="N190" t="s">
        <v>69</v>
      </c>
      <c r="O190" s="16" t="s">
        <v>70</v>
      </c>
      <c r="P190" t="s">
        <v>71</v>
      </c>
      <c r="Q190" s="19">
        <v>35.5</v>
      </c>
      <c r="R190" t="s">
        <v>72</v>
      </c>
      <c r="S190" s="19">
        <v>3.55</v>
      </c>
      <c r="T190" s="19">
        <v>9</v>
      </c>
      <c r="U190" s="19">
        <v>6.59</v>
      </c>
      <c r="V190" s="19">
        <v>40.950000000000003</v>
      </c>
      <c r="W190" s="19">
        <v>44.5</v>
      </c>
      <c r="X190" t="s">
        <v>73</v>
      </c>
      <c r="Y190" s="20">
        <v>0.04</v>
      </c>
      <c r="Z190" s="19">
        <v>1.42</v>
      </c>
      <c r="AA190" s="19">
        <v>43.08</v>
      </c>
      <c r="AB190" s="19">
        <v>1.42</v>
      </c>
      <c r="AC190" t="s">
        <v>73</v>
      </c>
      <c r="AD190" s="19">
        <v>1.1599999999999999</v>
      </c>
      <c r="AE190" s="19">
        <v>0.26</v>
      </c>
      <c r="AF190" s="19">
        <v>1.42</v>
      </c>
      <c r="AG190" s="19">
        <v>38.44</v>
      </c>
      <c r="AH190" s="19">
        <v>2.5099999999999998</v>
      </c>
      <c r="AI190" s="19">
        <v>1.42</v>
      </c>
      <c r="AJ190" t="s">
        <v>73</v>
      </c>
      <c r="AK190" s="19">
        <v>0</v>
      </c>
      <c r="AL190" s="19">
        <v>43.08</v>
      </c>
      <c r="AM190" t="b">
        <f t="shared" si="12"/>
        <v>1</v>
      </c>
      <c r="AN190" s="21">
        <f t="shared" si="13"/>
        <v>0</v>
      </c>
      <c r="AO190" s="19">
        <f t="shared" si="14"/>
        <v>0</v>
      </c>
      <c r="AP190" s="22">
        <v>15</v>
      </c>
      <c r="AQ190" s="18">
        <f t="shared" si="15"/>
        <v>9</v>
      </c>
      <c r="AR190" s="18">
        <f t="shared" si="16"/>
        <v>6</v>
      </c>
      <c r="AS190" s="23">
        <f t="shared" si="17"/>
        <v>0</v>
      </c>
      <c r="AT190" s="24">
        <v>46277.992361111108</v>
      </c>
      <c r="AU190" s="16" t="s">
        <v>120</v>
      </c>
      <c r="AV190" s="16">
        <v>292153339</v>
      </c>
      <c r="AW190" s="16">
        <v>740287758</v>
      </c>
      <c r="AX190" s="16" t="s">
        <v>915</v>
      </c>
      <c r="AY190" s="16">
        <v>44.5</v>
      </c>
      <c r="AZ190" s="16">
        <v>35.5</v>
      </c>
      <c r="BA190" s="16">
        <v>4</v>
      </c>
      <c r="BB190" s="16">
        <v>1.42</v>
      </c>
      <c r="BC190" s="16">
        <v>15</v>
      </c>
      <c r="BD190" s="16">
        <v>6</v>
      </c>
      <c r="BE190" s="16">
        <v>8</v>
      </c>
      <c r="BF190" s="16" t="s">
        <v>69</v>
      </c>
      <c r="BG190" s="16" t="s">
        <v>916</v>
      </c>
      <c r="BH190" s="16">
        <v>6</v>
      </c>
      <c r="BI190" s="16">
        <v>0</v>
      </c>
      <c r="BJ190" s="16">
        <v>49.08</v>
      </c>
      <c r="BK190" s="16">
        <v>1.42</v>
      </c>
      <c r="BL190" s="16">
        <v>15</v>
      </c>
    </row>
    <row r="191" spans="1:64" x14ac:dyDescent="0.25">
      <c r="A191" s="24">
        <v>46277</v>
      </c>
      <c r="B191" s="16" t="s">
        <v>917</v>
      </c>
      <c r="C191" s="25">
        <v>30450</v>
      </c>
      <c r="D191" s="17" t="s">
        <v>918</v>
      </c>
      <c r="F191" s="25">
        <v>19376</v>
      </c>
      <c r="G191" s="25">
        <v>292153469</v>
      </c>
      <c r="H191" s="16" t="s">
        <v>64</v>
      </c>
      <c r="I191" s="16" t="s">
        <v>65</v>
      </c>
      <c r="J191" s="16" t="s">
        <v>66</v>
      </c>
      <c r="K191" s="17">
        <v>695</v>
      </c>
      <c r="L191" t="s">
        <v>919</v>
      </c>
      <c r="M191" t="s">
        <v>920</v>
      </c>
      <c r="N191" t="s">
        <v>69</v>
      </c>
      <c r="O191" s="16" t="s">
        <v>70</v>
      </c>
      <c r="P191" t="s">
        <v>71</v>
      </c>
      <c r="Q191" s="19">
        <v>64.5</v>
      </c>
      <c r="R191" t="s">
        <v>72</v>
      </c>
      <c r="S191" s="19">
        <v>6.45</v>
      </c>
      <c r="T191" s="19">
        <v>0</v>
      </c>
      <c r="U191" s="19">
        <v>10.37</v>
      </c>
      <c r="V191" s="19">
        <v>58.05</v>
      </c>
      <c r="W191" s="19">
        <v>64.5</v>
      </c>
      <c r="X191" t="s">
        <v>73</v>
      </c>
      <c r="Y191" s="20">
        <v>5.0099999999999999E-2</v>
      </c>
      <c r="Z191" s="19">
        <v>3.23</v>
      </c>
      <c r="AA191" s="19">
        <v>61.28</v>
      </c>
      <c r="AB191" s="19">
        <v>3.23</v>
      </c>
      <c r="AC191" t="s">
        <v>73</v>
      </c>
      <c r="AD191" s="19">
        <v>2.71</v>
      </c>
      <c r="AE191" s="19">
        <v>0.52</v>
      </c>
      <c r="AF191" s="19">
        <v>3.23</v>
      </c>
      <c r="AG191" s="19">
        <v>1.07</v>
      </c>
      <c r="AH191" s="19">
        <v>56.98</v>
      </c>
      <c r="AI191" s="19">
        <v>3.23</v>
      </c>
      <c r="AJ191" t="s">
        <v>73</v>
      </c>
      <c r="AK191" s="19">
        <v>0</v>
      </c>
      <c r="AL191" s="19">
        <v>61.28</v>
      </c>
      <c r="AM191" t="b">
        <f t="shared" si="12"/>
        <v>1</v>
      </c>
      <c r="AN191" s="21">
        <f t="shared" si="13"/>
        <v>-9.9999999999995925E-5</v>
      </c>
      <c r="AO191" s="19">
        <f t="shared" si="14"/>
        <v>4.9999999999998934E-3</v>
      </c>
      <c r="AP191" s="22">
        <v>15</v>
      </c>
      <c r="AQ191" s="18">
        <f t="shared" si="15"/>
        <v>0</v>
      </c>
      <c r="AR191" s="18">
        <f t="shared" si="16"/>
        <v>15</v>
      </c>
      <c r="AS191" s="23">
        <f t="shared" si="17"/>
        <v>0</v>
      </c>
      <c r="AT191" s="24">
        <v>46277.984027777777</v>
      </c>
      <c r="AU191" s="16" t="s">
        <v>921</v>
      </c>
      <c r="AV191" s="16">
        <v>292153469</v>
      </c>
      <c r="AW191" s="16">
        <v>730072034</v>
      </c>
      <c r="AX191" s="16" t="s">
        <v>896</v>
      </c>
      <c r="AY191" s="16">
        <v>64.5</v>
      </c>
      <c r="AZ191" s="16">
        <v>64.5</v>
      </c>
      <c r="BA191" s="16">
        <v>5</v>
      </c>
      <c r="BB191" s="16">
        <v>3.2250000000000001</v>
      </c>
      <c r="BC191" s="16">
        <v>15</v>
      </c>
      <c r="BD191" s="16">
        <v>15</v>
      </c>
      <c r="BE191" s="16">
        <v>0</v>
      </c>
      <c r="BF191" s="16" t="s">
        <v>69</v>
      </c>
      <c r="BG191" s="16" t="s">
        <v>922</v>
      </c>
      <c r="BH191" s="16">
        <v>15</v>
      </c>
      <c r="BI191" s="16">
        <v>0</v>
      </c>
      <c r="BJ191" s="16">
        <v>76.275000000000006</v>
      </c>
      <c r="BK191" s="16">
        <v>3.2250000000000001</v>
      </c>
      <c r="BL191" s="16">
        <v>15</v>
      </c>
    </row>
    <row r="192" spans="1:64" x14ac:dyDescent="0.25">
      <c r="A192" s="11">
        <v>46277</v>
      </c>
      <c r="B192" s="12" t="s">
        <v>923</v>
      </c>
      <c r="C192" s="13">
        <v>30915</v>
      </c>
      <c r="D192" s="14"/>
      <c r="E192" s="15"/>
      <c r="F192" s="13">
        <v>19377</v>
      </c>
      <c r="G192" s="13">
        <v>292153651</v>
      </c>
      <c r="H192" s="12" t="s">
        <v>64</v>
      </c>
      <c r="I192" s="16" t="s">
        <v>65</v>
      </c>
      <c r="J192" s="16" t="s">
        <v>66</v>
      </c>
      <c r="K192" s="17">
        <v>3</v>
      </c>
      <c r="L192" t="s">
        <v>207</v>
      </c>
      <c r="M192" t="s">
        <v>924</v>
      </c>
      <c r="N192" t="s">
        <v>69</v>
      </c>
      <c r="O192" s="16" t="s">
        <v>70</v>
      </c>
      <c r="P192" t="s">
        <v>71</v>
      </c>
      <c r="Q192" s="19">
        <v>39</v>
      </c>
      <c r="R192" t="s">
        <v>72</v>
      </c>
      <c r="S192" s="19">
        <v>3.9</v>
      </c>
      <c r="T192" s="19">
        <v>0</v>
      </c>
      <c r="U192" s="19">
        <v>7.05</v>
      </c>
      <c r="V192" s="19">
        <v>35.1</v>
      </c>
      <c r="W192" s="19">
        <v>39</v>
      </c>
      <c r="X192" t="s">
        <v>73</v>
      </c>
      <c r="Y192" s="20">
        <v>4.5100000000000001E-2</v>
      </c>
      <c r="Z192" s="19">
        <v>1.76</v>
      </c>
      <c r="AA192" s="19">
        <v>37.25</v>
      </c>
      <c r="AB192" s="19">
        <v>1.76</v>
      </c>
      <c r="AC192" t="s">
        <v>73</v>
      </c>
      <c r="AD192" s="19">
        <v>1.44</v>
      </c>
      <c r="AE192" s="19">
        <v>0.32</v>
      </c>
      <c r="AF192" s="19">
        <v>1.76</v>
      </c>
      <c r="AG192" s="19">
        <v>2</v>
      </c>
      <c r="AH192" s="19">
        <v>33.1</v>
      </c>
      <c r="AI192" s="19">
        <v>1.76</v>
      </c>
      <c r="AJ192" t="s">
        <v>73</v>
      </c>
      <c r="AK192" s="19">
        <v>0</v>
      </c>
      <c r="AL192" s="19">
        <v>37.25</v>
      </c>
      <c r="AM192" t="b">
        <f t="shared" si="12"/>
        <v>1</v>
      </c>
      <c r="AN192" s="21">
        <f t="shared" si="13"/>
        <v>-1.0000000000000286E-4</v>
      </c>
      <c r="AO192" s="19">
        <f t="shared" si="14"/>
        <v>5.0000000000001155E-3</v>
      </c>
      <c r="AP192" s="22">
        <v>15</v>
      </c>
      <c r="AQ192" s="18">
        <f t="shared" si="15"/>
        <v>0</v>
      </c>
      <c r="AR192" s="18">
        <f t="shared" si="16"/>
        <v>6.9</v>
      </c>
      <c r="AS192" s="23">
        <f t="shared" si="17"/>
        <v>8.1</v>
      </c>
      <c r="AT192" s="24">
        <v>46277.991666666669</v>
      </c>
      <c r="AU192" s="16" t="s">
        <v>209</v>
      </c>
      <c r="AV192" s="16">
        <v>292153651</v>
      </c>
      <c r="AW192" s="16">
        <v>740289253</v>
      </c>
      <c r="AX192" s="16" t="s">
        <v>925</v>
      </c>
      <c r="AY192" s="16">
        <v>39</v>
      </c>
      <c r="AZ192" s="16">
        <v>39</v>
      </c>
      <c r="BA192" s="16">
        <v>4.5</v>
      </c>
      <c r="BB192" s="16">
        <v>1.7549999999999999</v>
      </c>
      <c r="BC192" s="16">
        <v>15</v>
      </c>
      <c r="BD192" s="16">
        <v>6.9</v>
      </c>
      <c r="BE192" s="16">
        <v>0</v>
      </c>
      <c r="BF192" s="16" t="s">
        <v>69</v>
      </c>
      <c r="BG192" s="16" t="s">
        <v>926</v>
      </c>
      <c r="BH192" s="16">
        <v>15</v>
      </c>
      <c r="BI192" s="16">
        <v>8.1</v>
      </c>
      <c r="BJ192" s="16">
        <v>44.144999999999996</v>
      </c>
      <c r="BK192" s="16">
        <v>1.7549999999999999</v>
      </c>
      <c r="BL192" s="16">
        <v>6.9</v>
      </c>
    </row>
    <row r="193" spans="1:64" x14ac:dyDescent="0.25">
      <c r="A193" s="24">
        <v>46276</v>
      </c>
      <c r="B193" s="26">
        <v>0.65694444444444444</v>
      </c>
      <c r="C193" s="27">
        <v>56921</v>
      </c>
      <c r="D193" s="28"/>
      <c r="E193" s="29"/>
      <c r="F193" s="13">
        <v>19317</v>
      </c>
      <c r="G193" s="27">
        <v>291856277</v>
      </c>
      <c r="H193" s="12" t="s">
        <v>64</v>
      </c>
      <c r="I193" s="16" t="s">
        <v>65</v>
      </c>
      <c r="J193" s="16" t="s">
        <v>66</v>
      </c>
      <c r="K193" s="29"/>
      <c r="L193" s="30" t="s">
        <v>927</v>
      </c>
      <c r="M193" s="29"/>
      <c r="N193" s="29" t="s">
        <v>928</v>
      </c>
      <c r="O193" s="16" t="s">
        <v>70</v>
      </c>
      <c r="P193" s="29"/>
      <c r="Q193" s="31">
        <v>41.5</v>
      </c>
      <c r="R193" t="s">
        <v>72</v>
      </c>
      <c r="S193" s="32">
        <f>Q193*0.1</f>
        <v>4.1500000000000004</v>
      </c>
      <c r="T193" s="19">
        <v>0</v>
      </c>
      <c r="U193" s="19">
        <v>7.37</v>
      </c>
      <c r="V193" s="19">
        <f>Q193-S193</f>
        <v>37.35</v>
      </c>
      <c r="W193" s="19">
        <f>Q193+T193</f>
        <v>41.5</v>
      </c>
      <c r="Y193" s="20">
        <f>Z193/Q193</f>
        <v>5.0120481927710847E-2</v>
      </c>
      <c r="Z193" s="19">
        <v>2.08</v>
      </c>
      <c r="AA193" s="19">
        <f>W193-Z193</f>
        <v>39.42</v>
      </c>
      <c r="AB193" s="19">
        <v>2.08</v>
      </c>
      <c r="AD193" s="19">
        <f>AB193/1.15</f>
        <v>1.8086956521739133</v>
      </c>
      <c r="AE193" s="19">
        <f>AD193*0.15</f>
        <v>0.27130434782608698</v>
      </c>
      <c r="AF193" s="19">
        <f>AD193+AE193</f>
        <v>2.08</v>
      </c>
      <c r="AG193" s="19">
        <v>0</v>
      </c>
      <c r="AH193" s="19">
        <v>37.35</v>
      </c>
      <c r="AI193" s="19">
        <v>2.08</v>
      </c>
      <c r="AL193" s="19">
        <f>AA193</f>
        <v>39.42</v>
      </c>
      <c r="AM193" t="b">
        <f t="shared" si="12"/>
        <v>1</v>
      </c>
      <c r="AN193" s="21">
        <f t="shared" si="13"/>
        <v>-1.2048192771084432E-4</v>
      </c>
      <c r="AO193" s="19">
        <f t="shared" si="14"/>
        <v>4.9999999999998934E-3</v>
      </c>
      <c r="AP193" s="22">
        <v>15</v>
      </c>
      <c r="AQ193" s="18">
        <f t="shared" si="15"/>
        <v>0</v>
      </c>
      <c r="AR193" s="18">
        <f t="shared" si="16"/>
        <v>8</v>
      </c>
      <c r="AS193" s="23">
        <f t="shared" si="17"/>
        <v>7</v>
      </c>
      <c r="AT193" s="33">
        <v>46276.688194444447</v>
      </c>
      <c r="AU193" s="30" t="s">
        <v>927</v>
      </c>
      <c r="AV193" s="27">
        <v>291856277</v>
      </c>
      <c r="AW193" s="28">
        <v>739560969</v>
      </c>
      <c r="AX193" s="29" t="s">
        <v>929</v>
      </c>
      <c r="AY193" s="32">
        <v>41.5</v>
      </c>
      <c r="AZ193" s="32">
        <v>41.5</v>
      </c>
      <c r="BA193" s="28">
        <v>5</v>
      </c>
      <c r="BB193" s="32">
        <v>2.0750000000000002</v>
      </c>
      <c r="BC193" s="28">
        <v>15</v>
      </c>
      <c r="BD193" s="29">
        <v>8</v>
      </c>
      <c r="BE193" s="28">
        <v>0</v>
      </c>
      <c r="BF193" s="29" t="s">
        <v>69</v>
      </c>
      <c r="BG193" s="29" t="s">
        <v>930</v>
      </c>
      <c r="BH193" s="34">
        <v>15</v>
      </c>
      <c r="BI193" s="34">
        <v>7</v>
      </c>
      <c r="BJ193" s="35">
        <f>AY193+BD193-BB193</f>
        <v>47.424999999999997</v>
      </c>
      <c r="BK193" s="36">
        <f>BB193</f>
        <v>2.0750000000000002</v>
      </c>
      <c r="BL193" s="36">
        <f>BC193-BI193</f>
        <v>8</v>
      </c>
    </row>
    <row r="194" spans="1:64" x14ac:dyDescent="0.25">
      <c r="Q194" s="19">
        <f>SUM(Q2:Q193)</f>
        <v>12629.460000000001</v>
      </c>
      <c r="S194" s="37">
        <f>SUM(S2:S193)</f>
        <v>648.94999999999993</v>
      </c>
      <c r="T194" s="19">
        <f>SUM(T2:T193)</f>
        <v>1575</v>
      </c>
      <c r="W194" s="19">
        <f>SUM(W2:W193)</f>
        <v>14204.460000000003</v>
      </c>
      <c r="Z194" s="19">
        <f>SUM(Z2:Z193)</f>
        <v>605.77</v>
      </c>
      <c r="AG194" s="19">
        <f>SUM(AG2:AG193)</f>
        <v>2791.78</v>
      </c>
      <c r="AH194" s="19">
        <f>SUM(AH2:AH193)</f>
        <v>10763.730000000005</v>
      </c>
      <c r="AN194" s="21"/>
      <c r="AO194" s="19"/>
      <c r="AQ194" s="19"/>
      <c r="AR194" s="19">
        <f>SUM(AR2:AR193)</f>
        <v>1009.2</v>
      </c>
      <c r="BH194" s="16">
        <f t="shared" ref="BH194:BL194" si="18">SUM(BH2:BH193)</f>
        <v>1845</v>
      </c>
      <c r="BI194" s="16">
        <f t="shared" si="18"/>
        <v>835.80000000000007</v>
      </c>
      <c r="BJ194" s="16">
        <f t="shared" si="18"/>
        <v>14607.975749084479</v>
      </c>
      <c r="BK194" s="16">
        <f t="shared" si="18"/>
        <v>605.68425000000002</v>
      </c>
      <c r="BL194" s="16">
        <f t="shared" si="18"/>
        <v>2584.2000000000007</v>
      </c>
    </row>
    <row r="195" spans="1:64" x14ac:dyDescent="0.25">
      <c r="AN195" s="21"/>
      <c r="AO195" s="19"/>
      <c r="AQ195" s="19"/>
      <c r="AR195" s="19"/>
    </row>
    <row r="196" spans="1:64" x14ac:dyDescent="0.25">
      <c r="AN196" s="21"/>
      <c r="AO196" s="19"/>
      <c r="AQ196" s="19"/>
      <c r="AR196" s="19"/>
    </row>
    <row r="197" spans="1:64" x14ac:dyDescent="0.25">
      <c r="AN197" s="21"/>
      <c r="AO197" s="19"/>
      <c r="AQ197" s="19"/>
      <c r="AR197" s="19"/>
    </row>
    <row r="198" spans="1:64" x14ac:dyDescent="0.25">
      <c r="T198" s="38"/>
      <c r="Y198"/>
      <c r="AA198" s="39"/>
      <c r="AN198" s="21"/>
      <c r="AO198" s="19"/>
      <c r="AQ198" s="19"/>
      <c r="AR198" s="19"/>
    </row>
    <row r="199" spans="1:64" s="10" customFormat="1" ht="45" x14ac:dyDescent="0.25">
      <c r="A199" s="16"/>
      <c r="B199" s="16"/>
      <c r="C199" s="16"/>
      <c r="D199" s="17"/>
      <c r="E199"/>
      <c r="F199" s="16"/>
      <c r="G199" s="16"/>
      <c r="H199" s="16"/>
      <c r="I199" s="16"/>
      <c r="J199" s="16"/>
      <c r="K199" s="17"/>
      <c r="L199"/>
      <c r="M199"/>
      <c r="N199"/>
      <c r="O199" s="16"/>
      <c r="P199"/>
      <c r="Q199"/>
      <c r="R199"/>
      <c r="S199" s="40"/>
      <c r="T199" s="41" t="s">
        <v>931</v>
      </c>
      <c r="U199" s="4" t="s">
        <v>932</v>
      </c>
      <c r="V199" s="4" t="s">
        <v>933</v>
      </c>
      <c r="W199" s="4" t="s">
        <v>934</v>
      </c>
      <c r="X199" s="4" t="s">
        <v>935</v>
      </c>
      <c r="Y199" s="4" t="s">
        <v>936</v>
      </c>
      <c r="Z199" s="1" t="s">
        <v>937</v>
      </c>
      <c r="AA199" s="4" t="s">
        <v>30</v>
      </c>
      <c r="AB199" s="4" t="s">
        <v>31</v>
      </c>
      <c r="AC199" s="1" t="s">
        <v>938</v>
      </c>
      <c r="AD199" s="4" t="s">
        <v>939</v>
      </c>
      <c r="AE199" s="4" t="s">
        <v>940</v>
      </c>
      <c r="AF199" s="4" t="s">
        <v>941</v>
      </c>
      <c r="AG199" s="4" t="s">
        <v>942</v>
      </c>
      <c r="AT199" s="42"/>
    </row>
    <row r="200" spans="1:64" ht="27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43"/>
      <c r="T200" s="21"/>
      <c r="U200" s="21">
        <f>Q194</f>
        <v>12629.460000000001</v>
      </c>
      <c r="V200" s="21">
        <f>T194</f>
        <v>1575</v>
      </c>
      <c r="W200" s="21">
        <f>AR194</f>
        <v>1009.2</v>
      </c>
      <c r="X200" s="21">
        <f>-BK194+Z194</f>
        <v>8.5749999999961801E-2</v>
      </c>
      <c r="Y200" s="21">
        <f>Z194</f>
        <v>605.77</v>
      </c>
      <c r="Z200" s="44">
        <f>U200+V200+W200+X200-Y200</f>
        <v>14607.975750000001</v>
      </c>
      <c r="AA200" s="45">
        <f>AG194</f>
        <v>2791.78</v>
      </c>
      <c r="AB200" s="45">
        <f>AH194</f>
        <v>10763.730000000005</v>
      </c>
      <c r="AC200" s="46">
        <f>AA200+AB200</f>
        <v>13555.510000000006</v>
      </c>
      <c r="AD200" s="47">
        <f>W194</f>
        <v>14204.460000000003</v>
      </c>
      <c r="AE200" s="21">
        <f>AD200-AC200</f>
        <v>648.94999999999709</v>
      </c>
      <c r="AF200" s="21">
        <f>-S194</f>
        <v>-648.94999999999993</v>
      </c>
      <c r="AG200" s="21">
        <f>AE200+AF200</f>
        <v>-2.8421709430404007E-12</v>
      </c>
    </row>
  </sheetData>
  <autoFilter ref="A1:BL1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5B03-FA4A-4D1F-9C56-6529E2087BA4}">
  <dimension ref="A1:S194"/>
  <sheetViews>
    <sheetView tabSelected="1" topLeftCell="J1" workbookViewId="0">
      <pane ySplit="2" topLeftCell="A127" activePane="bottomLeft" state="frozen"/>
      <selection activeCell="A148" sqref="A148:S148"/>
      <selection pane="bottomLeft" activeCell="K141" sqref="K141"/>
    </sheetView>
  </sheetViews>
  <sheetFormatPr defaultRowHeight="15" x14ac:dyDescent="0.25"/>
  <cols>
    <col min="1" max="1" width="29.5703125" style="29" customWidth="1"/>
    <col min="2" max="2" width="42.7109375" style="29" customWidth="1"/>
    <col min="3" max="3" width="14.85546875" style="48" customWidth="1"/>
    <col min="4" max="4" width="14.85546875" style="29" customWidth="1"/>
    <col min="5" max="5" width="19.28515625" style="29" customWidth="1"/>
    <col min="6" max="6" width="18.42578125" style="29" customWidth="1"/>
    <col min="7" max="7" width="17.7109375" style="29" customWidth="1"/>
    <col min="8" max="8" width="25.42578125" style="29" customWidth="1"/>
    <col min="9" max="9" width="19.7109375" style="29" customWidth="1"/>
    <col min="10" max="10" width="20.7109375" style="29" customWidth="1"/>
    <col min="11" max="11" width="37.5703125" style="29" customWidth="1"/>
    <col min="12" max="12" width="14" style="29" customWidth="1"/>
    <col min="13" max="13" width="14.7109375" style="29" customWidth="1"/>
    <col min="14" max="14" width="233.85546875" style="29" customWidth="1"/>
    <col min="15" max="15" width="20.42578125" style="29" customWidth="1"/>
    <col min="16" max="16" width="30.28515625" style="29" customWidth="1"/>
    <col min="17" max="17" width="23.5703125" style="29" customWidth="1"/>
    <col min="18" max="18" width="29.28515625" style="29" customWidth="1"/>
    <col min="19" max="19" width="34.140625" style="29" customWidth="1"/>
    <col min="20" max="16384" width="9.140625" style="29"/>
  </cols>
  <sheetData>
    <row r="1" spans="1:19" x14ac:dyDescent="0.25">
      <c r="Q1" s="49">
        <f>SUM(Q3:Q194)</f>
        <v>14607.975749084479</v>
      </c>
    </row>
    <row r="2" spans="1:19" x14ac:dyDescent="0.25">
      <c r="A2" s="29" t="s">
        <v>43</v>
      </c>
      <c r="B2" s="29" t="s">
        <v>44</v>
      </c>
      <c r="C2" s="48" t="s">
        <v>45</v>
      </c>
      <c r="D2" s="29" t="s">
        <v>46</v>
      </c>
      <c r="E2" s="29" t="s">
        <v>47</v>
      </c>
      <c r="F2" s="29" t="s">
        <v>48</v>
      </c>
      <c r="G2" s="29" t="s">
        <v>49</v>
      </c>
      <c r="H2" s="29" t="s">
        <v>50</v>
      </c>
      <c r="I2" s="29" t="s">
        <v>51</v>
      </c>
      <c r="J2" s="29" t="s">
        <v>52</v>
      </c>
      <c r="K2" s="29" t="s">
        <v>53</v>
      </c>
      <c r="L2" s="29" t="s">
        <v>54</v>
      </c>
      <c r="M2" s="29" t="s">
        <v>55</v>
      </c>
      <c r="N2" s="29" t="s">
        <v>56</v>
      </c>
      <c r="O2" s="29" t="s">
        <v>57</v>
      </c>
      <c r="P2" s="29" t="s">
        <v>58</v>
      </c>
      <c r="Q2" s="50" t="s">
        <v>59</v>
      </c>
      <c r="R2" s="50" t="s">
        <v>60</v>
      </c>
      <c r="S2" s="50" t="s">
        <v>61</v>
      </c>
    </row>
    <row r="3" spans="1:19" x14ac:dyDescent="0.25">
      <c r="A3" s="51">
        <v>46272.012499999997</v>
      </c>
      <c r="B3" s="29" t="s">
        <v>74</v>
      </c>
      <c r="C3" s="48">
        <v>291072289</v>
      </c>
      <c r="D3" s="28">
        <v>737259729</v>
      </c>
      <c r="E3" s="29" t="s">
        <v>63</v>
      </c>
      <c r="F3" s="28">
        <v>89</v>
      </c>
      <c r="G3" s="28">
        <v>76</v>
      </c>
      <c r="H3" s="28">
        <v>5</v>
      </c>
      <c r="I3" s="32">
        <v>3.8</v>
      </c>
      <c r="J3" s="28">
        <v>28</v>
      </c>
      <c r="K3" s="29">
        <v>6.9</v>
      </c>
      <c r="L3" s="28">
        <v>12</v>
      </c>
      <c r="M3" s="29" t="s">
        <v>69</v>
      </c>
      <c r="N3" s="29" t="s">
        <v>75</v>
      </c>
      <c r="O3" s="29">
        <v>15</v>
      </c>
      <c r="P3" s="29">
        <v>8.1</v>
      </c>
      <c r="Q3" s="31">
        <f t="shared" ref="Q3:Q66" si="0">F3+K3-I3</f>
        <v>92.100000000000009</v>
      </c>
      <c r="R3" s="32">
        <f t="shared" ref="R3:R66" si="1">I3</f>
        <v>3.8</v>
      </c>
      <c r="S3" s="32">
        <f t="shared" ref="S3:S66" si="2">J3-P3</f>
        <v>19.899999999999999</v>
      </c>
    </row>
    <row r="4" spans="1:19" x14ac:dyDescent="0.25">
      <c r="A4" s="51">
        <v>46272.012499999997</v>
      </c>
      <c r="B4" s="29" t="s">
        <v>80</v>
      </c>
      <c r="C4" s="48">
        <v>291072796</v>
      </c>
      <c r="D4" s="28">
        <v>737262262</v>
      </c>
      <c r="E4" s="29" t="s">
        <v>81</v>
      </c>
      <c r="F4" s="28">
        <v>51</v>
      </c>
      <c r="G4" s="28">
        <v>34</v>
      </c>
      <c r="H4" s="28">
        <v>5</v>
      </c>
      <c r="I4" s="32">
        <v>1.7</v>
      </c>
      <c r="J4" s="28">
        <v>17</v>
      </c>
      <c r="K4" s="29">
        <v>0</v>
      </c>
      <c r="L4" s="28">
        <v>16</v>
      </c>
      <c r="M4" s="29" t="s">
        <v>69</v>
      </c>
      <c r="N4" s="29" t="s">
        <v>82</v>
      </c>
      <c r="O4" s="29">
        <v>0</v>
      </c>
      <c r="P4" s="29">
        <v>0</v>
      </c>
      <c r="Q4" s="31">
        <f t="shared" si="0"/>
        <v>49.3</v>
      </c>
      <c r="R4" s="32">
        <f t="shared" si="1"/>
        <v>1.7</v>
      </c>
      <c r="S4" s="32">
        <f t="shared" si="2"/>
        <v>17</v>
      </c>
    </row>
    <row r="5" spans="1:19" x14ac:dyDescent="0.25">
      <c r="A5" s="51">
        <v>46272.01666666667</v>
      </c>
      <c r="B5" s="29" t="s">
        <v>87</v>
      </c>
      <c r="C5" s="48">
        <v>291073381</v>
      </c>
      <c r="D5" s="28">
        <v>737265417</v>
      </c>
      <c r="E5" s="29" t="s">
        <v>88</v>
      </c>
      <c r="F5" s="28">
        <v>46</v>
      </c>
      <c r="G5" s="28">
        <v>41</v>
      </c>
      <c r="H5" s="32">
        <v>4.75</v>
      </c>
      <c r="I5" s="32">
        <v>1.9475</v>
      </c>
      <c r="J5" s="28">
        <v>15</v>
      </c>
      <c r="K5" s="29">
        <v>6</v>
      </c>
      <c r="L5" s="28">
        <v>4</v>
      </c>
      <c r="M5" s="29" t="s">
        <v>69</v>
      </c>
      <c r="N5" s="29" t="s">
        <v>89</v>
      </c>
      <c r="O5" s="29">
        <v>10</v>
      </c>
      <c r="P5" s="29">
        <v>4</v>
      </c>
      <c r="Q5" s="31">
        <f t="shared" si="0"/>
        <v>50.052500000000002</v>
      </c>
      <c r="R5" s="32">
        <f t="shared" si="1"/>
        <v>1.9475</v>
      </c>
      <c r="S5" s="32">
        <f t="shared" si="2"/>
        <v>11</v>
      </c>
    </row>
    <row r="6" spans="1:19" x14ac:dyDescent="0.25">
      <c r="A6" s="51">
        <v>46272.026388888888</v>
      </c>
      <c r="B6" s="29" t="s">
        <v>93</v>
      </c>
      <c r="C6" s="48">
        <v>291073584</v>
      </c>
      <c r="D6" s="28">
        <v>737266319</v>
      </c>
      <c r="E6" s="29" t="s">
        <v>94</v>
      </c>
      <c r="F6" s="28">
        <v>49</v>
      </c>
      <c r="G6" s="28">
        <v>36</v>
      </c>
      <c r="H6" s="28">
        <v>5</v>
      </c>
      <c r="I6" s="32">
        <v>1.8</v>
      </c>
      <c r="J6" s="28">
        <v>28</v>
      </c>
      <c r="K6" s="29">
        <v>10</v>
      </c>
      <c r="L6" s="28">
        <v>12</v>
      </c>
      <c r="M6" s="29" t="s">
        <v>69</v>
      </c>
      <c r="N6" s="29" t="s">
        <v>95</v>
      </c>
      <c r="O6" s="29">
        <v>15</v>
      </c>
      <c r="P6" s="29">
        <v>5</v>
      </c>
      <c r="Q6" s="31">
        <f t="shared" si="0"/>
        <v>57.2</v>
      </c>
      <c r="R6" s="32">
        <f t="shared" si="1"/>
        <v>1.8</v>
      </c>
      <c r="S6" s="32">
        <f t="shared" si="2"/>
        <v>23</v>
      </c>
    </row>
    <row r="7" spans="1:19" x14ac:dyDescent="0.25">
      <c r="A7" s="51">
        <v>46272.03125</v>
      </c>
      <c r="B7" s="29" t="s">
        <v>87</v>
      </c>
      <c r="C7" s="48">
        <v>291074479</v>
      </c>
      <c r="D7" s="28">
        <v>737271077</v>
      </c>
      <c r="E7" s="29" t="s">
        <v>98</v>
      </c>
      <c r="F7" s="28">
        <v>57</v>
      </c>
      <c r="G7" s="28">
        <v>52</v>
      </c>
      <c r="H7" s="32">
        <v>4.75</v>
      </c>
      <c r="I7" s="32">
        <v>2.4700000000000002</v>
      </c>
      <c r="J7" s="28">
        <v>15</v>
      </c>
      <c r="K7" s="29">
        <v>6</v>
      </c>
      <c r="L7" s="28">
        <v>4</v>
      </c>
      <c r="M7" s="29" t="s">
        <v>69</v>
      </c>
      <c r="N7" s="29" t="s">
        <v>99</v>
      </c>
      <c r="O7" s="29">
        <v>10</v>
      </c>
      <c r="P7" s="29">
        <v>4</v>
      </c>
      <c r="Q7" s="31">
        <f t="shared" si="0"/>
        <v>60.53</v>
      </c>
      <c r="R7" s="32">
        <f t="shared" si="1"/>
        <v>2.4700000000000002</v>
      </c>
      <c r="S7" s="32">
        <f t="shared" si="2"/>
        <v>11</v>
      </c>
    </row>
    <row r="8" spans="1:19" x14ac:dyDescent="0.25">
      <c r="A8" s="51">
        <v>46272.040972222225</v>
      </c>
      <c r="B8" s="29" t="s">
        <v>93</v>
      </c>
      <c r="C8" s="48">
        <v>291074815</v>
      </c>
      <c r="D8" s="28">
        <v>737272276</v>
      </c>
      <c r="E8" s="29" t="s">
        <v>102</v>
      </c>
      <c r="F8" s="28">
        <v>91</v>
      </c>
      <c r="G8" s="28">
        <v>91</v>
      </c>
      <c r="H8" s="28">
        <v>5</v>
      </c>
      <c r="I8" s="32">
        <v>4.55</v>
      </c>
      <c r="J8" s="28">
        <v>15</v>
      </c>
      <c r="K8" s="29">
        <v>10</v>
      </c>
      <c r="L8" s="28">
        <v>0</v>
      </c>
      <c r="M8" s="29" t="s">
        <v>69</v>
      </c>
      <c r="N8" s="29" t="s">
        <v>103</v>
      </c>
      <c r="O8" s="29">
        <v>15</v>
      </c>
      <c r="P8" s="29">
        <v>5</v>
      </c>
      <c r="Q8" s="31">
        <f t="shared" si="0"/>
        <v>96.45</v>
      </c>
      <c r="R8" s="32">
        <f t="shared" si="1"/>
        <v>4.55</v>
      </c>
      <c r="S8" s="32">
        <f t="shared" si="2"/>
        <v>10</v>
      </c>
    </row>
    <row r="9" spans="1:19" x14ac:dyDescent="0.25">
      <c r="A9" s="51">
        <v>46272.061805555553</v>
      </c>
      <c r="B9" s="29" t="s">
        <v>87</v>
      </c>
      <c r="C9" s="48">
        <v>291075862</v>
      </c>
      <c r="D9" s="28">
        <v>737279781</v>
      </c>
      <c r="E9" s="29" t="s">
        <v>106</v>
      </c>
      <c r="F9" s="28">
        <v>88</v>
      </c>
      <c r="G9" s="28">
        <v>76</v>
      </c>
      <c r="H9" s="32">
        <v>4.75</v>
      </c>
      <c r="I9" s="32">
        <v>3.61</v>
      </c>
      <c r="J9" s="28">
        <v>22</v>
      </c>
      <c r="K9" s="29">
        <v>6</v>
      </c>
      <c r="L9" s="28">
        <v>11</v>
      </c>
      <c r="M9" s="29" t="s">
        <v>69</v>
      </c>
      <c r="N9" s="29" t="s">
        <v>107</v>
      </c>
      <c r="O9" s="29">
        <v>10</v>
      </c>
      <c r="P9" s="29">
        <v>4</v>
      </c>
      <c r="Q9" s="31">
        <f t="shared" si="0"/>
        <v>90.39</v>
      </c>
      <c r="R9" s="32">
        <f t="shared" si="1"/>
        <v>3.61</v>
      </c>
      <c r="S9" s="32">
        <f t="shared" si="2"/>
        <v>18</v>
      </c>
    </row>
    <row r="10" spans="1:19" x14ac:dyDescent="0.25">
      <c r="A10" s="51">
        <v>46272.066666666666</v>
      </c>
      <c r="B10" s="29" t="s">
        <v>109</v>
      </c>
      <c r="C10" s="48">
        <v>291075976</v>
      </c>
      <c r="D10" s="28">
        <v>737280432</v>
      </c>
      <c r="E10" s="29" t="s">
        <v>110</v>
      </c>
      <c r="F10" s="28">
        <v>54</v>
      </c>
      <c r="G10" s="28">
        <v>39</v>
      </c>
      <c r="H10" s="28">
        <v>5</v>
      </c>
      <c r="I10" s="32">
        <v>1.95</v>
      </c>
      <c r="J10" s="28">
        <v>15</v>
      </c>
      <c r="K10" s="29">
        <v>0</v>
      </c>
      <c r="L10" s="28">
        <v>14</v>
      </c>
      <c r="M10" s="29" t="s">
        <v>69</v>
      </c>
      <c r="N10" s="29" t="s">
        <v>111</v>
      </c>
      <c r="O10" s="29">
        <v>0</v>
      </c>
      <c r="P10" s="29">
        <v>0</v>
      </c>
      <c r="Q10" s="31">
        <f t="shared" si="0"/>
        <v>52.05</v>
      </c>
      <c r="R10" s="32">
        <f t="shared" si="1"/>
        <v>1.95</v>
      </c>
      <c r="S10" s="32">
        <f t="shared" si="2"/>
        <v>15</v>
      </c>
    </row>
    <row r="11" spans="1:19" x14ac:dyDescent="0.25">
      <c r="A11" s="51">
        <v>46272.074305555558</v>
      </c>
      <c r="B11" s="29" t="s">
        <v>114</v>
      </c>
      <c r="C11" s="48">
        <v>291076113</v>
      </c>
      <c r="D11" s="28">
        <v>737280469</v>
      </c>
      <c r="E11" s="29" t="s">
        <v>115</v>
      </c>
      <c r="F11" s="32">
        <v>63.990001678466797</v>
      </c>
      <c r="G11" s="32">
        <v>63.99</v>
      </c>
      <c r="H11" s="28">
        <v>5</v>
      </c>
      <c r="I11" s="32">
        <v>3.1995</v>
      </c>
      <c r="J11" s="28">
        <v>15</v>
      </c>
      <c r="K11" s="29">
        <v>9.9</v>
      </c>
      <c r="L11" s="28">
        <v>0</v>
      </c>
      <c r="M11" s="29" t="s">
        <v>69</v>
      </c>
      <c r="N11" s="29" t="s">
        <v>116</v>
      </c>
      <c r="O11" s="29">
        <v>15</v>
      </c>
      <c r="P11" s="29">
        <v>5.0999999999999996</v>
      </c>
      <c r="Q11" s="31">
        <f t="shared" si="0"/>
        <v>70.690501678466802</v>
      </c>
      <c r="R11" s="32">
        <f t="shared" si="1"/>
        <v>3.1995</v>
      </c>
      <c r="S11" s="32">
        <f t="shared" si="2"/>
        <v>9.9</v>
      </c>
    </row>
    <row r="12" spans="1:19" x14ac:dyDescent="0.25">
      <c r="A12" s="51">
        <v>46272.099305555559</v>
      </c>
      <c r="B12" s="29" t="s">
        <v>120</v>
      </c>
      <c r="C12" s="48">
        <v>291077110</v>
      </c>
      <c r="D12" s="28">
        <v>737288055</v>
      </c>
      <c r="E12" s="29" t="s">
        <v>121</v>
      </c>
      <c r="F12" s="28">
        <v>32</v>
      </c>
      <c r="G12" s="28">
        <v>17</v>
      </c>
      <c r="H12" s="28">
        <v>4</v>
      </c>
      <c r="I12" s="32">
        <v>0.68</v>
      </c>
      <c r="J12" s="28">
        <v>15</v>
      </c>
      <c r="K12" s="29">
        <v>0</v>
      </c>
      <c r="L12" s="28">
        <v>14</v>
      </c>
      <c r="M12" s="29" t="s">
        <v>69</v>
      </c>
      <c r="N12" s="29" t="s">
        <v>122</v>
      </c>
      <c r="O12" s="29">
        <v>0</v>
      </c>
      <c r="P12" s="29">
        <v>0</v>
      </c>
      <c r="Q12" s="31">
        <f t="shared" si="0"/>
        <v>31.32</v>
      </c>
      <c r="R12" s="32">
        <f t="shared" si="1"/>
        <v>0.68</v>
      </c>
      <c r="S12" s="32">
        <f t="shared" si="2"/>
        <v>15</v>
      </c>
    </row>
    <row r="13" spans="1:19" x14ac:dyDescent="0.25">
      <c r="A13" s="51">
        <v>46272.155555555553</v>
      </c>
      <c r="B13" s="29" t="s">
        <v>125</v>
      </c>
      <c r="C13" s="48">
        <v>291078342</v>
      </c>
      <c r="D13" s="28">
        <v>737299027</v>
      </c>
      <c r="E13" s="29" t="s">
        <v>126</v>
      </c>
      <c r="F13" s="28">
        <v>44</v>
      </c>
      <c r="G13" s="28">
        <v>39</v>
      </c>
      <c r="H13" s="32">
        <v>4.75</v>
      </c>
      <c r="I13" s="32">
        <v>1.8525</v>
      </c>
      <c r="J13" s="28">
        <v>15</v>
      </c>
      <c r="K13" s="29">
        <v>6</v>
      </c>
      <c r="L13" s="28">
        <v>4</v>
      </c>
      <c r="M13" s="29" t="s">
        <v>69</v>
      </c>
      <c r="N13" s="29" t="s">
        <v>127</v>
      </c>
      <c r="O13" s="29">
        <v>10</v>
      </c>
      <c r="P13" s="29">
        <v>4</v>
      </c>
      <c r="Q13" s="31">
        <f t="shared" si="0"/>
        <v>48.147500000000001</v>
      </c>
      <c r="R13" s="32">
        <f t="shared" si="1"/>
        <v>1.8525</v>
      </c>
      <c r="S13" s="32">
        <f t="shared" si="2"/>
        <v>11</v>
      </c>
    </row>
    <row r="14" spans="1:19" x14ac:dyDescent="0.25">
      <c r="A14" s="51">
        <v>46272.23541666667</v>
      </c>
      <c r="B14" s="29" t="s">
        <v>129</v>
      </c>
      <c r="C14" s="48">
        <v>291079050</v>
      </c>
      <c r="D14" s="28">
        <v>737308492</v>
      </c>
      <c r="E14" s="29" t="s">
        <v>130</v>
      </c>
      <c r="F14" s="28">
        <v>37</v>
      </c>
      <c r="G14" s="28">
        <v>37</v>
      </c>
      <c r="H14" s="28">
        <v>5</v>
      </c>
      <c r="I14" s="32">
        <v>1.85</v>
      </c>
      <c r="J14" s="28">
        <v>15</v>
      </c>
      <c r="K14" s="29">
        <v>6.9</v>
      </c>
      <c r="L14" s="28">
        <v>0</v>
      </c>
      <c r="M14" s="29" t="s">
        <v>69</v>
      </c>
      <c r="N14" s="29" t="s">
        <v>131</v>
      </c>
      <c r="O14" s="29">
        <v>15</v>
      </c>
      <c r="P14" s="29">
        <v>8.1</v>
      </c>
      <c r="Q14" s="31">
        <f t="shared" si="0"/>
        <v>42.05</v>
      </c>
      <c r="R14" s="32">
        <f t="shared" si="1"/>
        <v>1.85</v>
      </c>
      <c r="S14" s="32">
        <f t="shared" si="2"/>
        <v>6.9</v>
      </c>
    </row>
    <row r="15" spans="1:19" x14ac:dyDescent="0.25">
      <c r="A15" s="51">
        <v>46272.425000000003</v>
      </c>
      <c r="B15" s="29" t="s">
        <v>135</v>
      </c>
      <c r="C15" s="48">
        <v>291087843</v>
      </c>
      <c r="D15" s="28">
        <v>737349028</v>
      </c>
      <c r="E15" s="29" t="s">
        <v>110</v>
      </c>
      <c r="F15" s="28">
        <v>121</v>
      </c>
      <c r="G15" s="28">
        <v>119</v>
      </c>
      <c r="H15" s="28">
        <v>5</v>
      </c>
      <c r="I15" s="32">
        <v>5.95</v>
      </c>
      <c r="J15" s="28">
        <v>17</v>
      </c>
      <c r="K15" s="29">
        <v>4.95</v>
      </c>
      <c r="L15" s="28">
        <v>1</v>
      </c>
      <c r="M15" s="29" t="s">
        <v>69</v>
      </c>
      <c r="N15" s="29" t="s">
        <v>136</v>
      </c>
      <c r="O15" s="29">
        <v>15</v>
      </c>
      <c r="P15" s="29">
        <v>10.050000000000001</v>
      </c>
      <c r="Q15" s="31">
        <f t="shared" si="0"/>
        <v>120</v>
      </c>
      <c r="R15" s="32">
        <f t="shared" si="1"/>
        <v>5.95</v>
      </c>
      <c r="S15" s="32">
        <f t="shared" si="2"/>
        <v>6.9499999999999993</v>
      </c>
    </row>
    <row r="16" spans="1:19" x14ac:dyDescent="0.25">
      <c r="A16" s="51">
        <v>46272.559027777781</v>
      </c>
      <c r="B16" s="29" t="s">
        <v>140</v>
      </c>
      <c r="C16" s="48">
        <v>291103361</v>
      </c>
      <c r="D16" s="28">
        <v>737397587</v>
      </c>
      <c r="E16" s="29" t="s">
        <v>141</v>
      </c>
      <c r="F16" s="28">
        <v>146</v>
      </c>
      <c r="G16" s="28">
        <v>139</v>
      </c>
      <c r="H16" s="28">
        <v>5</v>
      </c>
      <c r="I16" s="32">
        <v>6.95</v>
      </c>
      <c r="J16" s="28">
        <v>22</v>
      </c>
      <c r="K16" s="29">
        <v>4.95</v>
      </c>
      <c r="L16" s="28">
        <v>6</v>
      </c>
      <c r="M16" s="29" t="s">
        <v>69</v>
      </c>
      <c r="N16" s="29" t="s">
        <v>142</v>
      </c>
      <c r="O16" s="29">
        <v>15</v>
      </c>
      <c r="P16" s="29">
        <v>10.050000000000001</v>
      </c>
      <c r="Q16" s="31">
        <f t="shared" si="0"/>
        <v>144</v>
      </c>
      <c r="R16" s="32">
        <f t="shared" si="1"/>
        <v>6.95</v>
      </c>
      <c r="S16" s="32">
        <f t="shared" si="2"/>
        <v>11.95</v>
      </c>
    </row>
    <row r="17" spans="1:19" x14ac:dyDescent="0.25">
      <c r="A17" s="51">
        <v>46272.602083333331</v>
      </c>
      <c r="B17" s="29" t="s">
        <v>93</v>
      </c>
      <c r="C17" s="48">
        <v>291112329</v>
      </c>
      <c r="D17" s="28">
        <v>737421213</v>
      </c>
      <c r="E17" s="29" t="s">
        <v>110</v>
      </c>
      <c r="F17" s="28">
        <v>46</v>
      </c>
      <c r="G17" s="28">
        <v>29</v>
      </c>
      <c r="H17" s="28">
        <v>5</v>
      </c>
      <c r="I17" s="32">
        <v>1.45</v>
      </c>
      <c r="J17" s="28">
        <v>17</v>
      </c>
      <c r="K17" s="29">
        <v>0</v>
      </c>
      <c r="L17" s="28">
        <v>16</v>
      </c>
      <c r="M17" s="29" t="s">
        <v>69</v>
      </c>
      <c r="N17" s="29" t="s">
        <v>144</v>
      </c>
      <c r="O17" s="29">
        <v>0</v>
      </c>
      <c r="P17" s="29">
        <v>0</v>
      </c>
      <c r="Q17" s="31">
        <f t="shared" si="0"/>
        <v>44.55</v>
      </c>
      <c r="R17" s="32">
        <f t="shared" si="1"/>
        <v>1.45</v>
      </c>
      <c r="S17" s="32">
        <f t="shared" si="2"/>
        <v>17</v>
      </c>
    </row>
    <row r="18" spans="1:19" x14ac:dyDescent="0.25">
      <c r="A18" s="51">
        <v>46272.611111111109</v>
      </c>
      <c r="B18" s="29" t="s">
        <v>148</v>
      </c>
      <c r="C18" s="48">
        <v>291114350</v>
      </c>
      <c r="D18" s="28">
        <v>737424033</v>
      </c>
      <c r="E18" s="29" t="s">
        <v>149</v>
      </c>
      <c r="F18" s="28">
        <v>65</v>
      </c>
      <c r="G18" s="28">
        <v>65</v>
      </c>
      <c r="H18" s="28">
        <v>5</v>
      </c>
      <c r="I18" s="32">
        <v>3.25</v>
      </c>
      <c r="J18" s="28">
        <v>15</v>
      </c>
      <c r="K18" s="29">
        <v>5</v>
      </c>
      <c r="L18" s="28">
        <v>0</v>
      </c>
      <c r="M18" s="29" t="s">
        <v>69</v>
      </c>
      <c r="N18" s="29" t="s">
        <v>150</v>
      </c>
      <c r="O18" s="29">
        <v>15</v>
      </c>
      <c r="P18" s="29">
        <v>10</v>
      </c>
      <c r="Q18" s="31">
        <f t="shared" si="0"/>
        <v>66.75</v>
      </c>
      <c r="R18" s="32">
        <f t="shared" si="1"/>
        <v>3.25</v>
      </c>
      <c r="S18" s="32">
        <f t="shared" si="2"/>
        <v>5</v>
      </c>
    </row>
    <row r="19" spans="1:19" x14ac:dyDescent="0.25">
      <c r="A19" s="51">
        <v>46272.611111111109</v>
      </c>
      <c r="B19" s="29" t="s">
        <v>154</v>
      </c>
      <c r="C19" s="48">
        <v>291114746</v>
      </c>
      <c r="D19" s="28">
        <v>737429699</v>
      </c>
      <c r="E19" s="29" t="s">
        <v>110</v>
      </c>
      <c r="F19" s="32">
        <v>36.400001525878906</v>
      </c>
      <c r="G19" s="32">
        <v>36.4</v>
      </c>
      <c r="H19" s="28">
        <v>5</v>
      </c>
      <c r="I19" s="32">
        <v>1.82</v>
      </c>
      <c r="J19" s="28">
        <v>15</v>
      </c>
      <c r="K19" s="29">
        <v>5</v>
      </c>
      <c r="L19" s="28">
        <v>0</v>
      </c>
      <c r="M19" s="29" t="s">
        <v>69</v>
      </c>
      <c r="N19" s="29" t="s">
        <v>155</v>
      </c>
      <c r="O19" s="29">
        <v>15</v>
      </c>
      <c r="P19" s="29">
        <v>10</v>
      </c>
      <c r="Q19" s="31">
        <f t="shared" si="0"/>
        <v>39.580001525878906</v>
      </c>
      <c r="R19" s="32">
        <f t="shared" si="1"/>
        <v>1.82</v>
      </c>
      <c r="S19" s="32">
        <f t="shared" si="2"/>
        <v>5</v>
      </c>
    </row>
    <row r="20" spans="1:19" x14ac:dyDescent="0.25">
      <c r="A20" s="51">
        <v>46272.627083333333</v>
      </c>
      <c r="B20" s="29" t="s">
        <v>159</v>
      </c>
      <c r="C20" s="48">
        <v>291117572</v>
      </c>
      <c r="D20" s="28">
        <v>737435964</v>
      </c>
      <c r="E20" s="29" t="s">
        <v>160</v>
      </c>
      <c r="F20" s="28">
        <v>54</v>
      </c>
      <c r="G20" s="28">
        <v>46</v>
      </c>
      <c r="H20" s="28">
        <v>5</v>
      </c>
      <c r="I20" s="32">
        <v>2.2999999999999998</v>
      </c>
      <c r="J20" s="28">
        <v>15</v>
      </c>
      <c r="K20" s="29">
        <v>3.5</v>
      </c>
      <c r="L20" s="28">
        <v>7</v>
      </c>
      <c r="M20" s="29" t="s">
        <v>69</v>
      </c>
      <c r="N20" s="29" t="s">
        <v>161</v>
      </c>
      <c r="O20" s="29">
        <v>7</v>
      </c>
      <c r="P20" s="29">
        <v>3.5</v>
      </c>
      <c r="Q20" s="31">
        <f t="shared" si="0"/>
        <v>55.2</v>
      </c>
      <c r="R20" s="32">
        <f t="shared" si="1"/>
        <v>2.2999999999999998</v>
      </c>
      <c r="S20" s="32">
        <f t="shared" si="2"/>
        <v>11.5</v>
      </c>
    </row>
    <row r="21" spans="1:19" x14ac:dyDescent="0.25">
      <c r="A21" s="51">
        <v>46272.644444444442</v>
      </c>
      <c r="B21" s="29" t="s">
        <v>165</v>
      </c>
      <c r="C21" s="48">
        <v>291119412</v>
      </c>
      <c r="D21" s="28">
        <v>737442612</v>
      </c>
      <c r="E21" s="29" t="s">
        <v>110</v>
      </c>
      <c r="F21" s="28">
        <v>92</v>
      </c>
      <c r="G21" s="28">
        <v>79</v>
      </c>
      <c r="H21" s="28">
        <v>5</v>
      </c>
      <c r="I21" s="32">
        <v>3.95</v>
      </c>
      <c r="J21" s="28">
        <v>28</v>
      </c>
      <c r="K21" s="29">
        <v>7.95</v>
      </c>
      <c r="L21" s="28">
        <v>12</v>
      </c>
      <c r="M21" s="29" t="s">
        <v>69</v>
      </c>
      <c r="N21" s="29" t="s">
        <v>166</v>
      </c>
      <c r="O21" s="29">
        <v>15</v>
      </c>
      <c r="P21" s="29">
        <v>7.05</v>
      </c>
      <c r="Q21" s="31">
        <f t="shared" si="0"/>
        <v>96</v>
      </c>
      <c r="R21" s="32">
        <f t="shared" si="1"/>
        <v>3.95</v>
      </c>
      <c r="S21" s="32">
        <f t="shared" si="2"/>
        <v>20.95</v>
      </c>
    </row>
    <row r="22" spans="1:19" x14ac:dyDescent="0.25">
      <c r="A22" s="51">
        <v>46272.63958333333</v>
      </c>
      <c r="B22" s="29" t="s">
        <v>120</v>
      </c>
      <c r="C22" s="48">
        <v>291119930</v>
      </c>
      <c r="D22" s="28">
        <v>737443739</v>
      </c>
      <c r="E22" s="29" t="s">
        <v>170</v>
      </c>
      <c r="F22" s="32">
        <v>44.5</v>
      </c>
      <c r="G22" s="32">
        <v>35.5</v>
      </c>
      <c r="H22" s="28">
        <v>4</v>
      </c>
      <c r="I22" s="32">
        <v>1.42</v>
      </c>
      <c r="J22" s="28">
        <v>15</v>
      </c>
      <c r="K22" s="29">
        <v>6</v>
      </c>
      <c r="L22" s="28">
        <v>8</v>
      </c>
      <c r="M22" s="29" t="s">
        <v>69</v>
      </c>
      <c r="N22" s="29" t="s">
        <v>171</v>
      </c>
      <c r="O22" s="29">
        <v>6</v>
      </c>
      <c r="P22" s="29">
        <v>0</v>
      </c>
      <c r="Q22" s="31">
        <f t="shared" si="0"/>
        <v>49.08</v>
      </c>
      <c r="R22" s="32">
        <f t="shared" si="1"/>
        <v>1.42</v>
      </c>
      <c r="S22" s="32">
        <f t="shared" si="2"/>
        <v>15</v>
      </c>
    </row>
    <row r="23" spans="1:19" x14ac:dyDescent="0.25">
      <c r="A23" s="51">
        <v>46272.638888888891</v>
      </c>
      <c r="B23" s="29" t="s">
        <v>176</v>
      </c>
      <c r="C23" s="48">
        <v>291121798</v>
      </c>
      <c r="D23" s="28">
        <v>737296984</v>
      </c>
      <c r="E23" s="29" t="s">
        <v>110</v>
      </c>
      <c r="F23" s="28">
        <v>54</v>
      </c>
      <c r="G23" s="28">
        <v>45</v>
      </c>
      <c r="H23" s="28">
        <v>5</v>
      </c>
      <c r="I23" s="32">
        <v>2.25</v>
      </c>
      <c r="J23" s="28">
        <v>15</v>
      </c>
      <c r="K23" s="29">
        <v>6</v>
      </c>
      <c r="L23" s="28">
        <v>8</v>
      </c>
      <c r="M23" s="29" t="s">
        <v>69</v>
      </c>
      <c r="N23" s="29" t="s">
        <v>177</v>
      </c>
      <c r="O23" s="29">
        <v>6</v>
      </c>
      <c r="P23" s="29">
        <v>0</v>
      </c>
      <c r="Q23" s="31">
        <f t="shared" si="0"/>
        <v>57.75</v>
      </c>
      <c r="R23" s="32">
        <f t="shared" si="1"/>
        <v>2.25</v>
      </c>
      <c r="S23" s="32">
        <f t="shared" si="2"/>
        <v>15</v>
      </c>
    </row>
    <row r="24" spans="1:19" x14ac:dyDescent="0.25">
      <c r="A24" s="51">
        <v>46272.677083333336</v>
      </c>
      <c r="B24" s="29" t="s">
        <v>159</v>
      </c>
      <c r="C24" s="48">
        <v>291127658</v>
      </c>
      <c r="D24" s="28">
        <v>737466187</v>
      </c>
      <c r="E24" s="29" t="s">
        <v>180</v>
      </c>
      <c r="F24" s="28">
        <v>47</v>
      </c>
      <c r="G24" s="28">
        <v>32</v>
      </c>
      <c r="H24" s="28">
        <v>5</v>
      </c>
      <c r="I24" s="32">
        <v>1.6</v>
      </c>
      <c r="J24" s="28">
        <v>15</v>
      </c>
      <c r="K24" s="29">
        <v>0</v>
      </c>
      <c r="L24" s="28">
        <v>14</v>
      </c>
      <c r="M24" s="29" t="s">
        <v>69</v>
      </c>
      <c r="N24" s="29" t="s">
        <v>181</v>
      </c>
      <c r="O24" s="29">
        <v>0</v>
      </c>
      <c r="P24" s="29">
        <v>0</v>
      </c>
      <c r="Q24" s="31">
        <f t="shared" si="0"/>
        <v>45.4</v>
      </c>
      <c r="R24" s="32">
        <f t="shared" si="1"/>
        <v>1.6</v>
      </c>
      <c r="S24" s="32">
        <f t="shared" si="2"/>
        <v>15</v>
      </c>
    </row>
    <row r="25" spans="1:19" x14ac:dyDescent="0.25">
      <c r="A25" s="51">
        <v>46272.689583333333</v>
      </c>
      <c r="B25" s="29" t="s">
        <v>125</v>
      </c>
      <c r="C25" s="48">
        <v>291132940</v>
      </c>
      <c r="D25" s="28">
        <v>737479964</v>
      </c>
      <c r="E25" s="29" t="s">
        <v>184</v>
      </c>
      <c r="F25" s="28">
        <v>44</v>
      </c>
      <c r="G25" s="28">
        <v>39</v>
      </c>
      <c r="H25" s="32">
        <v>4.75</v>
      </c>
      <c r="I25" s="32">
        <v>1.8525</v>
      </c>
      <c r="J25" s="28">
        <v>15</v>
      </c>
      <c r="K25" s="29">
        <v>6</v>
      </c>
      <c r="L25" s="28">
        <v>4</v>
      </c>
      <c r="M25" s="29" t="s">
        <v>69</v>
      </c>
      <c r="N25" s="29" t="s">
        <v>185</v>
      </c>
      <c r="O25" s="29">
        <v>10</v>
      </c>
      <c r="P25" s="29">
        <v>4</v>
      </c>
      <c r="Q25" s="31">
        <f t="shared" si="0"/>
        <v>48.147500000000001</v>
      </c>
      <c r="R25" s="32">
        <f t="shared" si="1"/>
        <v>1.8525</v>
      </c>
      <c r="S25" s="32">
        <f t="shared" si="2"/>
        <v>11</v>
      </c>
    </row>
    <row r="26" spans="1:19" x14ac:dyDescent="0.25">
      <c r="A26" s="51">
        <v>46272.752083333333</v>
      </c>
      <c r="B26" s="29" t="s">
        <v>189</v>
      </c>
      <c r="C26" s="48">
        <v>291147430</v>
      </c>
      <c r="D26" s="28">
        <v>737518074</v>
      </c>
      <c r="E26" s="29" t="s">
        <v>190</v>
      </c>
      <c r="F26" s="28">
        <v>35</v>
      </c>
      <c r="G26" s="28">
        <v>35</v>
      </c>
      <c r="H26" s="28">
        <v>5</v>
      </c>
      <c r="I26" s="32">
        <v>1.75</v>
      </c>
      <c r="J26" s="28">
        <v>15</v>
      </c>
      <c r="K26" s="29">
        <v>5</v>
      </c>
      <c r="L26" s="28">
        <v>0</v>
      </c>
      <c r="M26" s="29" t="s">
        <v>69</v>
      </c>
      <c r="N26" s="29" t="s">
        <v>191</v>
      </c>
      <c r="O26" s="29">
        <v>15</v>
      </c>
      <c r="P26" s="29">
        <v>10</v>
      </c>
      <c r="Q26" s="31">
        <f t="shared" si="0"/>
        <v>38.25</v>
      </c>
      <c r="R26" s="32">
        <f t="shared" si="1"/>
        <v>1.75</v>
      </c>
      <c r="S26" s="32">
        <f t="shared" si="2"/>
        <v>5</v>
      </c>
    </row>
    <row r="27" spans="1:19" x14ac:dyDescent="0.25">
      <c r="A27" s="51">
        <v>46272.855555555558</v>
      </c>
      <c r="B27" s="29" t="s">
        <v>87</v>
      </c>
      <c r="C27" s="48">
        <v>291179822</v>
      </c>
      <c r="D27" s="28">
        <v>737601818</v>
      </c>
      <c r="E27" s="29" t="s">
        <v>195</v>
      </c>
      <c r="F27" s="28">
        <v>54</v>
      </c>
      <c r="G27" s="28">
        <v>49</v>
      </c>
      <c r="H27" s="32">
        <v>4.75</v>
      </c>
      <c r="I27" s="32">
        <v>2.3275000000000001</v>
      </c>
      <c r="J27" s="28">
        <v>15</v>
      </c>
      <c r="K27" s="29">
        <v>6</v>
      </c>
      <c r="L27" s="28">
        <v>4</v>
      </c>
      <c r="M27" s="29" t="s">
        <v>69</v>
      </c>
      <c r="N27" s="29" t="s">
        <v>196</v>
      </c>
      <c r="O27" s="29">
        <v>10</v>
      </c>
      <c r="P27" s="29">
        <v>4</v>
      </c>
      <c r="Q27" s="31">
        <f t="shared" si="0"/>
        <v>57.672499999999999</v>
      </c>
      <c r="R27" s="32">
        <f t="shared" si="1"/>
        <v>2.3275000000000001</v>
      </c>
      <c r="S27" s="32">
        <f t="shared" si="2"/>
        <v>11</v>
      </c>
    </row>
    <row r="28" spans="1:19" x14ac:dyDescent="0.25">
      <c r="A28" s="51">
        <v>46272.87222222222</v>
      </c>
      <c r="B28" s="29" t="s">
        <v>200</v>
      </c>
      <c r="C28" s="48">
        <v>291180385</v>
      </c>
      <c r="D28" s="28">
        <v>737601120</v>
      </c>
      <c r="E28" s="29" t="s">
        <v>180</v>
      </c>
      <c r="F28" s="32">
        <v>78.25</v>
      </c>
      <c r="G28" s="32">
        <v>61.25</v>
      </c>
      <c r="H28" s="32">
        <v>2.5</v>
      </c>
      <c r="I28" s="32">
        <v>1.53125</v>
      </c>
      <c r="J28" s="28">
        <v>17</v>
      </c>
      <c r="K28" s="29">
        <v>0</v>
      </c>
      <c r="L28" s="28">
        <v>16</v>
      </c>
      <c r="M28" s="29" t="s">
        <v>69</v>
      </c>
      <c r="N28" s="29" t="s">
        <v>201</v>
      </c>
      <c r="O28" s="29">
        <v>0</v>
      </c>
      <c r="P28" s="29">
        <v>0</v>
      </c>
      <c r="Q28" s="31">
        <f t="shared" si="0"/>
        <v>76.71875</v>
      </c>
      <c r="R28" s="32">
        <f t="shared" si="1"/>
        <v>1.53125</v>
      </c>
      <c r="S28" s="32">
        <f t="shared" si="2"/>
        <v>17</v>
      </c>
    </row>
    <row r="29" spans="1:19" x14ac:dyDescent="0.25">
      <c r="A29" s="51">
        <v>46272.902777777781</v>
      </c>
      <c r="B29" s="29" t="s">
        <v>120</v>
      </c>
      <c r="C29" s="48">
        <v>291189355</v>
      </c>
      <c r="D29" s="28">
        <v>737624635</v>
      </c>
      <c r="E29" s="29" t="s">
        <v>204</v>
      </c>
      <c r="F29" s="32">
        <v>47.5</v>
      </c>
      <c r="G29" s="32">
        <v>38.5</v>
      </c>
      <c r="H29" s="28">
        <v>4</v>
      </c>
      <c r="I29" s="32">
        <v>1.54</v>
      </c>
      <c r="J29" s="28">
        <v>15</v>
      </c>
      <c r="K29" s="29">
        <v>6</v>
      </c>
      <c r="L29" s="28">
        <v>8</v>
      </c>
      <c r="M29" s="29" t="s">
        <v>69</v>
      </c>
      <c r="N29" s="29" t="s">
        <v>205</v>
      </c>
      <c r="O29" s="29">
        <v>6</v>
      </c>
      <c r="P29" s="29">
        <v>0</v>
      </c>
      <c r="Q29" s="31">
        <f t="shared" si="0"/>
        <v>51.96</v>
      </c>
      <c r="R29" s="32">
        <f t="shared" si="1"/>
        <v>1.54</v>
      </c>
      <c r="S29" s="32">
        <f t="shared" si="2"/>
        <v>15</v>
      </c>
    </row>
    <row r="30" spans="1:19" x14ac:dyDescent="0.25">
      <c r="A30" s="51">
        <v>46272.925694444442</v>
      </c>
      <c r="B30" s="29" t="s">
        <v>209</v>
      </c>
      <c r="C30" s="48">
        <v>291192647</v>
      </c>
      <c r="D30" s="28">
        <v>737629851</v>
      </c>
      <c r="E30" s="29" t="s">
        <v>210</v>
      </c>
      <c r="F30" s="28">
        <v>62</v>
      </c>
      <c r="G30" s="28">
        <v>62</v>
      </c>
      <c r="H30" s="32">
        <v>4.5</v>
      </c>
      <c r="I30" s="32">
        <v>2.79</v>
      </c>
      <c r="J30" s="28">
        <v>15</v>
      </c>
      <c r="K30" s="29">
        <v>6.9</v>
      </c>
      <c r="L30" s="28">
        <v>0</v>
      </c>
      <c r="M30" s="29" t="s">
        <v>69</v>
      </c>
      <c r="N30" s="29" t="s">
        <v>211</v>
      </c>
      <c r="O30" s="29">
        <v>15</v>
      </c>
      <c r="P30" s="29">
        <v>8.1</v>
      </c>
      <c r="Q30" s="31">
        <f t="shared" si="0"/>
        <v>66.11</v>
      </c>
      <c r="R30" s="32">
        <f t="shared" si="1"/>
        <v>2.79</v>
      </c>
      <c r="S30" s="32">
        <f t="shared" si="2"/>
        <v>6.9</v>
      </c>
    </row>
    <row r="31" spans="1:19" x14ac:dyDescent="0.25">
      <c r="A31" s="51">
        <v>46272.926388888889</v>
      </c>
      <c r="B31" s="29" t="s">
        <v>120</v>
      </c>
      <c r="C31" s="48">
        <v>291193046</v>
      </c>
      <c r="D31" s="28">
        <v>737401755</v>
      </c>
      <c r="E31" s="29" t="s">
        <v>214</v>
      </c>
      <c r="F31" s="28">
        <v>59</v>
      </c>
      <c r="G31" s="28">
        <v>43</v>
      </c>
      <c r="H31" s="28">
        <v>4</v>
      </c>
      <c r="I31" s="32">
        <v>1.72</v>
      </c>
      <c r="J31" s="28">
        <v>22</v>
      </c>
      <c r="K31" s="29">
        <v>6</v>
      </c>
      <c r="L31" s="28">
        <v>15</v>
      </c>
      <c r="M31" s="29" t="s">
        <v>69</v>
      </c>
      <c r="N31" s="29" t="s">
        <v>215</v>
      </c>
      <c r="O31" s="29">
        <v>6</v>
      </c>
      <c r="P31" s="29">
        <v>0</v>
      </c>
      <c r="Q31" s="31">
        <f t="shared" si="0"/>
        <v>63.28</v>
      </c>
      <c r="R31" s="32">
        <f t="shared" si="1"/>
        <v>1.72</v>
      </c>
      <c r="S31" s="32">
        <f t="shared" si="2"/>
        <v>22</v>
      </c>
    </row>
    <row r="32" spans="1:19" x14ac:dyDescent="0.25">
      <c r="A32" s="51">
        <v>46272.931944444441</v>
      </c>
      <c r="B32" s="29" t="s">
        <v>219</v>
      </c>
      <c r="C32" s="48">
        <v>291195391</v>
      </c>
      <c r="D32" s="28">
        <v>737636339</v>
      </c>
      <c r="E32" s="29" t="s">
        <v>220</v>
      </c>
      <c r="F32" s="32">
        <v>48.299999237060547</v>
      </c>
      <c r="G32" s="32">
        <v>48.3</v>
      </c>
      <c r="H32" s="28">
        <v>5</v>
      </c>
      <c r="I32" s="32">
        <v>2.415</v>
      </c>
      <c r="J32" s="28">
        <v>15</v>
      </c>
      <c r="K32" s="29">
        <v>15</v>
      </c>
      <c r="L32" s="28">
        <v>0</v>
      </c>
      <c r="M32" s="29" t="s">
        <v>69</v>
      </c>
      <c r="N32" s="29" t="s">
        <v>221</v>
      </c>
      <c r="O32" s="29">
        <v>15</v>
      </c>
      <c r="P32" s="29">
        <v>0</v>
      </c>
      <c r="Q32" s="31">
        <f t="shared" si="0"/>
        <v>60.884999237060548</v>
      </c>
      <c r="R32" s="32">
        <f t="shared" si="1"/>
        <v>2.415</v>
      </c>
      <c r="S32" s="32">
        <f t="shared" si="2"/>
        <v>15</v>
      </c>
    </row>
    <row r="33" spans="1:19" x14ac:dyDescent="0.25">
      <c r="A33" s="51">
        <v>46272.941666666666</v>
      </c>
      <c r="B33" s="29" t="s">
        <v>225</v>
      </c>
      <c r="C33" s="48">
        <v>291196457</v>
      </c>
      <c r="D33" s="28">
        <v>737648481</v>
      </c>
      <c r="E33" s="29" t="s">
        <v>226</v>
      </c>
      <c r="F33" s="28">
        <v>105</v>
      </c>
      <c r="G33" s="28">
        <v>105</v>
      </c>
      <c r="H33" s="28">
        <v>5</v>
      </c>
      <c r="I33" s="32">
        <v>5.25</v>
      </c>
      <c r="J33" s="28">
        <v>15</v>
      </c>
      <c r="K33" s="29">
        <v>7.95</v>
      </c>
      <c r="L33" s="28">
        <v>0</v>
      </c>
      <c r="M33" s="29" t="s">
        <v>69</v>
      </c>
      <c r="N33" s="29" t="s">
        <v>227</v>
      </c>
      <c r="O33" s="29">
        <v>15</v>
      </c>
      <c r="P33" s="29">
        <v>7.05</v>
      </c>
      <c r="Q33" s="31">
        <f t="shared" si="0"/>
        <v>107.7</v>
      </c>
      <c r="R33" s="32">
        <f t="shared" si="1"/>
        <v>5.25</v>
      </c>
      <c r="S33" s="32">
        <f t="shared" si="2"/>
        <v>7.95</v>
      </c>
    </row>
    <row r="34" spans="1:19" x14ac:dyDescent="0.25">
      <c r="A34" s="51">
        <v>46272.943749999999</v>
      </c>
      <c r="B34" s="29" t="s">
        <v>232</v>
      </c>
      <c r="C34" s="48">
        <v>291196765</v>
      </c>
      <c r="D34" s="28">
        <v>737649636</v>
      </c>
      <c r="E34" s="29" t="s">
        <v>233</v>
      </c>
      <c r="F34" s="28">
        <v>150</v>
      </c>
      <c r="G34" s="28">
        <v>150</v>
      </c>
      <c r="H34" s="28">
        <v>5</v>
      </c>
      <c r="I34" s="32">
        <v>7.5</v>
      </c>
      <c r="J34" s="28">
        <v>15</v>
      </c>
      <c r="K34" s="29">
        <v>7.95</v>
      </c>
      <c r="L34" s="28">
        <v>0</v>
      </c>
      <c r="M34" s="29" t="s">
        <v>69</v>
      </c>
      <c r="N34" s="29" t="s">
        <v>234</v>
      </c>
      <c r="O34" s="29">
        <v>15</v>
      </c>
      <c r="P34" s="29">
        <v>7.05</v>
      </c>
      <c r="Q34" s="31">
        <f t="shared" si="0"/>
        <v>150.44999999999999</v>
      </c>
      <c r="R34" s="32">
        <f t="shared" si="1"/>
        <v>7.5</v>
      </c>
      <c r="S34" s="32">
        <f t="shared" si="2"/>
        <v>7.95</v>
      </c>
    </row>
    <row r="35" spans="1:19" x14ac:dyDescent="0.25">
      <c r="A35" s="51">
        <v>46273.001388888886</v>
      </c>
      <c r="B35" s="29" t="s">
        <v>200</v>
      </c>
      <c r="C35" s="48">
        <v>291205025</v>
      </c>
      <c r="D35" s="28">
        <v>737680817</v>
      </c>
      <c r="E35" s="29" t="s">
        <v>110</v>
      </c>
      <c r="F35" s="28">
        <v>60</v>
      </c>
      <c r="G35" s="28">
        <v>45</v>
      </c>
      <c r="H35" s="32">
        <v>2.5</v>
      </c>
      <c r="I35" s="32">
        <v>1.125</v>
      </c>
      <c r="J35" s="28">
        <v>15</v>
      </c>
      <c r="K35" s="29">
        <v>0</v>
      </c>
      <c r="L35" s="28">
        <v>14</v>
      </c>
      <c r="M35" s="29" t="s">
        <v>69</v>
      </c>
      <c r="N35" s="29" t="s">
        <v>237</v>
      </c>
      <c r="O35" s="29">
        <v>0</v>
      </c>
      <c r="P35" s="29">
        <v>0</v>
      </c>
      <c r="Q35" s="31">
        <f t="shared" si="0"/>
        <v>58.875</v>
      </c>
      <c r="R35" s="32">
        <f t="shared" si="1"/>
        <v>1.125</v>
      </c>
      <c r="S35" s="32">
        <f t="shared" si="2"/>
        <v>15</v>
      </c>
    </row>
    <row r="36" spans="1:19" x14ac:dyDescent="0.25">
      <c r="A36" s="51">
        <v>46273.006944444445</v>
      </c>
      <c r="B36" s="29" t="s">
        <v>241</v>
      </c>
      <c r="C36" s="48">
        <v>291206033</v>
      </c>
      <c r="D36" s="28">
        <v>737684371</v>
      </c>
      <c r="E36" s="29" t="s">
        <v>126</v>
      </c>
      <c r="F36" s="28">
        <v>48</v>
      </c>
      <c r="G36" s="28">
        <v>45</v>
      </c>
      <c r="H36" s="28">
        <v>5</v>
      </c>
      <c r="I36" s="32">
        <v>2.25</v>
      </c>
      <c r="J36" s="28">
        <v>15</v>
      </c>
      <c r="K36" s="29">
        <v>7</v>
      </c>
      <c r="L36" s="28">
        <v>2</v>
      </c>
      <c r="M36" s="29" t="s">
        <v>69</v>
      </c>
      <c r="N36" s="29" t="s">
        <v>242</v>
      </c>
      <c r="O36" s="29">
        <v>12</v>
      </c>
      <c r="P36" s="29">
        <v>5</v>
      </c>
      <c r="Q36" s="31">
        <f t="shared" si="0"/>
        <v>52.75</v>
      </c>
      <c r="R36" s="32">
        <f t="shared" si="1"/>
        <v>2.25</v>
      </c>
      <c r="S36" s="32">
        <f t="shared" si="2"/>
        <v>10</v>
      </c>
    </row>
    <row r="37" spans="1:19" x14ac:dyDescent="0.25">
      <c r="A37" s="51">
        <v>46273.01458333333</v>
      </c>
      <c r="B37" s="29" t="s">
        <v>247</v>
      </c>
      <c r="C37" s="48">
        <v>291206365</v>
      </c>
      <c r="D37" s="28">
        <v>737682194</v>
      </c>
      <c r="E37" s="29" t="s">
        <v>248</v>
      </c>
      <c r="F37" s="28">
        <v>35</v>
      </c>
      <c r="G37" s="28">
        <v>35</v>
      </c>
      <c r="H37" s="28">
        <v>5</v>
      </c>
      <c r="I37" s="32">
        <v>1.75</v>
      </c>
      <c r="J37" s="28">
        <v>15</v>
      </c>
      <c r="K37" s="29">
        <v>7</v>
      </c>
      <c r="L37" s="28">
        <v>0</v>
      </c>
      <c r="M37" s="29" t="s">
        <v>69</v>
      </c>
      <c r="N37" s="29" t="s">
        <v>249</v>
      </c>
      <c r="O37" s="29">
        <v>15</v>
      </c>
      <c r="P37" s="29">
        <v>8</v>
      </c>
      <c r="Q37" s="31">
        <f t="shared" si="0"/>
        <v>40.25</v>
      </c>
      <c r="R37" s="32">
        <f t="shared" si="1"/>
        <v>1.75</v>
      </c>
      <c r="S37" s="32">
        <f t="shared" si="2"/>
        <v>7</v>
      </c>
    </row>
    <row r="38" spans="1:19" x14ac:dyDescent="0.25">
      <c r="A38" s="51">
        <v>46273.065972222219</v>
      </c>
      <c r="B38" s="29" t="s">
        <v>253</v>
      </c>
      <c r="C38" s="48">
        <v>291209656</v>
      </c>
      <c r="D38" s="28">
        <v>737704765</v>
      </c>
      <c r="E38" s="29" t="s">
        <v>254</v>
      </c>
      <c r="F38" s="28">
        <v>37</v>
      </c>
      <c r="G38" s="28">
        <v>37</v>
      </c>
      <c r="H38" s="28">
        <v>5</v>
      </c>
      <c r="I38" s="32">
        <v>1.85</v>
      </c>
      <c r="J38" s="28">
        <v>15</v>
      </c>
      <c r="K38" s="29">
        <v>4.95</v>
      </c>
      <c r="L38" s="28">
        <v>0</v>
      </c>
      <c r="M38" s="29" t="s">
        <v>69</v>
      </c>
      <c r="N38" s="29" t="s">
        <v>255</v>
      </c>
      <c r="O38" s="29">
        <v>15</v>
      </c>
      <c r="P38" s="29">
        <v>10.050000000000001</v>
      </c>
      <c r="Q38" s="31">
        <f t="shared" si="0"/>
        <v>40.1</v>
      </c>
      <c r="R38" s="32">
        <f t="shared" si="1"/>
        <v>1.85</v>
      </c>
      <c r="S38" s="32">
        <f t="shared" si="2"/>
        <v>4.9499999999999993</v>
      </c>
    </row>
    <row r="39" spans="1:19" x14ac:dyDescent="0.25">
      <c r="A39" s="51">
        <v>46273.074999999997</v>
      </c>
      <c r="B39" s="29" t="s">
        <v>259</v>
      </c>
      <c r="C39" s="48">
        <v>291209884</v>
      </c>
      <c r="D39" s="28">
        <v>737705852</v>
      </c>
      <c r="E39" s="29" t="s">
        <v>110</v>
      </c>
      <c r="F39" s="28">
        <v>52</v>
      </c>
      <c r="G39" s="28">
        <v>52</v>
      </c>
      <c r="H39" s="28">
        <v>5</v>
      </c>
      <c r="I39" s="32">
        <v>2.6</v>
      </c>
      <c r="J39" s="28">
        <v>15</v>
      </c>
      <c r="K39" s="29">
        <v>4.95</v>
      </c>
      <c r="L39" s="28">
        <v>0</v>
      </c>
      <c r="M39" s="29" t="s">
        <v>69</v>
      </c>
      <c r="N39" s="29" t="s">
        <v>260</v>
      </c>
      <c r="O39" s="29">
        <v>15</v>
      </c>
      <c r="P39" s="29">
        <v>10.050000000000001</v>
      </c>
      <c r="Q39" s="31">
        <f t="shared" si="0"/>
        <v>54.35</v>
      </c>
      <c r="R39" s="32">
        <f t="shared" si="1"/>
        <v>2.6</v>
      </c>
      <c r="S39" s="32">
        <f t="shared" si="2"/>
        <v>4.9499999999999993</v>
      </c>
    </row>
    <row r="40" spans="1:19" x14ac:dyDescent="0.25">
      <c r="A40" s="51">
        <v>46273.114583333336</v>
      </c>
      <c r="B40" s="29" t="s">
        <v>264</v>
      </c>
      <c r="C40" s="48">
        <v>291211206</v>
      </c>
      <c r="D40" s="28">
        <v>737715822</v>
      </c>
      <c r="E40" s="29" t="s">
        <v>106</v>
      </c>
      <c r="F40" s="28">
        <v>55</v>
      </c>
      <c r="G40" s="28">
        <v>27</v>
      </c>
      <c r="H40" s="28">
        <v>5</v>
      </c>
      <c r="I40" s="32">
        <v>1.35</v>
      </c>
      <c r="J40" s="28">
        <v>28</v>
      </c>
      <c r="K40" s="29">
        <v>0</v>
      </c>
      <c r="L40" s="28">
        <v>27</v>
      </c>
      <c r="M40" s="29" t="s">
        <v>69</v>
      </c>
      <c r="N40" s="29" t="s">
        <v>265</v>
      </c>
      <c r="O40" s="29">
        <v>0</v>
      </c>
      <c r="P40" s="29">
        <v>0</v>
      </c>
      <c r="Q40" s="31">
        <f t="shared" si="0"/>
        <v>53.65</v>
      </c>
      <c r="R40" s="32">
        <f t="shared" si="1"/>
        <v>1.35</v>
      </c>
      <c r="S40" s="32">
        <f t="shared" si="2"/>
        <v>28</v>
      </c>
    </row>
    <row r="41" spans="1:19" x14ac:dyDescent="0.25">
      <c r="A41" s="51">
        <v>46273.131249999999</v>
      </c>
      <c r="B41" s="29" t="s">
        <v>269</v>
      </c>
      <c r="C41" s="48">
        <v>291211287</v>
      </c>
      <c r="D41" s="28">
        <v>737716503</v>
      </c>
      <c r="E41" s="29" t="s">
        <v>106</v>
      </c>
      <c r="F41" s="28">
        <v>69</v>
      </c>
      <c r="G41" s="28">
        <v>32</v>
      </c>
      <c r="H41" s="28">
        <v>5</v>
      </c>
      <c r="I41" s="32">
        <v>1.6</v>
      </c>
      <c r="J41" s="28">
        <v>37</v>
      </c>
      <c r="K41" s="29">
        <v>0</v>
      </c>
      <c r="L41" s="28">
        <v>35</v>
      </c>
      <c r="M41" s="29" t="s">
        <v>69</v>
      </c>
      <c r="N41" s="29" t="s">
        <v>270</v>
      </c>
      <c r="O41" s="29">
        <v>0</v>
      </c>
      <c r="P41" s="29">
        <v>0</v>
      </c>
      <c r="Q41" s="31">
        <f t="shared" si="0"/>
        <v>67.400000000000006</v>
      </c>
      <c r="R41" s="32">
        <f t="shared" si="1"/>
        <v>1.6</v>
      </c>
      <c r="S41" s="32">
        <f t="shared" si="2"/>
        <v>37</v>
      </c>
    </row>
    <row r="42" spans="1:19" x14ac:dyDescent="0.25">
      <c r="A42" s="51">
        <v>46273.146527777775</v>
      </c>
      <c r="B42" s="29" t="s">
        <v>275</v>
      </c>
      <c r="C42" s="48">
        <v>291211756</v>
      </c>
      <c r="D42" s="28">
        <v>737721603</v>
      </c>
      <c r="E42" s="29" t="s">
        <v>110</v>
      </c>
      <c r="F42" s="28">
        <v>41</v>
      </c>
      <c r="G42" s="28">
        <v>41</v>
      </c>
      <c r="H42" s="28">
        <v>5</v>
      </c>
      <c r="I42" s="32">
        <v>2.0499999999999998</v>
      </c>
      <c r="J42" s="28">
        <v>15</v>
      </c>
      <c r="K42" s="29">
        <v>6.9</v>
      </c>
      <c r="L42" s="28">
        <v>0</v>
      </c>
      <c r="M42" s="29" t="s">
        <v>69</v>
      </c>
      <c r="N42" s="29" t="s">
        <v>276</v>
      </c>
      <c r="O42" s="29">
        <v>15</v>
      </c>
      <c r="P42" s="29">
        <v>8.1</v>
      </c>
      <c r="Q42" s="31">
        <f t="shared" si="0"/>
        <v>45.85</v>
      </c>
      <c r="R42" s="32">
        <f t="shared" si="1"/>
        <v>2.0499999999999998</v>
      </c>
      <c r="S42" s="32">
        <f t="shared" si="2"/>
        <v>6.9</v>
      </c>
    </row>
    <row r="43" spans="1:19" x14ac:dyDescent="0.25">
      <c r="A43" s="51">
        <v>46273.282638888886</v>
      </c>
      <c r="B43" s="29" t="s">
        <v>209</v>
      </c>
      <c r="C43" s="48">
        <v>291213219</v>
      </c>
      <c r="D43" s="28">
        <v>737737171</v>
      </c>
      <c r="E43" s="29" t="s">
        <v>278</v>
      </c>
      <c r="F43" s="28">
        <v>47</v>
      </c>
      <c r="G43" s="28">
        <v>40</v>
      </c>
      <c r="H43" s="32">
        <v>4.5</v>
      </c>
      <c r="I43" s="32">
        <v>1.8</v>
      </c>
      <c r="J43" s="28">
        <v>22</v>
      </c>
      <c r="K43" s="29">
        <v>6.9</v>
      </c>
      <c r="L43" s="28">
        <v>6</v>
      </c>
      <c r="M43" s="29" t="s">
        <v>69</v>
      </c>
      <c r="N43" s="29" t="s">
        <v>279</v>
      </c>
      <c r="O43" s="29">
        <v>15</v>
      </c>
      <c r="P43" s="29">
        <v>8.1</v>
      </c>
      <c r="Q43" s="31">
        <f t="shared" si="0"/>
        <v>52.1</v>
      </c>
      <c r="R43" s="32">
        <f t="shared" si="1"/>
        <v>1.8</v>
      </c>
      <c r="S43" s="32">
        <f t="shared" si="2"/>
        <v>13.9</v>
      </c>
    </row>
    <row r="44" spans="1:19" x14ac:dyDescent="0.25">
      <c r="A44" s="51">
        <v>46273.35</v>
      </c>
      <c r="B44" s="29" t="s">
        <v>241</v>
      </c>
      <c r="C44" s="48">
        <v>291216471</v>
      </c>
      <c r="D44" s="28">
        <v>737754814</v>
      </c>
      <c r="E44" s="29" t="s">
        <v>110</v>
      </c>
      <c r="F44" s="28">
        <v>41</v>
      </c>
      <c r="G44" s="28">
        <v>38</v>
      </c>
      <c r="H44" s="28">
        <v>5</v>
      </c>
      <c r="I44" s="32">
        <v>1.9</v>
      </c>
      <c r="J44" s="28">
        <v>15</v>
      </c>
      <c r="K44" s="29">
        <v>7</v>
      </c>
      <c r="L44" s="28">
        <v>2</v>
      </c>
      <c r="M44" s="29" t="s">
        <v>69</v>
      </c>
      <c r="N44" s="29" t="s">
        <v>282</v>
      </c>
      <c r="O44" s="29">
        <v>12</v>
      </c>
      <c r="P44" s="29">
        <v>5</v>
      </c>
      <c r="Q44" s="31">
        <f t="shared" si="0"/>
        <v>46.1</v>
      </c>
      <c r="R44" s="32">
        <f t="shared" si="1"/>
        <v>1.9</v>
      </c>
      <c r="S44" s="32">
        <f t="shared" si="2"/>
        <v>10</v>
      </c>
    </row>
    <row r="45" spans="1:19" x14ac:dyDescent="0.25">
      <c r="A45" s="51">
        <v>46273.581944444442</v>
      </c>
      <c r="B45" s="29" t="s">
        <v>284</v>
      </c>
      <c r="C45" s="48">
        <v>291243596</v>
      </c>
      <c r="D45" s="28">
        <v>737837387</v>
      </c>
      <c r="E45" s="29" t="s">
        <v>286</v>
      </c>
      <c r="F45" s="28">
        <v>131</v>
      </c>
      <c r="G45" s="28">
        <v>129</v>
      </c>
      <c r="H45" s="28">
        <v>5</v>
      </c>
      <c r="I45" s="32">
        <v>6.45</v>
      </c>
      <c r="J45" s="28">
        <v>17</v>
      </c>
      <c r="K45" s="29">
        <v>4.95</v>
      </c>
      <c r="L45" s="28">
        <v>1</v>
      </c>
      <c r="M45" s="29" t="s">
        <v>69</v>
      </c>
      <c r="N45" s="29" t="s">
        <v>287</v>
      </c>
      <c r="O45" s="29">
        <v>15</v>
      </c>
      <c r="P45" s="29">
        <v>10.050000000000001</v>
      </c>
      <c r="Q45" s="31">
        <f t="shared" si="0"/>
        <v>129.5</v>
      </c>
      <c r="R45" s="32">
        <f t="shared" si="1"/>
        <v>6.45</v>
      </c>
      <c r="S45" s="32">
        <f t="shared" si="2"/>
        <v>6.9499999999999993</v>
      </c>
    </row>
    <row r="46" spans="1:19" x14ac:dyDescent="0.25">
      <c r="A46" s="51">
        <v>46273.604861111111</v>
      </c>
      <c r="B46" s="29" t="s">
        <v>120</v>
      </c>
      <c r="C46" s="48">
        <v>291248922</v>
      </c>
      <c r="D46" s="28">
        <v>737847672</v>
      </c>
      <c r="E46" s="29" t="s">
        <v>126</v>
      </c>
      <c r="F46" s="32">
        <v>57.5</v>
      </c>
      <c r="G46" s="32">
        <v>48.5</v>
      </c>
      <c r="H46" s="28">
        <v>4</v>
      </c>
      <c r="I46" s="32">
        <v>1.94</v>
      </c>
      <c r="J46" s="28">
        <v>15</v>
      </c>
      <c r="K46" s="29">
        <v>6</v>
      </c>
      <c r="L46" s="28">
        <v>8</v>
      </c>
      <c r="M46" s="29" t="s">
        <v>69</v>
      </c>
      <c r="N46" s="29" t="s">
        <v>290</v>
      </c>
      <c r="O46" s="29">
        <v>6</v>
      </c>
      <c r="P46" s="29">
        <v>0</v>
      </c>
      <c r="Q46" s="31">
        <f t="shared" si="0"/>
        <v>61.56</v>
      </c>
      <c r="R46" s="32">
        <f t="shared" si="1"/>
        <v>1.94</v>
      </c>
      <c r="S46" s="32">
        <f t="shared" si="2"/>
        <v>15</v>
      </c>
    </row>
    <row r="47" spans="1:19" x14ac:dyDescent="0.25">
      <c r="A47" s="51">
        <v>46273.625</v>
      </c>
      <c r="B47" s="29" t="s">
        <v>293</v>
      </c>
      <c r="C47" s="48">
        <v>291253000</v>
      </c>
      <c r="D47" s="28">
        <v>737863830</v>
      </c>
      <c r="E47" s="29" t="s">
        <v>294</v>
      </c>
      <c r="F47" s="32">
        <v>373.989990234375</v>
      </c>
      <c r="G47" s="32">
        <v>373.99</v>
      </c>
      <c r="H47" s="28">
        <v>5</v>
      </c>
      <c r="I47" s="32">
        <v>18.6995</v>
      </c>
      <c r="J47" s="28">
        <v>15</v>
      </c>
      <c r="K47" s="29">
        <v>5</v>
      </c>
      <c r="L47" s="28">
        <v>0</v>
      </c>
      <c r="M47" s="29" t="s">
        <v>69</v>
      </c>
      <c r="N47" s="29" t="s">
        <v>295</v>
      </c>
      <c r="O47" s="29">
        <v>15</v>
      </c>
      <c r="P47" s="29">
        <v>10</v>
      </c>
      <c r="Q47" s="31">
        <f t="shared" si="0"/>
        <v>360.290490234375</v>
      </c>
      <c r="R47" s="32">
        <f t="shared" si="1"/>
        <v>18.6995</v>
      </c>
      <c r="S47" s="32">
        <f t="shared" si="2"/>
        <v>5</v>
      </c>
    </row>
    <row r="48" spans="1:19" x14ac:dyDescent="0.25">
      <c r="A48" s="51">
        <v>46273.704861111109</v>
      </c>
      <c r="B48" s="29" t="s">
        <v>120</v>
      </c>
      <c r="C48" s="48">
        <v>291271780</v>
      </c>
      <c r="D48" s="28">
        <v>737914068</v>
      </c>
      <c r="E48" s="29" t="s">
        <v>298</v>
      </c>
      <c r="F48" s="28">
        <v>64</v>
      </c>
      <c r="G48" s="28">
        <v>55</v>
      </c>
      <c r="H48" s="28">
        <v>4</v>
      </c>
      <c r="I48" s="32">
        <v>2.2000000000000002</v>
      </c>
      <c r="J48" s="28">
        <v>15</v>
      </c>
      <c r="K48" s="29">
        <v>6</v>
      </c>
      <c r="L48" s="28">
        <v>8</v>
      </c>
      <c r="M48" s="29" t="s">
        <v>69</v>
      </c>
      <c r="N48" s="29" t="s">
        <v>299</v>
      </c>
      <c r="O48" s="29">
        <v>6</v>
      </c>
      <c r="P48" s="29">
        <v>0</v>
      </c>
      <c r="Q48" s="31">
        <f t="shared" si="0"/>
        <v>67.8</v>
      </c>
      <c r="R48" s="32">
        <f t="shared" si="1"/>
        <v>2.2000000000000002</v>
      </c>
      <c r="S48" s="32">
        <f t="shared" si="2"/>
        <v>15</v>
      </c>
    </row>
    <row r="49" spans="1:19" x14ac:dyDescent="0.25">
      <c r="A49" s="51">
        <v>46273.746527777781</v>
      </c>
      <c r="B49" s="29" t="s">
        <v>301</v>
      </c>
      <c r="C49" s="48">
        <v>291282715</v>
      </c>
      <c r="D49" s="28">
        <v>737934871</v>
      </c>
      <c r="E49" s="29" t="s">
        <v>303</v>
      </c>
      <c r="F49" s="32">
        <v>72.349998474121094</v>
      </c>
      <c r="G49" s="32">
        <v>60.35</v>
      </c>
      <c r="H49" s="28">
        <v>5</v>
      </c>
      <c r="I49" s="32">
        <v>3.0175000000000001</v>
      </c>
      <c r="J49" s="28">
        <v>22</v>
      </c>
      <c r="K49" s="29">
        <v>2</v>
      </c>
      <c r="L49" s="28">
        <v>11</v>
      </c>
      <c r="M49" s="29" t="s">
        <v>69</v>
      </c>
      <c r="N49" s="29" t="s">
        <v>304</v>
      </c>
      <c r="O49" s="29">
        <v>10</v>
      </c>
      <c r="P49" s="29">
        <v>8</v>
      </c>
      <c r="Q49" s="31">
        <f t="shared" si="0"/>
        <v>71.332498474121095</v>
      </c>
      <c r="R49" s="32">
        <f t="shared" si="1"/>
        <v>3.0175000000000001</v>
      </c>
      <c r="S49" s="32">
        <f t="shared" si="2"/>
        <v>14</v>
      </c>
    </row>
    <row r="50" spans="1:19" x14ac:dyDescent="0.25">
      <c r="A50" s="51">
        <v>46273.751388888886</v>
      </c>
      <c r="B50" s="29" t="s">
        <v>309</v>
      </c>
      <c r="C50" s="48">
        <v>291286412</v>
      </c>
      <c r="D50" s="28">
        <v>737949055</v>
      </c>
      <c r="E50" s="29" t="s">
        <v>306</v>
      </c>
      <c r="F50" s="28">
        <v>35</v>
      </c>
      <c r="G50" s="28">
        <v>35</v>
      </c>
      <c r="H50" s="28">
        <v>5</v>
      </c>
      <c r="I50" s="32">
        <v>1.75</v>
      </c>
      <c r="J50" s="28">
        <v>15</v>
      </c>
      <c r="K50" s="29">
        <v>9</v>
      </c>
      <c r="L50" s="28">
        <v>0</v>
      </c>
      <c r="M50" s="29" t="s">
        <v>69</v>
      </c>
      <c r="N50" s="29" t="s">
        <v>310</v>
      </c>
      <c r="O50" s="29">
        <v>15</v>
      </c>
      <c r="P50" s="29">
        <v>6</v>
      </c>
      <c r="Q50" s="31">
        <f t="shared" si="0"/>
        <v>42.25</v>
      </c>
      <c r="R50" s="32">
        <f t="shared" si="1"/>
        <v>1.75</v>
      </c>
      <c r="S50" s="32">
        <f t="shared" si="2"/>
        <v>9</v>
      </c>
    </row>
    <row r="51" spans="1:19" x14ac:dyDescent="0.25">
      <c r="A51" s="51">
        <v>46273.773611111108</v>
      </c>
      <c r="B51" s="29" t="s">
        <v>315</v>
      </c>
      <c r="C51" s="48">
        <v>291289306</v>
      </c>
      <c r="D51" s="28">
        <v>737956005</v>
      </c>
      <c r="E51" s="29" t="s">
        <v>316</v>
      </c>
      <c r="F51" s="28">
        <v>186</v>
      </c>
      <c r="G51" s="28">
        <v>173</v>
      </c>
      <c r="H51" s="28">
        <v>5</v>
      </c>
      <c r="I51" s="32">
        <v>8.65</v>
      </c>
      <c r="J51" s="28">
        <v>28</v>
      </c>
      <c r="K51" s="29">
        <v>6</v>
      </c>
      <c r="L51" s="28">
        <v>12</v>
      </c>
      <c r="M51" s="29" t="s">
        <v>69</v>
      </c>
      <c r="N51" s="29" t="s">
        <v>317</v>
      </c>
      <c r="O51" s="29">
        <v>15</v>
      </c>
      <c r="P51" s="29">
        <v>9</v>
      </c>
      <c r="Q51" s="31">
        <f t="shared" si="0"/>
        <v>183.35</v>
      </c>
      <c r="R51" s="32">
        <f t="shared" si="1"/>
        <v>8.65</v>
      </c>
      <c r="S51" s="32">
        <f t="shared" si="2"/>
        <v>19</v>
      </c>
    </row>
    <row r="52" spans="1:19" x14ac:dyDescent="0.25">
      <c r="A52" s="51">
        <v>46273.777777777781</v>
      </c>
      <c r="B52" s="29" t="s">
        <v>321</v>
      </c>
      <c r="C52" s="48">
        <v>291293421</v>
      </c>
      <c r="D52" s="28">
        <v>737963926</v>
      </c>
      <c r="E52" s="29" t="s">
        <v>322</v>
      </c>
      <c r="F52" s="28">
        <v>49</v>
      </c>
      <c r="G52" s="28">
        <v>49</v>
      </c>
      <c r="H52" s="28">
        <v>5</v>
      </c>
      <c r="I52" s="32">
        <v>2.4500000000000002</v>
      </c>
      <c r="J52" s="28">
        <v>15</v>
      </c>
      <c r="K52" s="29">
        <v>15</v>
      </c>
      <c r="L52" s="28">
        <v>0</v>
      </c>
      <c r="M52" s="29" t="s">
        <v>69</v>
      </c>
      <c r="N52" s="29" t="s">
        <v>323</v>
      </c>
      <c r="O52" s="29">
        <v>15</v>
      </c>
      <c r="P52" s="29">
        <v>0</v>
      </c>
      <c r="Q52" s="31">
        <f t="shared" si="0"/>
        <v>61.55</v>
      </c>
      <c r="R52" s="32">
        <f t="shared" si="1"/>
        <v>2.4500000000000002</v>
      </c>
      <c r="S52" s="32">
        <f t="shared" si="2"/>
        <v>15</v>
      </c>
    </row>
    <row r="53" spans="1:19" x14ac:dyDescent="0.25">
      <c r="A53" s="51">
        <v>46273.769444444442</v>
      </c>
      <c r="B53" s="29" t="s">
        <v>125</v>
      </c>
      <c r="C53" s="48">
        <v>291294091</v>
      </c>
      <c r="D53" s="28">
        <v>737969539</v>
      </c>
      <c r="E53" s="29" t="s">
        <v>110</v>
      </c>
      <c r="F53" s="28">
        <v>46</v>
      </c>
      <c r="G53" s="28">
        <v>41</v>
      </c>
      <c r="H53" s="32">
        <v>4.75</v>
      </c>
      <c r="I53" s="32">
        <v>1.9475</v>
      </c>
      <c r="J53" s="28">
        <v>15</v>
      </c>
      <c r="K53" s="29">
        <v>6</v>
      </c>
      <c r="L53" s="28">
        <v>4</v>
      </c>
      <c r="M53" s="29" t="s">
        <v>69</v>
      </c>
      <c r="N53" s="29" t="s">
        <v>326</v>
      </c>
      <c r="O53" s="29">
        <v>10</v>
      </c>
      <c r="P53" s="29">
        <v>4</v>
      </c>
      <c r="Q53" s="31">
        <f t="shared" si="0"/>
        <v>50.052500000000002</v>
      </c>
      <c r="R53" s="32">
        <f t="shared" si="1"/>
        <v>1.9475</v>
      </c>
      <c r="S53" s="32">
        <f t="shared" si="2"/>
        <v>11</v>
      </c>
    </row>
    <row r="54" spans="1:19" x14ac:dyDescent="0.25">
      <c r="A54" s="51">
        <v>46273.804166666669</v>
      </c>
      <c r="B54" s="29" t="s">
        <v>209</v>
      </c>
      <c r="C54" s="48">
        <v>291299010</v>
      </c>
      <c r="D54" s="28">
        <v>737981526</v>
      </c>
      <c r="E54" s="29" t="s">
        <v>329</v>
      </c>
      <c r="F54" s="28">
        <v>63</v>
      </c>
      <c r="G54" s="28">
        <v>56</v>
      </c>
      <c r="H54" s="32">
        <v>4.5</v>
      </c>
      <c r="I54" s="32">
        <v>2.52</v>
      </c>
      <c r="J54" s="28">
        <v>22</v>
      </c>
      <c r="K54" s="29">
        <v>6.9</v>
      </c>
      <c r="L54" s="28">
        <v>6</v>
      </c>
      <c r="M54" s="29" t="s">
        <v>69</v>
      </c>
      <c r="N54" s="29" t="s">
        <v>330</v>
      </c>
      <c r="O54" s="29">
        <v>15</v>
      </c>
      <c r="P54" s="29">
        <v>8.1</v>
      </c>
      <c r="Q54" s="31">
        <f t="shared" si="0"/>
        <v>67.38000000000001</v>
      </c>
      <c r="R54" s="32">
        <f t="shared" si="1"/>
        <v>2.52</v>
      </c>
      <c r="S54" s="32">
        <f t="shared" si="2"/>
        <v>13.9</v>
      </c>
    </row>
    <row r="55" spans="1:19" x14ac:dyDescent="0.25">
      <c r="A55" s="51">
        <v>46273.861111111109</v>
      </c>
      <c r="B55" s="29" t="s">
        <v>120</v>
      </c>
      <c r="C55" s="48">
        <v>291317106</v>
      </c>
      <c r="D55" s="28">
        <v>738028228</v>
      </c>
      <c r="E55" s="29" t="s">
        <v>110</v>
      </c>
      <c r="F55" s="32">
        <v>84.5</v>
      </c>
      <c r="G55" s="32">
        <v>75.5</v>
      </c>
      <c r="H55" s="28">
        <v>4</v>
      </c>
      <c r="I55" s="32">
        <v>3.02</v>
      </c>
      <c r="J55" s="28">
        <v>15</v>
      </c>
      <c r="K55" s="29">
        <v>6</v>
      </c>
      <c r="L55" s="28">
        <v>8</v>
      </c>
      <c r="M55" s="29" t="s">
        <v>69</v>
      </c>
      <c r="N55" s="29" t="s">
        <v>332</v>
      </c>
      <c r="O55" s="29">
        <v>6</v>
      </c>
      <c r="P55" s="29">
        <v>0</v>
      </c>
      <c r="Q55" s="31">
        <f t="shared" si="0"/>
        <v>87.48</v>
      </c>
      <c r="R55" s="32">
        <f t="shared" si="1"/>
        <v>3.02</v>
      </c>
      <c r="S55" s="32">
        <f t="shared" si="2"/>
        <v>15</v>
      </c>
    </row>
    <row r="56" spans="1:19" x14ac:dyDescent="0.25">
      <c r="A56" s="51">
        <v>46273.85833333333</v>
      </c>
      <c r="B56" s="29" t="s">
        <v>176</v>
      </c>
      <c r="C56" s="48">
        <v>291317138</v>
      </c>
      <c r="D56" s="28">
        <v>738030757</v>
      </c>
      <c r="E56" s="29" t="s">
        <v>334</v>
      </c>
      <c r="F56" s="28">
        <v>54</v>
      </c>
      <c r="G56" s="28">
        <v>45</v>
      </c>
      <c r="H56" s="28">
        <v>5</v>
      </c>
      <c r="I56" s="32">
        <v>2.25</v>
      </c>
      <c r="J56" s="28">
        <v>15</v>
      </c>
      <c r="K56" s="29">
        <v>6</v>
      </c>
      <c r="L56" s="28">
        <v>8</v>
      </c>
      <c r="M56" s="29" t="s">
        <v>69</v>
      </c>
      <c r="N56" s="29" t="s">
        <v>335</v>
      </c>
      <c r="O56" s="29">
        <v>6</v>
      </c>
      <c r="P56" s="29">
        <v>0</v>
      </c>
      <c r="Q56" s="31">
        <f t="shared" si="0"/>
        <v>57.75</v>
      </c>
      <c r="R56" s="32">
        <f t="shared" si="1"/>
        <v>2.25</v>
      </c>
      <c r="S56" s="32">
        <f t="shared" si="2"/>
        <v>15</v>
      </c>
    </row>
    <row r="57" spans="1:19" x14ac:dyDescent="0.25">
      <c r="A57" s="51">
        <v>46273.87777777778</v>
      </c>
      <c r="B57" s="29" t="s">
        <v>120</v>
      </c>
      <c r="C57" s="48">
        <v>291320829</v>
      </c>
      <c r="D57" s="28">
        <v>738035035</v>
      </c>
      <c r="E57" s="29" t="s">
        <v>110</v>
      </c>
      <c r="F57" s="32">
        <v>80.5</v>
      </c>
      <c r="G57" s="32">
        <v>71.5</v>
      </c>
      <c r="H57" s="28">
        <v>4</v>
      </c>
      <c r="I57" s="32">
        <v>2.86</v>
      </c>
      <c r="J57" s="28">
        <v>15</v>
      </c>
      <c r="K57" s="29">
        <v>6</v>
      </c>
      <c r="L57" s="28">
        <v>8</v>
      </c>
      <c r="M57" s="29" t="s">
        <v>69</v>
      </c>
      <c r="N57" s="29" t="s">
        <v>338</v>
      </c>
      <c r="O57" s="29">
        <v>6</v>
      </c>
      <c r="P57" s="29">
        <v>0</v>
      </c>
      <c r="Q57" s="31">
        <f t="shared" si="0"/>
        <v>83.64</v>
      </c>
      <c r="R57" s="32">
        <f t="shared" si="1"/>
        <v>2.86</v>
      </c>
      <c r="S57" s="32">
        <f t="shared" si="2"/>
        <v>15</v>
      </c>
    </row>
    <row r="58" spans="1:19" x14ac:dyDescent="0.25">
      <c r="A58" s="51">
        <v>46273.919444444444</v>
      </c>
      <c r="B58" s="29" t="s">
        <v>342</v>
      </c>
      <c r="C58" s="48">
        <v>291330830</v>
      </c>
      <c r="D58" s="28">
        <v>738069500</v>
      </c>
      <c r="E58" s="29" t="s">
        <v>306</v>
      </c>
      <c r="F58" s="28">
        <v>37</v>
      </c>
      <c r="G58" s="28">
        <v>35</v>
      </c>
      <c r="H58" s="28">
        <v>5</v>
      </c>
      <c r="I58" s="32">
        <v>1.75</v>
      </c>
      <c r="J58" s="28">
        <v>17</v>
      </c>
      <c r="K58" s="29">
        <v>6.9</v>
      </c>
      <c r="L58" s="28">
        <v>1</v>
      </c>
      <c r="M58" s="29" t="s">
        <v>69</v>
      </c>
      <c r="N58" s="29" t="s">
        <v>343</v>
      </c>
      <c r="O58" s="29">
        <v>15</v>
      </c>
      <c r="P58" s="29">
        <v>8.1</v>
      </c>
      <c r="Q58" s="31">
        <f t="shared" si="0"/>
        <v>42.15</v>
      </c>
      <c r="R58" s="32">
        <f t="shared" si="1"/>
        <v>1.75</v>
      </c>
      <c r="S58" s="32">
        <f t="shared" si="2"/>
        <v>8.9</v>
      </c>
    </row>
    <row r="59" spans="1:19" x14ac:dyDescent="0.25">
      <c r="A59" s="51">
        <v>46273.928472222222</v>
      </c>
      <c r="B59" s="29" t="s">
        <v>209</v>
      </c>
      <c r="C59" s="48">
        <v>291331959</v>
      </c>
      <c r="D59" s="28">
        <v>734859898</v>
      </c>
      <c r="E59" s="29" t="s">
        <v>346</v>
      </c>
      <c r="F59" s="28">
        <v>38</v>
      </c>
      <c r="G59" s="28">
        <v>36</v>
      </c>
      <c r="H59" s="32">
        <v>4.5</v>
      </c>
      <c r="I59" s="32">
        <v>1.62</v>
      </c>
      <c r="J59" s="28">
        <v>17</v>
      </c>
      <c r="K59" s="29">
        <v>6.9</v>
      </c>
      <c r="L59" s="28">
        <v>1</v>
      </c>
      <c r="M59" s="29" t="s">
        <v>69</v>
      </c>
      <c r="N59" s="29" t="s">
        <v>347</v>
      </c>
      <c r="O59" s="29">
        <v>15</v>
      </c>
      <c r="P59" s="29">
        <v>8.1</v>
      </c>
      <c r="Q59" s="31">
        <f t="shared" si="0"/>
        <v>43.28</v>
      </c>
      <c r="R59" s="32">
        <f t="shared" si="1"/>
        <v>1.62</v>
      </c>
      <c r="S59" s="32">
        <f t="shared" si="2"/>
        <v>8.9</v>
      </c>
    </row>
    <row r="60" spans="1:19" x14ac:dyDescent="0.25">
      <c r="A60" s="51">
        <v>46273.940972222219</v>
      </c>
      <c r="B60" s="29" t="s">
        <v>349</v>
      </c>
      <c r="C60" s="48">
        <v>291333010</v>
      </c>
      <c r="D60" s="28">
        <v>738075986</v>
      </c>
      <c r="E60" s="29" t="s">
        <v>233</v>
      </c>
      <c r="F60" s="28">
        <v>250</v>
      </c>
      <c r="G60" s="28">
        <v>213</v>
      </c>
      <c r="H60" s="28">
        <v>5</v>
      </c>
      <c r="I60" s="32">
        <v>10.65</v>
      </c>
      <c r="J60" s="28">
        <v>37</v>
      </c>
      <c r="K60" s="29">
        <v>0</v>
      </c>
      <c r="L60" s="28">
        <v>35</v>
      </c>
      <c r="M60" s="29" t="s">
        <v>69</v>
      </c>
      <c r="N60" s="29" t="s">
        <v>351</v>
      </c>
      <c r="O60" s="29">
        <v>0</v>
      </c>
      <c r="P60" s="29">
        <v>0</v>
      </c>
      <c r="Q60" s="31">
        <f t="shared" si="0"/>
        <v>239.35</v>
      </c>
      <c r="R60" s="32">
        <f t="shared" si="1"/>
        <v>10.65</v>
      </c>
      <c r="S60" s="32">
        <f t="shared" si="2"/>
        <v>37</v>
      </c>
    </row>
    <row r="61" spans="1:19" x14ac:dyDescent="0.25">
      <c r="A61" s="51">
        <v>46273.935416666667</v>
      </c>
      <c r="B61" s="29" t="s">
        <v>209</v>
      </c>
      <c r="C61" s="48">
        <v>291333731</v>
      </c>
      <c r="D61" s="28">
        <v>738063487</v>
      </c>
      <c r="E61" s="29" t="s">
        <v>355</v>
      </c>
      <c r="F61" s="28">
        <v>41</v>
      </c>
      <c r="G61" s="28">
        <v>41</v>
      </c>
      <c r="H61" s="32">
        <v>4.5</v>
      </c>
      <c r="I61" s="32">
        <v>1.845</v>
      </c>
      <c r="J61" s="28">
        <v>15</v>
      </c>
      <c r="K61" s="29">
        <v>6.9</v>
      </c>
      <c r="L61" s="28">
        <v>0</v>
      </c>
      <c r="M61" s="29" t="s">
        <v>69</v>
      </c>
      <c r="N61" s="29" t="s">
        <v>356</v>
      </c>
      <c r="O61" s="29">
        <v>15</v>
      </c>
      <c r="P61" s="29">
        <v>8.1</v>
      </c>
      <c r="Q61" s="31">
        <f t="shared" si="0"/>
        <v>46.055</v>
      </c>
      <c r="R61" s="32">
        <f t="shared" si="1"/>
        <v>1.845</v>
      </c>
      <c r="S61" s="32">
        <f t="shared" si="2"/>
        <v>6.9</v>
      </c>
    </row>
    <row r="62" spans="1:19" x14ac:dyDescent="0.25">
      <c r="A62" s="51">
        <v>46273.936111111114</v>
      </c>
      <c r="B62" s="29" t="s">
        <v>87</v>
      </c>
      <c r="C62" s="48">
        <v>291334459</v>
      </c>
      <c r="D62" s="28">
        <v>738080135</v>
      </c>
      <c r="E62" s="29" t="s">
        <v>303</v>
      </c>
      <c r="F62" s="28">
        <v>45</v>
      </c>
      <c r="G62" s="28">
        <v>40</v>
      </c>
      <c r="H62" s="32">
        <v>4.75</v>
      </c>
      <c r="I62" s="32">
        <v>1.9</v>
      </c>
      <c r="J62" s="28">
        <v>15</v>
      </c>
      <c r="K62" s="29">
        <v>6</v>
      </c>
      <c r="L62" s="28">
        <v>4</v>
      </c>
      <c r="M62" s="29" t="s">
        <v>69</v>
      </c>
      <c r="N62" s="29" t="s">
        <v>358</v>
      </c>
      <c r="O62" s="29">
        <v>10</v>
      </c>
      <c r="P62" s="29">
        <v>4</v>
      </c>
      <c r="Q62" s="31">
        <f t="shared" si="0"/>
        <v>49.1</v>
      </c>
      <c r="R62" s="32">
        <f t="shared" si="1"/>
        <v>1.9</v>
      </c>
      <c r="S62" s="32">
        <f t="shared" si="2"/>
        <v>11</v>
      </c>
    </row>
    <row r="63" spans="1:19" x14ac:dyDescent="0.25">
      <c r="A63" s="51">
        <v>46273.945138888892</v>
      </c>
      <c r="B63" s="29" t="s">
        <v>120</v>
      </c>
      <c r="C63" s="48">
        <v>291336492</v>
      </c>
      <c r="D63" s="28">
        <v>738082249</v>
      </c>
      <c r="E63" s="29" t="s">
        <v>361</v>
      </c>
      <c r="F63" s="28">
        <v>128</v>
      </c>
      <c r="G63" s="28">
        <v>119</v>
      </c>
      <c r="H63" s="28">
        <v>4</v>
      </c>
      <c r="I63" s="32">
        <v>4.76</v>
      </c>
      <c r="J63" s="28">
        <v>15</v>
      </c>
      <c r="K63" s="29">
        <v>6</v>
      </c>
      <c r="L63" s="28">
        <v>8</v>
      </c>
      <c r="M63" s="29" t="s">
        <v>69</v>
      </c>
      <c r="N63" s="29" t="s">
        <v>362</v>
      </c>
      <c r="O63" s="29">
        <v>6</v>
      </c>
      <c r="P63" s="29">
        <v>0</v>
      </c>
      <c r="Q63" s="31">
        <f t="shared" si="0"/>
        <v>129.24</v>
      </c>
      <c r="R63" s="32">
        <f t="shared" si="1"/>
        <v>4.76</v>
      </c>
      <c r="S63" s="32">
        <f t="shared" si="2"/>
        <v>15</v>
      </c>
    </row>
    <row r="64" spans="1:19" x14ac:dyDescent="0.25">
      <c r="A64" s="51">
        <v>46274.063888888886</v>
      </c>
      <c r="B64" s="29" t="s">
        <v>93</v>
      </c>
      <c r="C64" s="48">
        <v>291348476</v>
      </c>
      <c r="D64" s="28">
        <v>738135383</v>
      </c>
      <c r="E64" s="29" t="s">
        <v>365</v>
      </c>
      <c r="F64" s="28">
        <v>55</v>
      </c>
      <c r="G64" s="28">
        <v>55</v>
      </c>
      <c r="H64" s="28">
        <v>5</v>
      </c>
      <c r="I64" s="32">
        <v>2.75</v>
      </c>
      <c r="J64" s="28">
        <v>15</v>
      </c>
      <c r="K64" s="29">
        <v>10</v>
      </c>
      <c r="L64" s="28">
        <v>0</v>
      </c>
      <c r="M64" s="29" t="s">
        <v>69</v>
      </c>
      <c r="N64" s="29" t="s">
        <v>366</v>
      </c>
      <c r="O64" s="29">
        <v>15</v>
      </c>
      <c r="P64" s="29">
        <v>5</v>
      </c>
      <c r="Q64" s="31">
        <f t="shared" si="0"/>
        <v>62.25</v>
      </c>
      <c r="R64" s="32">
        <f t="shared" si="1"/>
        <v>2.75</v>
      </c>
      <c r="S64" s="32">
        <f t="shared" si="2"/>
        <v>10</v>
      </c>
    </row>
    <row r="65" spans="1:19" x14ac:dyDescent="0.25">
      <c r="A65" s="51">
        <v>46274.071527777778</v>
      </c>
      <c r="B65" s="29" t="s">
        <v>342</v>
      </c>
      <c r="C65" s="48">
        <v>291348925</v>
      </c>
      <c r="D65" s="28">
        <v>737841061</v>
      </c>
      <c r="E65" s="29" t="s">
        <v>368</v>
      </c>
      <c r="F65" s="32">
        <v>39.779998779296875</v>
      </c>
      <c r="G65" s="32">
        <v>39.78</v>
      </c>
      <c r="H65" s="28">
        <v>5</v>
      </c>
      <c r="I65" s="32">
        <v>1.9890000000000001</v>
      </c>
      <c r="J65" s="28">
        <v>15</v>
      </c>
      <c r="K65" s="29">
        <v>6.9</v>
      </c>
      <c r="L65" s="28">
        <v>0</v>
      </c>
      <c r="M65" s="29" t="s">
        <v>69</v>
      </c>
      <c r="N65" s="29" t="s">
        <v>369</v>
      </c>
      <c r="O65" s="29">
        <v>15</v>
      </c>
      <c r="P65" s="29">
        <v>8.1</v>
      </c>
      <c r="Q65" s="31">
        <f t="shared" si="0"/>
        <v>44.690998779296876</v>
      </c>
      <c r="R65" s="32">
        <f t="shared" si="1"/>
        <v>1.9890000000000001</v>
      </c>
      <c r="S65" s="32">
        <f t="shared" si="2"/>
        <v>6.9</v>
      </c>
    </row>
    <row r="66" spans="1:19" x14ac:dyDescent="0.25">
      <c r="A66" s="51">
        <v>46274.134722222225</v>
      </c>
      <c r="B66" s="29" t="s">
        <v>125</v>
      </c>
      <c r="C66" s="48">
        <v>291351048</v>
      </c>
      <c r="D66" s="28">
        <v>738153397</v>
      </c>
      <c r="E66" s="29" t="s">
        <v>372</v>
      </c>
      <c r="F66" s="28">
        <v>54</v>
      </c>
      <c r="G66" s="28">
        <v>39</v>
      </c>
      <c r="H66" s="32">
        <v>4.75</v>
      </c>
      <c r="I66" s="32">
        <v>1.8525</v>
      </c>
      <c r="J66" s="28">
        <v>15</v>
      </c>
      <c r="K66" s="29">
        <v>0</v>
      </c>
      <c r="L66" s="28">
        <v>14</v>
      </c>
      <c r="M66" s="29" t="s">
        <v>69</v>
      </c>
      <c r="N66" s="29" t="s">
        <v>373</v>
      </c>
      <c r="O66" s="29">
        <v>0</v>
      </c>
      <c r="P66" s="29">
        <v>0</v>
      </c>
      <c r="Q66" s="31">
        <f t="shared" si="0"/>
        <v>52.147500000000001</v>
      </c>
      <c r="R66" s="32">
        <f t="shared" si="1"/>
        <v>1.8525</v>
      </c>
      <c r="S66" s="32">
        <f t="shared" si="2"/>
        <v>15</v>
      </c>
    </row>
    <row r="67" spans="1:19" x14ac:dyDescent="0.25">
      <c r="A67" s="51">
        <v>46274.206250000003</v>
      </c>
      <c r="B67" s="29" t="s">
        <v>377</v>
      </c>
      <c r="C67" s="48">
        <v>291351585</v>
      </c>
      <c r="D67" s="28">
        <v>738160560</v>
      </c>
      <c r="E67" s="29" t="s">
        <v>378</v>
      </c>
      <c r="F67" s="32">
        <v>90.75</v>
      </c>
      <c r="G67" s="32">
        <v>75.75</v>
      </c>
      <c r="H67" s="28">
        <v>5</v>
      </c>
      <c r="I67" s="32">
        <v>3.7875000000000001</v>
      </c>
      <c r="J67" s="28">
        <v>15</v>
      </c>
      <c r="K67" s="29">
        <v>0</v>
      </c>
      <c r="L67" s="28">
        <v>14</v>
      </c>
      <c r="M67" s="29" t="s">
        <v>69</v>
      </c>
      <c r="N67" s="29" t="s">
        <v>379</v>
      </c>
      <c r="O67" s="29">
        <v>0</v>
      </c>
      <c r="P67" s="29">
        <v>0</v>
      </c>
      <c r="Q67" s="31">
        <f t="shared" ref="Q67:Q130" si="3">F67+K67-I67</f>
        <v>86.962500000000006</v>
      </c>
      <c r="R67" s="32">
        <f t="shared" ref="R67:R130" si="4">I67</f>
        <v>3.7875000000000001</v>
      </c>
      <c r="S67" s="32">
        <f t="shared" ref="S67:S130" si="5">J67-P67</f>
        <v>15</v>
      </c>
    </row>
    <row r="68" spans="1:19" x14ac:dyDescent="0.25">
      <c r="A68" s="51">
        <v>46274.22152777778</v>
      </c>
      <c r="B68" s="29" t="s">
        <v>120</v>
      </c>
      <c r="C68" s="48">
        <v>291351878</v>
      </c>
      <c r="D68" s="28">
        <v>738164692</v>
      </c>
      <c r="E68" s="29" t="s">
        <v>382</v>
      </c>
      <c r="F68" s="32">
        <v>63.5</v>
      </c>
      <c r="G68" s="32">
        <v>54.5</v>
      </c>
      <c r="H68" s="28">
        <v>4</v>
      </c>
      <c r="I68" s="32">
        <v>2.1800000000000002</v>
      </c>
      <c r="J68" s="28">
        <v>15</v>
      </c>
      <c r="K68" s="29">
        <v>6</v>
      </c>
      <c r="L68" s="28">
        <v>8</v>
      </c>
      <c r="M68" s="29" t="s">
        <v>69</v>
      </c>
      <c r="N68" s="29" t="s">
        <v>383</v>
      </c>
      <c r="O68" s="29">
        <v>6</v>
      </c>
      <c r="P68" s="29">
        <v>0</v>
      </c>
      <c r="Q68" s="31">
        <f t="shared" si="3"/>
        <v>67.319999999999993</v>
      </c>
      <c r="R68" s="32">
        <f t="shared" si="4"/>
        <v>2.1800000000000002</v>
      </c>
      <c r="S68" s="32">
        <f t="shared" si="5"/>
        <v>15</v>
      </c>
    </row>
    <row r="69" spans="1:19" x14ac:dyDescent="0.25">
      <c r="A69" s="51">
        <v>46274.234722222223</v>
      </c>
      <c r="B69" s="29" t="s">
        <v>385</v>
      </c>
      <c r="C69" s="48">
        <v>291351995</v>
      </c>
      <c r="D69" s="28">
        <v>738166061</v>
      </c>
      <c r="E69" s="29" t="s">
        <v>387</v>
      </c>
      <c r="F69" s="32">
        <v>46.400001525878906</v>
      </c>
      <c r="G69" s="32">
        <v>46.4</v>
      </c>
      <c r="H69" s="28">
        <v>5</v>
      </c>
      <c r="I69" s="32">
        <v>2.3199999999999998</v>
      </c>
      <c r="J69" s="28">
        <v>15</v>
      </c>
      <c r="K69" s="29">
        <v>5</v>
      </c>
      <c r="L69" s="28">
        <v>0</v>
      </c>
      <c r="M69" s="29" t="s">
        <v>69</v>
      </c>
      <c r="N69" s="29" t="s">
        <v>388</v>
      </c>
      <c r="O69" s="29">
        <v>15</v>
      </c>
      <c r="P69" s="29">
        <v>10</v>
      </c>
      <c r="Q69" s="31">
        <f t="shared" si="3"/>
        <v>49.080001525878906</v>
      </c>
      <c r="R69" s="32">
        <f t="shared" si="4"/>
        <v>2.3199999999999998</v>
      </c>
      <c r="S69" s="32">
        <f t="shared" si="5"/>
        <v>5</v>
      </c>
    </row>
    <row r="70" spans="1:19" x14ac:dyDescent="0.25">
      <c r="A70" s="51">
        <v>46274.345138888886</v>
      </c>
      <c r="B70" s="29" t="s">
        <v>392</v>
      </c>
      <c r="C70" s="48">
        <v>291355736</v>
      </c>
      <c r="D70" s="28">
        <v>738188573</v>
      </c>
      <c r="E70" s="29" t="s">
        <v>393</v>
      </c>
      <c r="F70" s="28">
        <v>40</v>
      </c>
      <c r="G70" s="28">
        <v>38</v>
      </c>
      <c r="H70" s="28">
        <v>5</v>
      </c>
      <c r="I70" s="32">
        <v>1.9</v>
      </c>
      <c r="J70" s="28">
        <v>17</v>
      </c>
      <c r="K70" s="29">
        <v>15</v>
      </c>
      <c r="L70" s="28">
        <v>1</v>
      </c>
      <c r="M70" s="29" t="s">
        <v>69</v>
      </c>
      <c r="N70" s="29" t="s">
        <v>394</v>
      </c>
      <c r="O70" s="29">
        <v>15</v>
      </c>
      <c r="P70" s="29">
        <v>0</v>
      </c>
      <c r="Q70" s="31">
        <f t="shared" si="3"/>
        <v>53.1</v>
      </c>
      <c r="R70" s="32">
        <f t="shared" si="4"/>
        <v>1.9</v>
      </c>
      <c r="S70" s="32">
        <f t="shared" si="5"/>
        <v>17</v>
      </c>
    </row>
    <row r="71" spans="1:19" x14ac:dyDescent="0.25">
      <c r="A71" s="51">
        <v>46274.355555555558</v>
      </c>
      <c r="B71" s="29" t="s">
        <v>120</v>
      </c>
      <c r="C71" s="48">
        <v>291356092</v>
      </c>
      <c r="D71" s="28">
        <v>738188990</v>
      </c>
      <c r="E71" s="29" t="s">
        <v>397</v>
      </c>
      <c r="F71" s="28">
        <v>45</v>
      </c>
      <c r="G71" s="28">
        <v>36</v>
      </c>
      <c r="H71" s="28">
        <v>4</v>
      </c>
      <c r="I71" s="32">
        <v>1.44</v>
      </c>
      <c r="J71" s="28">
        <v>15</v>
      </c>
      <c r="K71" s="29">
        <v>6</v>
      </c>
      <c r="L71" s="28">
        <v>8</v>
      </c>
      <c r="M71" s="29" t="s">
        <v>69</v>
      </c>
      <c r="N71" s="29" t="s">
        <v>398</v>
      </c>
      <c r="O71" s="29">
        <v>6</v>
      </c>
      <c r="P71" s="29">
        <v>0</v>
      </c>
      <c r="Q71" s="31">
        <f t="shared" si="3"/>
        <v>49.56</v>
      </c>
      <c r="R71" s="32">
        <f t="shared" si="4"/>
        <v>1.44</v>
      </c>
      <c r="S71" s="32">
        <f t="shared" si="5"/>
        <v>15</v>
      </c>
    </row>
    <row r="72" spans="1:19" x14ac:dyDescent="0.25">
      <c r="A72" s="51">
        <v>46274.402083333334</v>
      </c>
      <c r="B72" s="29" t="s">
        <v>120</v>
      </c>
      <c r="C72" s="48">
        <v>291359758</v>
      </c>
      <c r="D72" s="28">
        <v>738200995</v>
      </c>
      <c r="E72" s="29" t="s">
        <v>401</v>
      </c>
      <c r="F72" s="32">
        <v>58.5</v>
      </c>
      <c r="G72" s="32">
        <v>49.5</v>
      </c>
      <c r="H72" s="28">
        <v>4</v>
      </c>
      <c r="I72" s="32">
        <v>1.98</v>
      </c>
      <c r="J72" s="28">
        <v>15</v>
      </c>
      <c r="K72" s="29">
        <v>6</v>
      </c>
      <c r="L72" s="28">
        <v>8</v>
      </c>
      <c r="M72" s="29" t="s">
        <v>69</v>
      </c>
      <c r="N72" s="29" t="s">
        <v>402</v>
      </c>
      <c r="O72" s="29">
        <v>6</v>
      </c>
      <c r="P72" s="29">
        <v>0</v>
      </c>
      <c r="Q72" s="31">
        <f t="shared" si="3"/>
        <v>62.52</v>
      </c>
      <c r="R72" s="32">
        <f t="shared" si="4"/>
        <v>1.98</v>
      </c>
      <c r="S72" s="32">
        <f t="shared" si="5"/>
        <v>15</v>
      </c>
    </row>
    <row r="73" spans="1:19" x14ac:dyDescent="0.25">
      <c r="A73" s="51">
        <v>46274.454861111109</v>
      </c>
      <c r="B73" s="29" t="s">
        <v>159</v>
      </c>
      <c r="C73" s="48">
        <v>291365757</v>
      </c>
      <c r="D73" s="28">
        <v>738218925</v>
      </c>
      <c r="E73" s="29" t="s">
        <v>405</v>
      </c>
      <c r="F73" s="28">
        <v>45</v>
      </c>
      <c r="G73" s="28">
        <v>37</v>
      </c>
      <c r="H73" s="28">
        <v>5</v>
      </c>
      <c r="I73" s="32">
        <v>1.85</v>
      </c>
      <c r="J73" s="28">
        <v>15</v>
      </c>
      <c r="K73" s="29">
        <v>3.5</v>
      </c>
      <c r="L73" s="28">
        <v>7</v>
      </c>
      <c r="M73" s="29" t="s">
        <v>69</v>
      </c>
      <c r="N73" s="29" t="s">
        <v>406</v>
      </c>
      <c r="O73" s="29">
        <v>7</v>
      </c>
      <c r="P73" s="29">
        <v>3.5</v>
      </c>
      <c r="Q73" s="31">
        <f t="shared" si="3"/>
        <v>46.65</v>
      </c>
      <c r="R73" s="32">
        <f t="shared" si="4"/>
        <v>1.85</v>
      </c>
      <c r="S73" s="32">
        <f t="shared" si="5"/>
        <v>11.5</v>
      </c>
    </row>
    <row r="74" spans="1:19" x14ac:dyDescent="0.25">
      <c r="A74" s="51">
        <v>46274.490277777775</v>
      </c>
      <c r="B74" s="29" t="s">
        <v>120</v>
      </c>
      <c r="C74" s="48">
        <v>291370488</v>
      </c>
      <c r="D74" s="28">
        <v>734937289</v>
      </c>
      <c r="E74" s="29" t="s">
        <v>110</v>
      </c>
      <c r="F74" s="32">
        <v>79.5</v>
      </c>
      <c r="G74" s="32">
        <v>70.5</v>
      </c>
      <c r="H74" s="28">
        <v>4</v>
      </c>
      <c r="I74" s="32">
        <v>2.82</v>
      </c>
      <c r="J74" s="28">
        <v>15</v>
      </c>
      <c r="K74" s="29">
        <v>6</v>
      </c>
      <c r="L74" s="28">
        <v>8</v>
      </c>
      <c r="M74" s="29" t="s">
        <v>69</v>
      </c>
      <c r="N74" s="29" t="s">
        <v>409</v>
      </c>
      <c r="O74" s="29">
        <v>6</v>
      </c>
      <c r="P74" s="29">
        <v>0</v>
      </c>
      <c r="Q74" s="31">
        <f t="shared" si="3"/>
        <v>82.68</v>
      </c>
      <c r="R74" s="32">
        <f t="shared" si="4"/>
        <v>2.82</v>
      </c>
      <c r="S74" s="32">
        <f t="shared" si="5"/>
        <v>15</v>
      </c>
    </row>
    <row r="75" spans="1:19" x14ac:dyDescent="0.25">
      <c r="A75" s="51">
        <v>46274.506249999999</v>
      </c>
      <c r="B75" s="29" t="s">
        <v>413</v>
      </c>
      <c r="C75" s="48">
        <v>291372931</v>
      </c>
      <c r="D75" s="28">
        <v>738243877</v>
      </c>
      <c r="E75" s="29" t="s">
        <v>226</v>
      </c>
      <c r="F75" s="28">
        <v>46</v>
      </c>
      <c r="G75" s="28">
        <v>46</v>
      </c>
      <c r="H75" s="28">
        <v>5</v>
      </c>
      <c r="I75" s="32">
        <v>2.2999999999999998</v>
      </c>
      <c r="J75" s="28">
        <v>15</v>
      </c>
      <c r="K75" s="29">
        <v>4.95</v>
      </c>
      <c r="L75" s="28">
        <v>0</v>
      </c>
      <c r="M75" s="29" t="s">
        <v>69</v>
      </c>
      <c r="N75" s="29" t="s">
        <v>414</v>
      </c>
      <c r="O75" s="29">
        <v>15</v>
      </c>
      <c r="P75" s="29">
        <v>10.050000000000001</v>
      </c>
      <c r="Q75" s="31">
        <f t="shared" si="3"/>
        <v>48.650000000000006</v>
      </c>
      <c r="R75" s="32">
        <f t="shared" si="4"/>
        <v>2.2999999999999998</v>
      </c>
      <c r="S75" s="32">
        <f t="shared" si="5"/>
        <v>4.9499999999999993</v>
      </c>
    </row>
    <row r="76" spans="1:19" x14ac:dyDescent="0.25">
      <c r="A76" s="51">
        <v>46274.609722222223</v>
      </c>
      <c r="B76" s="29" t="s">
        <v>418</v>
      </c>
      <c r="C76" s="48">
        <v>291384904</v>
      </c>
      <c r="D76" s="28">
        <v>738273865</v>
      </c>
      <c r="E76" s="29" t="s">
        <v>248</v>
      </c>
      <c r="F76" s="28">
        <v>57</v>
      </c>
      <c r="G76" s="28">
        <v>44</v>
      </c>
      <c r="H76" s="28">
        <v>5</v>
      </c>
      <c r="I76" s="32">
        <v>2.2000000000000002</v>
      </c>
      <c r="J76" s="28">
        <v>28</v>
      </c>
      <c r="K76" s="29">
        <v>6.9</v>
      </c>
      <c r="L76" s="28">
        <v>12</v>
      </c>
      <c r="M76" s="29" t="s">
        <v>69</v>
      </c>
      <c r="N76" s="29" t="s">
        <v>419</v>
      </c>
      <c r="O76" s="29">
        <v>15</v>
      </c>
      <c r="P76" s="29">
        <v>8.1</v>
      </c>
      <c r="Q76" s="31">
        <f t="shared" si="3"/>
        <v>61.699999999999996</v>
      </c>
      <c r="R76" s="32">
        <f t="shared" si="4"/>
        <v>2.2000000000000002</v>
      </c>
      <c r="S76" s="32">
        <f t="shared" si="5"/>
        <v>19.899999999999999</v>
      </c>
    </row>
    <row r="77" spans="1:19" x14ac:dyDescent="0.25">
      <c r="A77" s="51">
        <v>46274.634722222225</v>
      </c>
      <c r="B77" s="29" t="s">
        <v>423</v>
      </c>
      <c r="C77" s="48">
        <v>291397514</v>
      </c>
      <c r="D77" s="28">
        <v>738301027</v>
      </c>
      <c r="E77" s="29" t="s">
        <v>424</v>
      </c>
      <c r="F77" s="28">
        <v>43</v>
      </c>
      <c r="G77" s="28">
        <v>43</v>
      </c>
      <c r="H77" s="28">
        <v>5</v>
      </c>
      <c r="I77" s="32">
        <v>2.15</v>
      </c>
      <c r="J77" s="28">
        <v>15</v>
      </c>
      <c r="K77" s="29">
        <v>5</v>
      </c>
      <c r="L77" s="28">
        <v>0</v>
      </c>
      <c r="M77" s="29" t="s">
        <v>69</v>
      </c>
      <c r="N77" s="29" t="s">
        <v>425</v>
      </c>
      <c r="O77" s="29">
        <v>15</v>
      </c>
      <c r="P77" s="29">
        <v>10</v>
      </c>
      <c r="Q77" s="31">
        <f t="shared" si="3"/>
        <v>45.85</v>
      </c>
      <c r="R77" s="32">
        <f t="shared" si="4"/>
        <v>2.15</v>
      </c>
      <c r="S77" s="32">
        <f t="shared" si="5"/>
        <v>5</v>
      </c>
    </row>
    <row r="78" spans="1:19" x14ac:dyDescent="0.25">
      <c r="A78" s="51">
        <v>46274.684027777781</v>
      </c>
      <c r="B78" s="29" t="s">
        <v>428</v>
      </c>
      <c r="C78" s="48">
        <v>291410010</v>
      </c>
      <c r="D78" s="28">
        <v>738342016</v>
      </c>
      <c r="E78" s="29" t="s">
        <v>110</v>
      </c>
      <c r="F78" s="28">
        <v>104</v>
      </c>
      <c r="G78" s="28">
        <v>89</v>
      </c>
      <c r="H78" s="28">
        <v>5</v>
      </c>
      <c r="I78" s="32">
        <v>4.45</v>
      </c>
      <c r="J78" s="28">
        <v>15</v>
      </c>
      <c r="K78" s="29">
        <v>0</v>
      </c>
      <c r="L78" s="28">
        <v>14</v>
      </c>
      <c r="M78" s="29" t="s">
        <v>69</v>
      </c>
      <c r="N78" s="29" t="s">
        <v>429</v>
      </c>
      <c r="O78" s="29">
        <v>0</v>
      </c>
      <c r="P78" s="29">
        <v>0</v>
      </c>
      <c r="Q78" s="31">
        <f t="shared" si="3"/>
        <v>99.55</v>
      </c>
      <c r="R78" s="32">
        <f t="shared" si="4"/>
        <v>4.45</v>
      </c>
      <c r="S78" s="32">
        <f t="shared" si="5"/>
        <v>15</v>
      </c>
    </row>
    <row r="79" spans="1:19" x14ac:dyDescent="0.25">
      <c r="A79" s="51">
        <v>46274.777777777781</v>
      </c>
      <c r="B79" s="29" t="s">
        <v>433</v>
      </c>
      <c r="C79" s="48">
        <v>291442330</v>
      </c>
      <c r="D79" s="28">
        <v>738423137</v>
      </c>
      <c r="E79" s="29" t="s">
        <v>378</v>
      </c>
      <c r="F79" s="28">
        <v>54</v>
      </c>
      <c r="G79" s="28">
        <v>45</v>
      </c>
      <c r="H79" s="28">
        <v>5</v>
      </c>
      <c r="I79" s="32">
        <v>2.25</v>
      </c>
      <c r="J79" s="28">
        <v>15</v>
      </c>
      <c r="K79" s="29">
        <v>6</v>
      </c>
      <c r="L79" s="28">
        <v>8</v>
      </c>
      <c r="M79" s="29" t="s">
        <v>69</v>
      </c>
      <c r="N79" s="29" t="s">
        <v>434</v>
      </c>
      <c r="O79" s="29">
        <v>6</v>
      </c>
      <c r="P79" s="29">
        <v>0</v>
      </c>
      <c r="Q79" s="31">
        <f t="shared" si="3"/>
        <v>57.75</v>
      </c>
      <c r="R79" s="32">
        <f t="shared" si="4"/>
        <v>2.25</v>
      </c>
      <c r="S79" s="32">
        <f t="shared" si="5"/>
        <v>15</v>
      </c>
    </row>
    <row r="80" spans="1:19" x14ac:dyDescent="0.25">
      <c r="A80" s="51">
        <v>46274.884722222225</v>
      </c>
      <c r="B80" s="29" t="s">
        <v>438</v>
      </c>
      <c r="C80" s="48">
        <v>291473766</v>
      </c>
      <c r="D80" s="28">
        <v>738504448</v>
      </c>
      <c r="E80" s="29" t="s">
        <v>110</v>
      </c>
      <c r="F80" s="28">
        <v>59</v>
      </c>
      <c r="G80" s="28">
        <v>57</v>
      </c>
      <c r="H80" s="28">
        <v>5</v>
      </c>
      <c r="I80" s="32">
        <v>2.85</v>
      </c>
      <c r="J80" s="28">
        <v>17</v>
      </c>
      <c r="K80" s="29">
        <v>9.9</v>
      </c>
      <c r="L80" s="28">
        <v>1</v>
      </c>
      <c r="M80" s="29" t="s">
        <v>69</v>
      </c>
      <c r="N80" s="29" t="s">
        <v>439</v>
      </c>
      <c r="O80" s="29">
        <v>15</v>
      </c>
      <c r="P80" s="29">
        <v>5.0999999999999996</v>
      </c>
      <c r="Q80" s="31">
        <f t="shared" si="3"/>
        <v>66.050000000000011</v>
      </c>
      <c r="R80" s="32">
        <f t="shared" si="4"/>
        <v>2.85</v>
      </c>
      <c r="S80" s="32">
        <f t="shared" si="5"/>
        <v>11.9</v>
      </c>
    </row>
    <row r="81" spans="1:19" x14ac:dyDescent="0.25">
      <c r="A81" s="51">
        <v>46274.904166666667</v>
      </c>
      <c r="B81" s="29" t="s">
        <v>443</v>
      </c>
      <c r="C81" s="48">
        <v>291477417</v>
      </c>
      <c r="D81" s="28">
        <v>738342089</v>
      </c>
      <c r="E81" s="29" t="s">
        <v>444</v>
      </c>
      <c r="F81" s="28">
        <v>48</v>
      </c>
      <c r="G81" s="28">
        <v>35</v>
      </c>
      <c r="H81" s="28">
        <v>5</v>
      </c>
      <c r="I81" s="32">
        <v>1.75</v>
      </c>
      <c r="J81" s="28">
        <v>28</v>
      </c>
      <c r="K81" s="29">
        <v>4.95</v>
      </c>
      <c r="L81" s="28">
        <v>12</v>
      </c>
      <c r="M81" s="29" t="s">
        <v>69</v>
      </c>
      <c r="N81" s="29" t="s">
        <v>445</v>
      </c>
      <c r="O81" s="29">
        <v>15</v>
      </c>
      <c r="P81" s="29">
        <v>10.050000000000001</v>
      </c>
      <c r="Q81" s="31">
        <f t="shared" si="3"/>
        <v>51.2</v>
      </c>
      <c r="R81" s="32">
        <f t="shared" si="4"/>
        <v>1.75</v>
      </c>
      <c r="S81" s="32">
        <f t="shared" si="5"/>
        <v>17.95</v>
      </c>
    </row>
    <row r="82" spans="1:19" x14ac:dyDescent="0.25">
      <c r="A82" s="51">
        <v>46274.90347222222</v>
      </c>
      <c r="B82" s="29" t="s">
        <v>449</v>
      </c>
      <c r="C82" s="48">
        <v>291478698</v>
      </c>
      <c r="D82" s="28">
        <v>738521156</v>
      </c>
      <c r="E82" s="29" t="s">
        <v>355</v>
      </c>
      <c r="F82" s="28">
        <v>37</v>
      </c>
      <c r="G82" s="28">
        <v>35</v>
      </c>
      <c r="H82" s="28">
        <v>5</v>
      </c>
      <c r="I82" s="32">
        <v>1.75</v>
      </c>
      <c r="J82" s="28">
        <v>17</v>
      </c>
      <c r="K82" s="29">
        <v>6.9</v>
      </c>
      <c r="L82" s="28">
        <v>1</v>
      </c>
      <c r="M82" s="29" t="s">
        <v>69</v>
      </c>
      <c r="N82" s="29" t="s">
        <v>450</v>
      </c>
      <c r="O82" s="29">
        <v>15</v>
      </c>
      <c r="P82" s="29">
        <v>8.1</v>
      </c>
      <c r="Q82" s="31">
        <f t="shared" si="3"/>
        <v>42.15</v>
      </c>
      <c r="R82" s="32">
        <f t="shared" si="4"/>
        <v>1.75</v>
      </c>
      <c r="S82" s="32">
        <f t="shared" si="5"/>
        <v>8.9</v>
      </c>
    </row>
    <row r="83" spans="1:19" x14ac:dyDescent="0.25">
      <c r="A83" s="51">
        <v>46274.92083333333</v>
      </c>
      <c r="B83" s="29" t="s">
        <v>454</v>
      </c>
      <c r="C83" s="48">
        <v>291482491</v>
      </c>
      <c r="D83" s="28">
        <v>738531411</v>
      </c>
      <c r="E83" s="29" t="s">
        <v>233</v>
      </c>
      <c r="F83" s="28">
        <v>377</v>
      </c>
      <c r="G83" s="28">
        <v>360</v>
      </c>
      <c r="H83" s="28">
        <v>5</v>
      </c>
      <c r="I83" s="28">
        <v>18</v>
      </c>
      <c r="J83" s="28">
        <v>17</v>
      </c>
      <c r="K83" s="29">
        <v>0</v>
      </c>
      <c r="L83" s="28">
        <v>16</v>
      </c>
      <c r="M83" s="29" t="s">
        <v>69</v>
      </c>
      <c r="N83" s="29" t="s">
        <v>455</v>
      </c>
      <c r="O83" s="29">
        <v>0</v>
      </c>
      <c r="P83" s="29">
        <v>0</v>
      </c>
      <c r="Q83" s="31">
        <f t="shared" si="3"/>
        <v>359</v>
      </c>
      <c r="R83" s="32">
        <f t="shared" si="4"/>
        <v>18</v>
      </c>
      <c r="S83" s="32">
        <f t="shared" si="5"/>
        <v>17</v>
      </c>
    </row>
    <row r="84" spans="1:19" x14ac:dyDescent="0.25">
      <c r="A84" s="51">
        <v>46274.913194444445</v>
      </c>
      <c r="B84" s="29" t="s">
        <v>165</v>
      </c>
      <c r="C84" s="48">
        <v>291483377</v>
      </c>
      <c r="D84" s="28">
        <v>738534449</v>
      </c>
      <c r="E84" s="29" t="s">
        <v>458</v>
      </c>
      <c r="F84" s="28">
        <v>42</v>
      </c>
      <c r="G84" s="28">
        <v>42</v>
      </c>
      <c r="H84" s="28">
        <v>5</v>
      </c>
      <c r="I84" s="32">
        <v>2.1</v>
      </c>
      <c r="J84" s="28">
        <v>15</v>
      </c>
      <c r="K84" s="29">
        <v>7.95</v>
      </c>
      <c r="L84" s="28">
        <v>0</v>
      </c>
      <c r="M84" s="29" t="s">
        <v>69</v>
      </c>
      <c r="N84" s="29" t="s">
        <v>459</v>
      </c>
      <c r="O84" s="29">
        <v>15</v>
      </c>
      <c r="P84" s="29">
        <v>7.05</v>
      </c>
      <c r="Q84" s="31">
        <f t="shared" si="3"/>
        <v>47.85</v>
      </c>
      <c r="R84" s="32">
        <f t="shared" si="4"/>
        <v>2.1</v>
      </c>
      <c r="S84" s="32">
        <f t="shared" si="5"/>
        <v>7.95</v>
      </c>
    </row>
    <row r="85" spans="1:19" x14ac:dyDescent="0.25">
      <c r="A85" s="51">
        <v>46274.943055555559</v>
      </c>
      <c r="B85" s="29" t="s">
        <v>120</v>
      </c>
      <c r="C85" s="48">
        <v>291487290</v>
      </c>
      <c r="D85" s="28">
        <v>738545377</v>
      </c>
      <c r="E85" s="29" t="s">
        <v>462</v>
      </c>
      <c r="F85" s="28">
        <v>54</v>
      </c>
      <c r="G85" s="28">
        <v>38</v>
      </c>
      <c r="H85" s="28">
        <v>4</v>
      </c>
      <c r="I85" s="32">
        <v>1.52</v>
      </c>
      <c r="J85" s="28">
        <v>22</v>
      </c>
      <c r="K85" s="29">
        <v>6</v>
      </c>
      <c r="L85" s="28">
        <v>15</v>
      </c>
      <c r="M85" s="29" t="s">
        <v>69</v>
      </c>
      <c r="N85" s="29" t="s">
        <v>463</v>
      </c>
      <c r="O85" s="29">
        <v>6</v>
      </c>
      <c r="P85" s="29">
        <v>0</v>
      </c>
      <c r="Q85" s="31">
        <f t="shared" si="3"/>
        <v>58.48</v>
      </c>
      <c r="R85" s="32">
        <f t="shared" si="4"/>
        <v>1.52</v>
      </c>
      <c r="S85" s="32">
        <f t="shared" si="5"/>
        <v>22</v>
      </c>
    </row>
    <row r="86" spans="1:19" x14ac:dyDescent="0.25">
      <c r="A86" s="51">
        <v>46274.941666666666</v>
      </c>
      <c r="B86" s="29" t="s">
        <v>342</v>
      </c>
      <c r="C86" s="48">
        <v>291489198</v>
      </c>
      <c r="D86" s="28">
        <v>738526442</v>
      </c>
      <c r="E86" s="29" t="s">
        <v>466</v>
      </c>
      <c r="F86" s="28">
        <v>58</v>
      </c>
      <c r="G86" s="28">
        <v>58</v>
      </c>
      <c r="H86" s="28">
        <v>5</v>
      </c>
      <c r="I86" s="32">
        <v>2.9</v>
      </c>
      <c r="J86" s="28">
        <v>15</v>
      </c>
      <c r="K86" s="29">
        <v>6.9</v>
      </c>
      <c r="L86" s="28">
        <v>0</v>
      </c>
      <c r="M86" s="29" t="s">
        <v>69</v>
      </c>
      <c r="N86" s="29" t="s">
        <v>467</v>
      </c>
      <c r="O86" s="29">
        <v>15</v>
      </c>
      <c r="P86" s="29">
        <v>8.1</v>
      </c>
      <c r="Q86" s="31">
        <f t="shared" si="3"/>
        <v>62.000000000000007</v>
      </c>
      <c r="R86" s="32">
        <f t="shared" si="4"/>
        <v>2.9</v>
      </c>
      <c r="S86" s="32">
        <f t="shared" si="5"/>
        <v>6.9</v>
      </c>
    </row>
    <row r="87" spans="1:19" x14ac:dyDescent="0.25">
      <c r="A87" s="51">
        <v>46274.974305555559</v>
      </c>
      <c r="B87" s="29" t="s">
        <v>120</v>
      </c>
      <c r="C87" s="48">
        <v>291494436</v>
      </c>
      <c r="D87" s="28">
        <v>738568231</v>
      </c>
      <c r="E87" s="29" t="s">
        <v>470</v>
      </c>
      <c r="F87" s="32">
        <v>55.5</v>
      </c>
      <c r="G87" s="32">
        <v>44.5</v>
      </c>
      <c r="H87" s="28">
        <v>4</v>
      </c>
      <c r="I87" s="32">
        <v>1.78</v>
      </c>
      <c r="J87" s="28">
        <v>17</v>
      </c>
      <c r="K87" s="29">
        <v>6</v>
      </c>
      <c r="L87" s="28">
        <v>10</v>
      </c>
      <c r="M87" s="29" t="s">
        <v>69</v>
      </c>
      <c r="N87" s="29" t="s">
        <v>471</v>
      </c>
      <c r="O87" s="29">
        <v>6</v>
      </c>
      <c r="P87" s="29">
        <v>0</v>
      </c>
      <c r="Q87" s="31">
        <f t="shared" si="3"/>
        <v>59.72</v>
      </c>
      <c r="R87" s="32">
        <f t="shared" si="4"/>
        <v>1.78</v>
      </c>
      <c r="S87" s="32">
        <f t="shared" si="5"/>
        <v>17</v>
      </c>
    </row>
    <row r="88" spans="1:19" x14ac:dyDescent="0.25">
      <c r="A88" s="51">
        <v>46274.990277777775</v>
      </c>
      <c r="B88" s="29" t="s">
        <v>476</v>
      </c>
      <c r="C88" s="48">
        <v>291494937</v>
      </c>
      <c r="D88" s="28">
        <v>736320557</v>
      </c>
      <c r="E88" s="29" t="s">
        <v>477</v>
      </c>
      <c r="F88" s="28">
        <v>211</v>
      </c>
      <c r="G88" s="28">
        <v>168</v>
      </c>
      <c r="H88" s="28">
        <v>5</v>
      </c>
      <c r="I88" s="32">
        <v>8.4</v>
      </c>
      <c r="J88" s="28">
        <v>43</v>
      </c>
      <c r="K88" s="29">
        <v>0</v>
      </c>
      <c r="L88" s="28">
        <v>41</v>
      </c>
      <c r="M88" s="29" t="s">
        <v>69</v>
      </c>
      <c r="N88" s="29" t="s">
        <v>478</v>
      </c>
      <c r="O88" s="29">
        <v>0</v>
      </c>
      <c r="P88" s="29">
        <v>0</v>
      </c>
      <c r="Q88" s="31">
        <f t="shared" si="3"/>
        <v>202.6</v>
      </c>
      <c r="R88" s="32">
        <f t="shared" si="4"/>
        <v>8.4</v>
      </c>
      <c r="S88" s="32">
        <f t="shared" si="5"/>
        <v>43</v>
      </c>
    </row>
    <row r="89" spans="1:19" x14ac:dyDescent="0.25">
      <c r="A89" s="51">
        <v>46274.972916666666</v>
      </c>
      <c r="B89" s="29" t="s">
        <v>482</v>
      </c>
      <c r="C89" s="48">
        <v>291495304</v>
      </c>
      <c r="D89" s="28">
        <v>738572201</v>
      </c>
      <c r="E89" s="29" t="s">
        <v>233</v>
      </c>
      <c r="F89" s="28">
        <v>84</v>
      </c>
      <c r="G89" s="28">
        <v>69</v>
      </c>
      <c r="H89" s="32">
        <v>3.75</v>
      </c>
      <c r="I89" s="32">
        <v>2.5874999999999999</v>
      </c>
      <c r="J89" s="28">
        <v>15</v>
      </c>
      <c r="K89" s="29">
        <v>0</v>
      </c>
      <c r="L89" s="28">
        <v>14</v>
      </c>
      <c r="M89" s="29" t="s">
        <v>69</v>
      </c>
      <c r="N89" s="29" t="s">
        <v>483</v>
      </c>
      <c r="O89" s="29">
        <v>0</v>
      </c>
      <c r="P89" s="29">
        <v>0</v>
      </c>
      <c r="Q89" s="31">
        <f t="shared" si="3"/>
        <v>81.412499999999994</v>
      </c>
      <c r="R89" s="32">
        <f t="shared" si="4"/>
        <v>2.5874999999999999</v>
      </c>
      <c r="S89" s="32">
        <f t="shared" si="5"/>
        <v>15</v>
      </c>
    </row>
    <row r="90" spans="1:19" x14ac:dyDescent="0.25">
      <c r="A90" s="51">
        <v>46275.011805555558</v>
      </c>
      <c r="B90" s="29" t="s">
        <v>487</v>
      </c>
      <c r="C90" s="48">
        <v>291499530</v>
      </c>
      <c r="D90" s="28">
        <v>738589588</v>
      </c>
      <c r="E90" s="29" t="s">
        <v>378</v>
      </c>
      <c r="F90" s="28">
        <v>80</v>
      </c>
      <c r="G90" s="28">
        <v>65</v>
      </c>
      <c r="H90" s="28">
        <v>5</v>
      </c>
      <c r="I90" s="32">
        <v>3.25</v>
      </c>
      <c r="J90" s="28">
        <v>15</v>
      </c>
      <c r="K90" s="29">
        <v>0</v>
      </c>
      <c r="L90" s="28">
        <v>14</v>
      </c>
      <c r="M90" s="29" t="s">
        <v>69</v>
      </c>
      <c r="N90" s="29" t="s">
        <v>488</v>
      </c>
      <c r="O90" s="29">
        <v>0</v>
      </c>
      <c r="P90" s="29">
        <v>0</v>
      </c>
      <c r="Q90" s="31">
        <f t="shared" si="3"/>
        <v>76.75</v>
      </c>
      <c r="R90" s="32">
        <f t="shared" si="4"/>
        <v>3.25</v>
      </c>
      <c r="S90" s="32">
        <f t="shared" si="5"/>
        <v>15</v>
      </c>
    </row>
    <row r="91" spans="1:19" x14ac:dyDescent="0.25">
      <c r="A91" s="51">
        <v>46275.025694444441</v>
      </c>
      <c r="B91" s="29" t="s">
        <v>93</v>
      </c>
      <c r="C91" s="48">
        <v>291501247</v>
      </c>
      <c r="D91" s="28">
        <v>738597773</v>
      </c>
      <c r="E91" s="29" t="s">
        <v>355</v>
      </c>
      <c r="F91" s="28">
        <v>35</v>
      </c>
      <c r="G91" s="28">
        <v>35</v>
      </c>
      <c r="H91" s="28">
        <v>5</v>
      </c>
      <c r="I91" s="32">
        <v>1.75</v>
      </c>
      <c r="J91" s="28">
        <v>15</v>
      </c>
      <c r="K91" s="29">
        <v>10</v>
      </c>
      <c r="L91" s="28">
        <v>0</v>
      </c>
      <c r="M91" s="29" t="s">
        <v>69</v>
      </c>
      <c r="N91" s="29" t="s">
        <v>490</v>
      </c>
      <c r="O91" s="29">
        <v>15</v>
      </c>
      <c r="P91" s="29">
        <v>5</v>
      </c>
      <c r="Q91" s="31">
        <f t="shared" si="3"/>
        <v>43.25</v>
      </c>
      <c r="R91" s="32">
        <f t="shared" si="4"/>
        <v>1.75</v>
      </c>
      <c r="S91" s="32">
        <f t="shared" si="5"/>
        <v>10</v>
      </c>
    </row>
    <row r="92" spans="1:19" x14ac:dyDescent="0.25">
      <c r="A92" s="51">
        <v>46275.041666666664</v>
      </c>
      <c r="B92" s="29" t="s">
        <v>493</v>
      </c>
      <c r="C92" s="48">
        <v>291502571</v>
      </c>
      <c r="D92" s="28">
        <v>738604677</v>
      </c>
      <c r="E92" s="29" t="s">
        <v>180</v>
      </c>
      <c r="F92" s="28">
        <v>56</v>
      </c>
      <c r="G92" s="28">
        <v>41</v>
      </c>
      <c r="H92" s="32">
        <v>4.5</v>
      </c>
      <c r="I92" s="32">
        <v>1.845</v>
      </c>
      <c r="J92" s="28">
        <v>15</v>
      </c>
      <c r="K92" s="29">
        <v>0</v>
      </c>
      <c r="L92" s="28">
        <v>14</v>
      </c>
      <c r="M92" s="29" t="s">
        <v>69</v>
      </c>
      <c r="N92" s="29" t="s">
        <v>494</v>
      </c>
      <c r="O92" s="29">
        <v>0</v>
      </c>
      <c r="P92" s="29">
        <v>0</v>
      </c>
      <c r="Q92" s="31">
        <f t="shared" si="3"/>
        <v>54.155000000000001</v>
      </c>
      <c r="R92" s="32">
        <f t="shared" si="4"/>
        <v>1.845</v>
      </c>
      <c r="S92" s="32">
        <f t="shared" si="5"/>
        <v>15</v>
      </c>
    </row>
    <row r="93" spans="1:19" x14ac:dyDescent="0.25">
      <c r="A93" s="51">
        <v>46275.059027777781</v>
      </c>
      <c r="B93" s="29" t="s">
        <v>165</v>
      </c>
      <c r="C93" s="48">
        <v>291503557</v>
      </c>
      <c r="D93" s="28">
        <v>738609508</v>
      </c>
      <c r="E93" s="29" t="s">
        <v>110</v>
      </c>
      <c r="F93" s="28">
        <v>53</v>
      </c>
      <c r="G93" s="28">
        <v>46</v>
      </c>
      <c r="H93" s="28">
        <v>5</v>
      </c>
      <c r="I93" s="32">
        <v>2.2999999999999998</v>
      </c>
      <c r="J93" s="28">
        <v>22</v>
      </c>
      <c r="K93" s="29">
        <v>7.95</v>
      </c>
      <c r="L93" s="28">
        <v>6</v>
      </c>
      <c r="M93" s="29" t="s">
        <v>69</v>
      </c>
      <c r="N93" s="29" t="s">
        <v>497</v>
      </c>
      <c r="O93" s="29">
        <v>15</v>
      </c>
      <c r="P93" s="29">
        <v>7.05</v>
      </c>
      <c r="Q93" s="31">
        <f t="shared" si="3"/>
        <v>58.650000000000006</v>
      </c>
      <c r="R93" s="32">
        <f t="shared" si="4"/>
        <v>2.2999999999999998</v>
      </c>
      <c r="S93" s="32">
        <f t="shared" si="5"/>
        <v>14.95</v>
      </c>
    </row>
    <row r="94" spans="1:19" x14ac:dyDescent="0.25">
      <c r="A94" s="51">
        <v>46275.072222222225</v>
      </c>
      <c r="B94" s="29" t="s">
        <v>120</v>
      </c>
      <c r="C94" s="48">
        <v>291504411</v>
      </c>
      <c r="D94" s="28">
        <v>738614102</v>
      </c>
      <c r="E94" s="29" t="s">
        <v>500</v>
      </c>
      <c r="F94" s="28">
        <v>59</v>
      </c>
      <c r="G94" s="28">
        <v>50</v>
      </c>
      <c r="H94" s="28">
        <v>4</v>
      </c>
      <c r="I94" s="28">
        <v>2</v>
      </c>
      <c r="J94" s="28">
        <v>15</v>
      </c>
      <c r="K94" s="29">
        <v>6</v>
      </c>
      <c r="L94" s="28">
        <v>8</v>
      </c>
      <c r="M94" s="29" t="s">
        <v>69</v>
      </c>
      <c r="N94" s="29" t="s">
        <v>501</v>
      </c>
      <c r="O94" s="29">
        <v>6</v>
      </c>
      <c r="P94" s="29">
        <v>0</v>
      </c>
      <c r="Q94" s="31">
        <f t="shared" si="3"/>
        <v>63</v>
      </c>
      <c r="R94" s="32">
        <f t="shared" si="4"/>
        <v>2</v>
      </c>
      <c r="S94" s="32">
        <f t="shared" si="5"/>
        <v>15</v>
      </c>
    </row>
    <row r="95" spans="1:19" x14ac:dyDescent="0.25">
      <c r="A95" s="51">
        <v>46275.18472222222</v>
      </c>
      <c r="B95" s="29" t="s">
        <v>505</v>
      </c>
      <c r="C95" s="48">
        <v>291507741</v>
      </c>
      <c r="D95" s="28">
        <v>738637686</v>
      </c>
      <c r="E95" s="29" t="s">
        <v>106</v>
      </c>
      <c r="F95" s="28">
        <v>57</v>
      </c>
      <c r="G95" s="28">
        <v>35</v>
      </c>
      <c r="H95" s="28">
        <v>5</v>
      </c>
      <c r="I95" s="32">
        <v>1.75</v>
      </c>
      <c r="J95" s="28">
        <v>22</v>
      </c>
      <c r="K95" s="29">
        <v>0</v>
      </c>
      <c r="L95" s="28">
        <v>21</v>
      </c>
      <c r="M95" s="29" t="s">
        <v>69</v>
      </c>
      <c r="N95" s="29" t="s">
        <v>506</v>
      </c>
      <c r="O95" s="29">
        <v>0</v>
      </c>
      <c r="P95" s="29">
        <v>0</v>
      </c>
      <c r="Q95" s="31">
        <f t="shared" si="3"/>
        <v>55.25</v>
      </c>
      <c r="R95" s="32">
        <f t="shared" si="4"/>
        <v>1.75</v>
      </c>
      <c r="S95" s="32">
        <f t="shared" si="5"/>
        <v>22</v>
      </c>
    </row>
    <row r="96" spans="1:19" x14ac:dyDescent="0.25">
      <c r="A96" s="51">
        <v>46275.178472222222</v>
      </c>
      <c r="B96" s="29" t="s">
        <v>264</v>
      </c>
      <c r="C96" s="48">
        <v>291507772</v>
      </c>
      <c r="D96" s="28">
        <v>738638187</v>
      </c>
      <c r="E96" s="29" t="s">
        <v>106</v>
      </c>
      <c r="F96" s="28">
        <v>82</v>
      </c>
      <c r="G96" s="28">
        <v>54</v>
      </c>
      <c r="H96" s="28">
        <v>5</v>
      </c>
      <c r="I96" s="32">
        <v>2.7</v>
      </c>
      <c r="J96" s="28">
        <v>28</v>
      </c>
      <c r="K96" s="29">
        <v>0</v>
      </c>
      <c r="L96" s="28">
        <v>27</v>
      </c>
      <c r="M96" s="29" t="s">
        <v>69</v>
      </c>
      <c r="N96" s="29" t="s">
        <v>265</v>
      </c>
      <c r="O96" s="29">
        <v>0</v>
      </c>
      <c r="P96" s="29">
        <v>0</v>
      </c>
      <c r="Q96" s="31">
        <f t="shared" si="3"/>
        <v>79.3</v>
      </c>
      <c r="R96" s="32">
        <f t="shared" si="4"/>
        <v>2.7</v>
      </c>
      <c r="S96" s="32">
        <f t="shared" si="5"/>
        <v>28</v>
      </c>
    </row>
    <row r="97" spans="1:19" x14ac:dyDescent="0.25">
      <c r="A97" s="51">
        <v>46275.495138888888</v>
      </c>
      <c r="B97" s="29" t="s">
        <v>512</v>
      </c>
      <c r="C97" s="48">
        <v>291532177</v>
      </c>
      <c r="D97" s="28">
        <v>738727971</v>
      </c>
      <c r="E97" s="29" t="s">
        <v>110</v>
      </c>
      <c r="F97" s="28">
        <v>60</v>
      </c>
      <c r="G97" s="28">
        <v>47</v>
      </c>
      <c r="H97" s="28">
        <v>5</v>
      </c>
      <c r="I97" s="32">
        <v>2.35</v>
      </c>
      <c r="J97" s="28">
        <v>28</v>
      </c>
      <c r="K97" s="29">
        <v>4.95</v>
      </c>
      <c r="L97" s="28">
        <v>12</v>
      </c>
      <c r="M97" s="29" t="s">
        <v>69</v>
      </c>
      <c r="N97" s="29" t="s">
        <v>513</v>
      </c>
      <c r="O97" s="29">
        <v>15</v>
      </c>
      <c r="P97" s="29">
        <v>10.050000000000001</v>
      </c>
      <c r="Q97" s="31">
        <f t="shared" si="3"/>
        <v>62.6</v>
      </c>
      <c r="R97" s="32">
        <f t="shared" si="4"/>
        <v>2.35</v>
      </c>
      <c r="S97" s="32">
        <f t="shared" si="5"/>
        <v>17.95</v>
      </c>
    </row>
    <row r="98" spans="1:19" x14ac:dyDescent="0.25">
      <c r="A98" s="51">
        <v>46275.541666666664</v>
      </c>
      <c r="B98" s="29" t="s">
        <v>135</v>
      </c>
      <c r="C98" s="48">
        <v>291541303</v>
      </c>
      <c r="D98" s="28">
        <v>738753490</v>
      </c>
      <c r="E98" s="29" t="s">
        <v>110</v>
      </c>
      <c r="F98" s="28">
        <v>87</v>
      </c>
      <c r="G98" s="28">
        <v>85</v>
      </c>
      <c r="H98" s="28">
        <v>5</v>
      </c>
      <c r="I98" s="32">
        <v>4.25</v>
      </c>
      <c r="J98" s="28">
        <v>17</v>
      </c>
      <c r="K98" s="29">
        <v>4.95</v>
      </c>
      <c r="L98" s="28">
        <v>1</v>
      </c>
      <c r="M98" s="29" t="s">
        <v>69</v>
      </c>
      <c r="N98" s="29" t="s">
        <v>516</v>
      </c>
      <c r="O98" s="29">
        <v>15</v>
      </c>
      <c r="P98" s="29">
        <v>10.050000000000001</v>
      </c>
      <c r="Q98" s="31">
        <f t="shared" si="3"/>
        <v>87.7</v>
      </c>
      <c r="R98" s="32">
        <f t="shared" si="4"/>
        <v>4.25</v>
      </c>
      <c r="S98" s="32">
        <f t="shared" si="5"/>
        <v>6.9499999999999993</v>
      </c>
    </row>
    <row r="99" spans="1:19" x14ac:dyDescent="0.25">
      <c r="A99" s="51">
        <v>46275.558333333334</v>
      </c>
      <c r="B99" s="29" t="s">
        <v>241</v>
      </c>
      <c r="C99" s="48">
        <v>291546987</v>
      </c>
      <c r="D99" s="28">
        <v>738767046</v>
      </c>
      <c r="E99" s="29" t="s">
        <v>110</v>
      </c>
      <c r="F99" s="28">
        <v>41</v>
      </c>
      <c r="G99" s="28">
        <v>38</v>
      </c>
      <c r="H99" s="28">
        <v>5</v>
      </c>
      <c r="I99" s="32">
        <v>1.9</v>
      </c>
      <c r="J99" s="28">
        <v>15</v>
      </c>
      <c r="K99" s="29">
        <v>7</v>
      </c>
      <c r="L99" s="28">
        <v>2</v>
      </c>
      <c r="M99" s="29" t="s">
        <v>69</v>
      </c>
      <c r="N99" s="29" t="s">
        <v>282</v>
      </c>
      <c r="O99" s="29">
        <v>12</v>
      </c>
      <c r="P99" s="29">
        <v>5</v>
      </c>
      <c r="Q99" s="31">
        <f t="shared" si="3"/>
        <v>46.1</v>
      </c>
      <c r="R99" s="32">
        <f t="shared" si="4"/>
        <v>1.9</v>
      </c>
      <c r="S99" s="32">
        <f t="shared" si="5"/>
        <v>10</v>
      </c>
    </row>
    <row r="100" spans="1:19" x14ac:dyDescent="0.25">
      <c r="A100" s="51">
        <v>46275.568055555559</v>
      </c>
      <c r="B100" s="29" t="s">
        <v>522</v>
      </c>
      <c r="C100" s="48">
        <v>291549258</v>
      </c>
      <c r="D100" s="28">
        <v>738772834</v>
      </c>
      <c r="E100" s="29" t="s">
        <v>110</v>
      </c>
      <c r="F100" s="28">
        <v>86</v>
      </c>
      <c r="G100" s="28">
        <v>71</v>
      </c>
      <c r="H100" s="28">
        <v>5</v>
      </c>
      <c r="I100" s="32">
        <v>3.55</v>
      </c>
      <c r="J100" s="28">
        <v>15</v>
      </c>
      <c r="K100" s="29">
        <v>0</v>
      </c>
      <c r="L100" s="28">
        <v>14</v>
      </c>
      <c r="M100" s="29" t="s">
        <v>69</v>
      </c>
      <c r="N100" s="29" t="s">
        <v>523</v>
      </c>
      <c r="O100" s="29">
        <v>0</v>
      </c>
      <c r="P100" s="29">
        <v>0</v>
      </c>
      <c r="Q100" s="31">
        <f t="shared" si="3"/>
        <v>82.45</v>
      </c>
      <c r="R100" s="32">
        <f t="shared" si="4"/>
        <v>3.55</v>
      </c>
      <c r="S100" s="32">
        <f t="shared" si="5"/>
        <v>15</v>
      </c>
    </row>
    <row r="101" spans="1:19" x14ac:dyDescent="0.25">
      <c r="A101" s="51">
        <v>46275.582638888889</v>
      </c>
      <c r="B101" s="29" t="s">
        <v>120</v>
      </c>
      <c r="C101" s="48">
        <v>291554517</v>
      </c>
      <c r="D101" s="28">
        <v>738785158</v>
      </c>
      <c r="E101" s="29" t="s">
        <v>526</v>
      </c>
      <c r="F101" s="28">
        <v>76</v>
      </c>
      <c r="G101" s="28">
        <v>67</v>
      </c>
      <c r="H101" s="28">
        <v>4</v>
      </c>
      <c r="I101" s="32">
        <v>2.68</v>
      </c>
      <c r="J101" s="28">
        <v>15</v>
      </c>
      <c r="K101" s="29">
        <v>6</v>
      </c>
      <c r="L101" s="28">
        <v>8</v>
      </c>
      <c r="M101" s="29" t="s">
        <v>69</v>
      </c>
      <c r="N101" s="29" t="s">
        <v>527</v>
      </c>
      <c r="O101" s="29">
        <v>6</v>
      </c>
      <c r="P101" s="29">
        <v>0</v>
      </c>
      <c r="Q101" s="31">
        <f t="shared" si="3"/>
        <v>79.319999999999993</v>
      </c>
      <c r="R101" s="32">
        <f t="shared" si="4"/>
        <v>2.68</v>
      </c>
      <c r="S101" s="32">
        <f t="shared" si="5"/>
        <v>15</v>
      </c>
    </row>
    <row r="102" spans="1:19" x14ac:dyDescent="0.25">
      <c r="A102" s="51">
        <v>46275.584722222222</v>
      </c>
      <c r="B102" s="29" t="s">
        <v>120</v>
      </c>
      <c r="C102" s="48">
        <v>291556006</v>
      </c>
      <c r="D102" s="28">
        <v>738786853</v>
      </c>
      <c r="E102" s="29" t="s">
        <v>210</v>
      </c>
      <c r="F102" s="32">
        <v>50.5</v>
      </c>
      <c r="G102" s="32">
        <v>41.5</v>
      </c>
      <c r="H102" s="28">
        <v>4</v>
      </c>
      <c r="I102" s="32">
        <v>1.66</v>
      </c>
      <c r="J102" s="28">
        <v>15</v>
      </c>
      <c r="K102" s="29">
        <v>6</v>
      </c>
      <c r="L102" s="28">
        <v>8</v>
      </c>
      <c r="M102" s="29" t="s">
        <v>69</v>
      </c>
      <c r="N102" s="29" t="s">
        <v>530</v>
      </c>
      <c r="O102" s="29">
        <v>6</v>
      </c>
      <c r="P102" s="29">
        <v>0</v>
      </c>
      <c r="Q102" s="31">
        <f t="shared" si="3"/>
        <v>54.84</v>
      </c>
      <c r="R102" s="32">
        <f t="shared" si="4"/>
        <v>1.66</v>
      </c>
      <c r="S102" s="32">
        <f t="shared" si="5"/>
        <v>15</v>
      </c>
    </row>
    <row r="103" spans="1:19" x14ac:dyDescent="0.25">
      <c r="A103" s="51">
        <v>46275.602083333331</v>
      </c>
      <c r="B103" s="29" t="s">
        <v>120</v>
      </c>
      <c r="C103" s="48">
        <v>291561213</v>
      </c>
      <c r="D103" s="28">
        <v>738803425</v>
      </c>
      <c r="E103" s="29" t="s">
        <v>532</v>
      </c>
      <c r="F103" s="32">
        <v>51.5</v>
      </c>
      <c r="G103" s="32">
        <v>40.5</v>
      </c>
      <c r="H103" s="28">
        <v>4</v>
      </c>
      <c r="I103" s="32">
        <v>1.62</v>
      </c>
      <c r="J103" s="28">
        <v>17</v>
      </c>
      <c r="K103" s="29">
        <v>6</v>
      </c>
      <c r="L103" s="28">
        <v>10</v>
      </c>
      <c r="M103" s="29" t="s">
        <v>69</v>
      </c>
      <c r="N103" s="29" t="s">
        <v>533</v>
      </c>
      <c r="O103" s="29">
        <v>6</v>
      </c>
      <c r="P103" s="29">
        <v>0</v>
      </c>
      <c r="Q103" s="31">
        <f t="shared" si="3"/>
        <v>55.88</v>
      </c>
      <c r="R103" s="32">
        <f t="shared" si="4"/>
        <v>1.62</v>
      </c>
      <c r="S103" s="32">
        <f t="shared" si="5"/>
        <v>17</v>
      </c>
    </row>
    <row r="104" spans="1:19" x14ac:dyDescent="0.25">
      <c r="A104" s="51">
        <v>46275.62222222222</v>
      </c>
      <c r="B104" s="29" t="s">
        <v>120</v>
      </c>
      <c r="C104" s="48">
        <v>291567682</v>
      </c>
      <c r="D104" s="28">
        <v>738818040</v>
      </c>
      <c r="E104" s="29" t="s">
        <v>303</v>
      </c>
      <c r="F104" s="32">
        <v>77.5</v>
      </c>
      <c r="G104" s="32">
        <v>68.5</v>
      </c>
      <c r="H104" s="28">
        <v>4</v>
      </c>
      <c r="I104" s="32">
        <v>2.74</v>
      </c>
      <c r="J104" s="28">
        <v>15</v>
      </c>
      <c r="K104" s="29">
        <v>6</v>
      </c>
      <c r="L104" s="28">
        <v>8</v>
      </c>
      <c r="M104" s="29" t="s">
        <v>69</v>
      </c>
      <c r="N104" s="29" t="s">
        <v>536</v>
      </c>
      <c r="O104" s="29">
        <v>6</v>
      </c>
      <c r="P104" s="29">
        <v>0</v>
      </c>
      <c r="Q104" s="31">
        <f t="shared" si="3"/>
        <v>80.760000000000005</v>
      </c>
      <c r="R104" s="32">
        <f t="shared" si="4"/>
        <v>2.74</v>
      </c>
      <c r="S104" s="32">
        <f t="shared" si="5"/>
        <v>15</v>
      </c>
    </row>
    <row r="105" spans="1:19" x14ac:dyDescent="0.25">
      <c r="A105" s="51">
        <v>46275.646527777775</v>
      </c>
      <c r="B105" s="29" t="s">
        <v>428</v>
      </c>
      <c r="C105" s="48">
        <v>291575871</v>
      </c>
      <c r="D105" s="28">
        <v>738841406</v>
      </c>
      <c r="E105" s="29" t="s">
        <v>110</v>
      </c>
      <c r="F105" s="28">
        <v>73</v>
      </c>
      <c r="G105" s="28">
        <v>58</v>
      </c>
      <c r="H105" s="28">
        <v>5</v>
      </c>
      <c r="I105" s="32">
        <v>2.9</v>
      </c>
      <c r="J105" s="28">
        <v>15</v>
      </c>
      <c r="K105" s="29">
        <v>0</v>
      </c>
      <c r="L105" s="28">
        <v>14</v>
      </c>
      <c r="M105" s="29" t="s">
        <v>69</v>
      </c>
      <c r="N105" s="29" t="s">
        <v>540</v>
      </c>
      <c r="O105" s="29">
        <v>0</v>
      </c>
      <c r="P105" s="29">
        <v>0</v>
      </c>
      <c r="Q105" s="31">
        <f t="shared" si="3"/>
        <v>70.099999999999994</v>
      </c>
      <c r="R105" s="32">
        <f t="shared" si="4"/>
        <v>2.9</v>
      </c>
      <c r="S105" s="32">
        <f t="shared" si="5"/>
        <v>15</v>
      </c>
    </row>
    <row r="106" spans="1:19" x14ac:dyDescent="0.25">
      <c r="A106" s="51">
        <v>46275.65625</v>
      </c>
      <c r="B106" s="29" t="s">
        <v>542</v>
      </c>
      <c r="C106" s="48">
        <v>291579122</v>
      </c>
      <c r="D106" s="28">
        <v>738844059</v>
      </c>
      <c r="E106" s="29" t="s">
        <v>544</v>
      </c>
      <c r="F106" s="28">
        <v>37</v>
      </c>
      <c r="G106" s="28">
        <v>37</v>
      </c>
      <c r="H106" s="28">
        <v>5</v>
      </c>
      <c r="I106" s="32">
        <v>1.85</v>
      </c>
      <c r="J106" s="28">
        <v>15</v>
      </c>
      <c r="K106" s="29">
        <v>4.95</v>
      </c>
      <c r="L106" s="28">
        <v>0</v>
      </c>
      <c r="M106" s="29" t="s">
        <v>69</v>
      </c>
      <c r="N106" s="29" t="s">
        <v>545</v>
      </c>
      <c r="O106" s="29">
        <v>15</v>
      </c>
      <c r="P106" s="29">
        <v>10.050000000000001</v>
      </c>
      <c r="Q106" s="31">
        <f t="shared" si="3"/>
        <v>40.1</v>
      </c>
      <c r="R106" s="32">
        <f t="shared" si="4"/>
        <v>1.85</v>
      </c>
      <c r="S106" s="32">
        <f t="shared" si="5"/>
        <v>4.9499999999999993</v>
      </c>
    </row>
    <row r="107" spans="1:19" x14ac:dyDescent="0.25">
      <c r="A107" s="51">
        <v>46275.770138888889</v>
      </c>
      <c r="B107" s="29" t="s">
        <v>209</v>
      </c>
      <c r="C107" s="48">
        <v>291633240</v>
      </c>
      <c r="D107" s="28">
        <v>738963885</v>
      </c>
      <c r="E107" s="29" t="s">
        <v>462</v>
      </c>
      <c r="F107" s="28">
        <v>42</v>
      </c>
      <c r="G107" s="28">
        <v>42</v>
      </c>
      <c r="H107" s="32">
        <v>4.5</v>
      </c>
      <c r="I107" s="32">
        <v>1.89</v>
      </c>
      <c r="J107" s="28">
        <v>15</v>
      </c>
      <c r="K107" s="29">
        <v>6.9</v>
      </c>
      <c r="L107" s="28">
        <v>0</v>
      </c>
      <c r="M107" s="29" t="s">
        <v>69</v>
      </c>
      <c r="N107" s="29" t="s">
        <v>548</v>
      </c>
      <c r="O107" s="29">
        <v>15</v>
      </c>
      <c r="P107" s="29">
        <v>8.1</v>
      </c>
      <c r="Q107" s="31">
        <f t="shared" si="3"/>
        <v>47.01</v>
      </c>
      <c r="R107" s="32">
        <f t="shared" si="4"/>
        <v>1.89</v>
      </c>
      <c r="S107" s="32">
        <f t="shared" si="5"/>
        <v>6.9</v>
      </c>
    </row>
    <row r="108" spans="1:19" x14ac:dyDescent="0.25">
      <c r="A108" s="51">
        <v>46275.813888888886</v>
      </c>
      <c r="B108" s="29" t="s">
        <v>342</v>
      </c>
      <c r="C108" s="48">
        <v>291658559</v>
      </c>
      <c r="D108" s="28">
        <v>739043329</v>
      </c>
      <c r="E108" s="29" t="s">
        <v>110</v>
      </c>
      <c r="F108" s="32">
        <v>46.779998779296875</v>
      </c>
      <c r="G108" s="32">
        <v>39.78</v>
      </c>
      <c r="H108" s="28">
        <v>5</v>
      </c>
      <c r="I108" s="32">
        <v>1.9890000000000001</v>
      </c>
      <c r="J108" s="28">
        <v>22</v>
      </c>
      <c r="K108" s="29">
        <v>6.9</v>
      </c>
      <c r="L108" s="28">
        <v>6</v>
      </c>
      <c r="M108" s="29" t="s">
        <v>69</v>
      </c>
      <c r="N108" s="29" t="s">
        <v>369</v>
      </c>
      <c r="O108" s="29">
        <v>15</v>
      </c>
      <c r="P108" s="29">
        <v>8.1</v>
      </c>
      <c r="Q108" s="31">
        <f t="shared" si="3"/>
        <v>51.690998779296876</v>
      </c>
      <c r="R108" s="32">
        <f t="shared" si="4"/>
        <v>1.9890000000000001</v>
      </c>
      <c r="S108" s="32">
        <f t="shared" si="5"/>
        <v>13.9</v>
      </c>
    </row>
    <row r="109" spans="1:19" x14ac:dyDescent="0.25">
      <c r="A109" s="51">
        <v>46275.831944444442</v>
      </c>
      <c r="B109" s="29" t="s">
        <v>555</v>
      </c>
      <c r="C109" s="48">
        <v>291663084</v>
      </c>
      <c r="D109" s="28">
        <v>739054355</v>
      </c>
      <c r="E109" s="29" t="s">
        <v>556</v>
      </c>
      <c r="F109" s="28">
        <v>96</v>
      </c>
      <c r="G109" s="28">
        <v>89</v>
      </c>
      <c r="H109" s="28">
        <v>5</v>
      </c>
      <c r="I109" s="32">
        <v>4.45</v>
      </c>
      <c r="J109" s="28">
        <v>22</v>
      </c>
      <c r="K109" s="29">
        <v>5</v>
      </c>
      <c r="L109" s="28">
        <v>6</v>
      </c>
      <c r="M109" s="29" t="s">
        <v>69</v>
      </c>
      <c r="N109" s="29" t="s">
        <v>557</v>
      </c>
      <c r="O109" s="29">
        <v>15</v>
      </c>
      <c r="P109" s="29">
        <v>10</v>
      </c>
      <c r="Q109" s="31">
        <f t="shared" si="3"/>
        <v>96.55</v>
      </c>
      <c r="R109" s="32">
        <f t="shared" si="4"/>
        <v>4.45</v>
      </c>
      <c r="S109" s="32">
        <f t="shared" si="5"/>
        <v>12</v>
      </c>
    </row>
    <row r="110" spans="1:19" x14ac:dyDescent="0.25">
      <c r="A110" s="51">
        <v>46275.839583333334</v>
      </c>
      <c r="B110" s="29" t="s">
        <v>120</v>
      </c>
      <c r="C110" s="48">
        <v>291668327</v>
      </c>
      <c r="D110" s="28">
        <v>739063817</v>
      </c>
      <c r="E110" s="29" t="s">
        <v>559</v>
      </c>
      <c r="F110" s="32">
        <v>65.5</v>
      </c>
      <c r="G110" s="32">
        <v>49.5</v>
      </c>
      <c r="H110" s="28">
        <v>4</v>
      </c>
      <c r="I110" s="32">
        <v>1.98</v>
      </c>
      <c r="J110" s="28">
        <v>22</v>
      </c>
      <c r="K110" s="29">
        <v>6</v>
      </c>
      <c r="L110" s="28">
        <v>15</v>
      </c>
      <c r="M110" s="29" t="s">
        <v>69</v>
      </c>
      <c r="N110" s="29" t="s">
        <v>560</v>
      </c>
      <c r="O110" s="29">
        <v>6</v>
      </c>
      <c r="P110" s="29">
        <v>0</v>
      </c>
      <c r="Q110" s="31">
        <f t="shared" si="3"/>
        <v>69.52</v>
      </c>
      <c r="R110" s="32">
        <f t="shared" si="4"/>
        <v>1.98</v>
      </c>
      <c r="S110" s="32">
        <f t="shared" si="5"/>
        <v>22</v>
      </c>
    </row>
    <row r="111" spans="1:19" x14ac:dyDescent="0.25">
      <c r="A111" s="51">
        <v>46275.834027777775</v>
      </c>
      <c r="B111" s="29" t="s">
        <v>564</v>
      </c>
      <c r="C111" s="48">
        <v>291669161</v>
      </c>
      <c r="D111" s="28">
        <v>739067744</v>
      </c>
      <c r="E111" s="29" t="s">
        <v>294</v>
      </c>
      <c r="F111" s="28">
        <v>77</v>
      </c>
      <c r="G111" s="28">
        <v>62</v>
      </c>
      <c r="H111" s="28">
        <v>5</v>
      </c>
      <c r="I111" s="32">
        <v>3.1</v>
      </c>
      <c r="J111" s="28">
        <v>15</v>
      </c>
      <c r="K111" s="29">
        <v>0</v>
      </c>
      <c r="L111" s="28">
        <v>14</v>
      </c>
      <c r="M111" s="29" t="s">
        <v>69</v>
      </c>
      <c r="N111" s="29" t="s">
        <v>565</v>
      </c>
      <c r="O111" s="29">
        <v>0</v>
      </c>
      <c r="P111" s="29">
        <v>0</v>
      </c>
      <c r="Q111" s="31">
        <f t="shared" si="3"/>
        <v>73.900000000000006</v>
      </c>
      <c r="R111" s="32">
        <f t="shared" si="4"/>
        <v>3.1</v>
      </c>
      <c r="S111" s="32">
        <f t="shared" si="5"/>
        <v>15</v>
      </c>
    </row>
    <row r="112" spans="1:19" x14ac:dyDescent="0.25">
      <c r="A112" s="51">
        <v>46275.82916666667</v>
      </c>
      <c r="B112" s="29" t="s">
        <v>159</v>
      </c>
      <c r="C112" s="48">
        <v>291669501</v>
      </c>
      <c r="D112" s="28">
        <v>739068189</v>
      </c>
      <c r="E112" s="29" t="s">
        <v>180</v>
      </c>
      <c r="F112" s="28">
        <v>47</v>
      </c>
      <c r="G112" s="28">
        <v>32</v>
      </c>
      <c r="H112" s="28">
        <v>5</v>
      </c>
      <c r="I112" s="32">
        <v>1.6</v>
      </c>
      <c r="J112" s="28">
        <v>15</v>
      </c>
      <c r="K112" s="29">
        <v>0</v>
      </c>
      <c r="L112" s="28">
        <v>14</v>
      </c>
      <c r="M112" s="29" t="s">
        <v>69</v>
      </c>
      <c r="N112" s="29" t="s">
        <v>181</v>
      </c>
      <c r="O112" s="29">
        <v>0</v>
      </c>
      <c r="P112" s="29">
        <v>0</v>
      </c>
      <c r="Q112" s="31">
        <f t="shared" si="3"/>
        <v>45.4</v>
      </c>
      <c r="R112" s="32">
        <f t="shared" si="4"/>
        <v>1.6</v>
      </c>
      <c r="S112" s="32">
        <f t="shared" si="5"/>
        <v>15</v>
      </c>
    </row>
    <row r="113" spans="1:19" x14ac:dyDescent="0.25">
      <c r="A113" s="51">
        <v>46275.84652777778</v>
      </c>
      <c r="B113" s="29" t="s">
        <v>570</v>
      </c>
      <c r="C113" s="48">
        <v>291676479</v>
      </c>
      <c r="D113" s="28">
        <v>739077611</v>
      </c>
      <c r="E113" s="29" t="s">
        <v>110</v>
      </c>
      <c r="F113" s="28">
        <v>73</v>
      </c>
      <c r="G113" s="28">
        <v>60</v>
      </c>
      <c r="H113" s="28">
        <v>5</v>
      </c>
      <c r="I113" s="28">
        <v>3</v>
      </c>
      <c r="J113" s="28">
        <v>28</v>
      </c>
      <c r="K113" s="29">
        <v>5</v>
      </c>
      <c r="L113" s="28">
        <v>12</v>
      </c>
      <c r="M113" s="29" t="s">
        <v>69</v>
      </c>
      <c r="N113" s="29" t="s">
        <v>571</v>
      </c>
      <c r="O113" s="29">
        <v>15</v>
      </c>
      <c r="P113" s="29">
        <v>10</v>
      </c>
      <c r="Q113" s="31">
        <f t="shared" si="3"/>
        <v>75</v>
      </c>
      <c r="R113" s="32">
        <f t="shared" si="4"/>
        <v>3</v>
      </c>
      <c r="S113" s="32">
        <f t="shared" si="5"/>
        <v>18</v>
      </c>
    </row>
    <row r="114" spans="1:19" x14ac:dyDescent="0.25">
      <c r="A114" s="51">
        <v>46275.861111111109</v>
      </c>
      <c r="B114" s="29" t="s">
        <v>573</v>
      </c>
      <c r="C114" s="48">
        <v>291682572</v>
      </c>
      <c r="D114" s="28">
        <v>739090705</v>
      </c>
      <c r="E114" s="29" t="s">
        <v>110</v>
      </c>
      <c r="F114" s="28">
        <v>84</v>
      </c>
      <c r="G114" s="28">
        <v>62</v>
      </c>
      <c r="H114" s="28">
        <v>5</v>
      </c>
      <c r="I114" s="32">
        <v>3.1</v>
      </c>
      <c r="J114" s="28">
        <v>22</v>
      </c>
      <c r="K114" s="29">
        <v>0</v>
      </c>
      <c r="L114" s="28">
        <v>21</v>
      </c>
      <c r="M114" s="29" t="s">
        <v>69</v>
      </c>
      <c r="N114" s="29" t="s">
        <v>575</v>
      </c>
      <c r="O114" s="29">
        <v>0</v>
      </c>
      <c r="P114" s="29">
        <v>0</v>
      </c>
      <c r="Q114" s="31">
        <f t="shared" si="3"/>
        <v>80.900000000000006</v>
      </c>
      <c r="R114" s="32">
        <f t="shared" si="4"/>
        <v>3.1</v>
      </c>
      <c r="S114" s="32">
        <f t="shared" si="5"/>
        <v>22</v>
      </c>
    </row>
    <row r="115" spans="1:19" x14ac:dyDescent="0.25">
      <c r="A115" s="51">
        <v>46275.864583333336</v>
      </c>
      <c r="B115" s="29" t="s">
        <v>209</v>
      </c>
      <c r="C115" s="48">
        <v>291686087</v>
      </c>
      <c r="D115" s="28">
        <v>739105331</v>
      </c>
      <c r="E115" s="29" t="s">
        <v>233</v>
      </c>
      <c r="F115" s="28">
        <v>45</v>
      </c>
      <c r="G115" s="28">
        <v>45</v>
      </c>
      <c r="H115" s="32">
        <v>4.5</v>
      </c>
      <c r="I115" s="32">
        <v>2.0249999999999999</v>
      </c>
      <c r="J115" s="28">
        <v>15</v>
      </c>
      <c r="K115" s="29">
        <v>6.9</v>
      </c>
      <c r="L115" s="28">
        <v>0</v>
      </c>
      <c r="M115" s="29" t="s">
        <v>69</v>
      </c>
      <c r="N115" s="29" t="s">
        <v>578</v>
      </c>
      <c r="O115" s="29">
        <v>15</v>
      </c>
      <c r="P115" s="29">
        <v>8.1</v>
      </c>
      <c r="Q115" s="31">
        <f t="shared" si="3"/>
        <v>49.875</v>
      </c>
      <c r="R115" s="32">
        <f t="shared" si="4"/>
        <v>2.0249999999999999</v>
      </c>
      <c r="S115" s="32">
        <f t="shared" si="5"/>
        <v>6.9</v>
      </c>
    </row>
    <row r="116" spans="1:19" x14ac:dyDescent="0.25">
      <c r="A116" s="51">
        <v>46275.879166666666</v>
      </c>
      <c r="B116" s="29" t="s">
        <v>209</v>
      </c>
      <c r="C116" s="48">
        <v>291691862</v>
      </c>
      <c r="D116" s="28">
        <v>739118069</v>
      </c>
      <c r="E116" s="29" t="s">
        <v>582</v>
      </c>
      <c r="F116" s="28">
        <v>43</v>
      </c>
      <c r="G116" s="28">
        <v>43</v>
      </c>
      <c r="H116" s="32">
        <v>4.5</v>
      </c>
      <c r="I116" s="32">
        <v>1.9350000000000001</v>
      </c>
      <c r="J116" s="28">
        <v>15</v>
      </c>
      <c r="K116" s="29">
        <v>6.9</v>
      </c>
      <c r="L116" s="28">
        <v>0</v>
      </c>
      <c r="M116" s="29" t="s">
        <v>69</v>
      </c>
      <c r="N116" s="29" t="s">
        <v>583</v>
      </c>
      <c r="O116" s="29">
        <v>15</v>
      </c>
      <c r="P116" s="29">
        <v>8.1</v>
      </c>
      <c r="Q116" s="31">
        <f t="shared" si="3"/>
        <v>47.964999999999996</v>
      </c>
      <c r="R116" s="32">
        <f t="shared" si="4"/>
        <v>1.9350000000000001</v>
      </c>
      <c r="S116" s="32">
        <f t="shared" si="5"/>
        <v>6.9</v>
      </c>
    </row>
    <row r="117" spans="1:19" x14ac:dyDescent="0.25">
      <c r="A117" s="51">
        <v>46275.886805555558</v>
      </c>
      <c r="B117" s="29" t="s">
        <v>585</v>
      </c>
      <c r="C117" s="48">
        <v>291694631</v>
      </c>
      <c r="D117" s="28">
        <v>739121509</v>
      </c>
      <c r="E117" s="29" t="s">
        <v>587</v>
      </c>
      <c r="F117" s="28">
        <v>50</v>
      </c>
      <c r="G117" s="28">
        <v>50</v>
      </c>
      <c r="H117" s="28">
        <v>5</v>
      </c>
      <c r="I117" s="32">
        <v>2.5</v>
      </c>
      <c r="J117" s="28">
        <v>15</v>
      </c>
      <c r="K117" s="29">
        <v>5</v>
      </c>
      <c r="L117" s="28">
        <v>0</v>
      </c>
      <c r="M117" s="29" t="s">
        <v>69</v>
      </c>
      <c r="N117" s="29" t="s">
        <v>588</v>
      </c>
      <c r="O117" s="29">
        <v>15</v>
      </c>
      <c r="P117" s="29">
        <v>10</v>
      </c>
      <c r="Q117" s="31">
        <f t="shared" si="3"/>
        <v>52.5</v>
      </c>
      <c r="R117" s="32">
        <f t="shared" si="4"/>
        <v>2.5</v>
      </c>
      <c r="S117" s="32">
        <f t="shared" si="5"/>
        <v>5</v>
      </c>
    </row>
    <row r="118" spans="1:19" x14ac:dyDescent="0.25">
      <c r="A118" s="51">
        <v>46275.898611111108</v>
      </c>
      <c r="B118" s="29" t="s">
        <v>592</v>
      </c>
      <c r="C118" s="48">
        <v>291699876</v>
      </c>
      <c r="D118" s="28">
        <v>739137387</v>
      </c>
      <c r="E118" s="29" t="s">
        <v>110</v>
      </c>
      <c r="F118" s="32">
        <v>40.5</v>
      </c>
      <c r="G118" s="32">
        <v>40.5</v>
      </c>
      <c r="H118" s="28">
        <v>5</v>
      </c>
      <c r="I118" s="32">
        <v>2.0249999999999999</v>
      </c>
      <c r="J118" s="28">
        <v>15</v>
      </c>
      <c r="K118" s="29">
        <v>15</v>
      </c>
      <c r="L118" s="28">
        <v>0</v>
      </c>
      <c r="M118" s="29" t="s">
        <v>69</v>
      </c>
      <c r="N118" s="29" t="s">
        <v>593</v>
      </c>
      <c r="O118" s="29">
        <v>15</v>
      </c>
      <c r="P118" s="29">
        <v>0</v>
      </c>
      <c r="Q118" s="31">
        <f t="shared" si="3"/>
        <v>53.475000000000001</v>
      </c>
      <c r="R118" s="32">
        <f t="shared" si="4"/>
        <v>2.0249999999999999</v>
      </c>
      <c r="S118" s="32">
        <f t="shared" si="5"/>
        <v>15</v>
      </c>
    </row>
    <row r="119" spans="1:19" x14ac:dyDescent="0.25">
      <c r="A119" s="51">
        <v>46275.908333333333</v>
      </c>
      <c r="B119" s="29" t="s">
        <v>597</v>
      </c>
      <c r="C119" s="48">
        <v>291703383</v>
      </c>
      <c r="D119" s="28">
        <v>739143960</v>
      </c>
      <c r="E119" s="29" t="s">
        <v>598</v>
      </c>
      <c r="F119" s="28">
        <v>64</v>
      </c>
      <c r="G119" s="28">
        <v>64</v>
      </c>
      <c r="H119" s="28">
        <v>5</v>
      </c>
      <c r="I119" s="32">
        <v>3.2</v>
      </c>
      <c r="J119" s="28">
        <v>15</v>
      </c>
      <c r="K119" s="29">
        <v>4.95</v>
      </c>
      <c r="L119" s="28">
        <v>0</v>
      </c>
      <c r="M119" s="29" t="s">
        <v>69</v>
      </c>
      <c r="N119" s="29" t="s">
        <v>599</v>
      </c>
      <c r="O119" s="29">
        <v>15</v>
      </c>
      <c r="P119" s="29">
        <v>10.050000000000001</v>
      </c>
      <c r="Q119" s="31">
        <f t="shared" si="3"/>
        <v>65.75</v>
      </c>
      <c r="R119" s="32">
        <f t="shared" si="4"/>
        <v>3.2</v>
      </c>
      <c r="S119" s="32">
        <f t="shared" si="5"/>
        <v>4.9499999999999993</v>
      </c>
    </row>
    <row r="120" spans="1:19" x14ac:dyDescent="0.25">
      <c r="A120" s="51">
        <v>46275.911111111112</v>
      </c>
      <c r="B120" s="29" t="s">
        <v>342</v>
      </c>
      <c r="C120" s="48">
        <v>291705308</v>
      </c>
      <c r="D120" s="28">
        <v>739150341</v>
      </c>
      <c r="E120" s="29" t="s">
        <v>602</v>
      </c>
      <c r="F120" s="28">
        <v>35</v>
      </c>
      <c r="G120" s="28">
        <v>35</v>
      </c>
      <c r="H120" s="28">
        <v>5</v>
      </c>
      <c r="I120" s="32">
        <v>1.75</v>
      </c>
      <c r="J120" s="28">
        <v>15</v>
      </c>
      <c r="K120" s="29">
        <v>6.9</v>
      </c>
      <c r="L120" s="28">
        <v>0</v>
      </c>
      <c r="M120" s="29" t="s">
        <v>69</v>
      </c>
      <c r="N120" s="29" t="s">
        <v>343</v>
      </c>
      <c r="O120" s="29">
        <v>15</v>
      </c>
      <c r="P120" s="29">
        <v>8.1</v>
      </c>
      <c r="Q120" s="31">
        <f t="shared" si="3"/>
        <v>40.15</v>
      </c>
      <c r="R120" s="32">
        <f t="shared" si="4"/>
        <v>1.75</v>
      </c>
      <c r="S120" s="32">
        <f t="shared" si="5"/>
        <v>6.9</v>
      </c>
    </row>
    <row r="121" spans="1:19" x14ac:dyDescent="0.25">
      <c r="A121" s="51">
        <v>46275.927777777775</v>
      </c>
      <c r="B121" s="29" t="s">
        <v>159</v>
      </c>
      <c r="C121" s="48">
        <v>291710535</v>
      </c>
      <c r="D121" s="28">
        <v>738102029</v>
      </c>
      <c r="E121" s="29" t="s">
        <v>110</v>
      </c>
      <c r="F121" s="28">
        <v>56</v>
      </c>
      <c r="G121" s="28">
        <v>48</v>
      </c>
      <c r="H121" s="28">
        <v>5</v>
      </c>
      <c r="I121" s="32">
        <v>2.4</v>
      </c>
      <c r="J121" s="28">
        <v>15</v>
      </c>
      <c r="K121" s="29">
        <v>3.5</v>
      </c>
      <c r="L121" s="28">
        <v>7</v>
      </c>
      <c r="M121" s="29" t="s">
        <v>69</v>
      </c>
      <c r="N121" s="29" t="s">
        <v>606</v>
      </c>
      <c r="O121" s="29">
        <v>7</v>
      </c>
      <c r="P121" s="29">
        <v>3.5</v>
      </c>
      <c r="Q121" s="31">
        <f t="shared" si="3"/>
        <v>57.1</v>
      </c>
      <c r="R121" s="32">
        <f t="shared" si="4"/>
        <v>2.4</v>
      </c>
      <c r="S121" s="32">
        <f t="shared" si="5"/>
        <v>11.5</v>
      </c>
    </row>
    <row r="122" spans="1:19" x14ac:dyDescent="0.25">
      <c r="A122" s="51">
        <v>46275.923611111109</v>
      </c>
      <c r="B122" s="29" t="s">
        <v>610</v>
      </c>
      <c r="C122" s="48">
        <v>291711132</v>
      </c>
      <c r="D122" s="28">
        <v>739163597</v>
      </c>
      <c r="E122" s="29" t="s">
        <v>378</v>
      </c>
      <c r="F122" s="28">
        <v>57</v>
      </c>
      <c r="G122" s="28">
        <v>57</v>
      </c>
      <c r="H122" s="28">
        <v>5</v>
      </c>
      <c r="I122" s="32">
        <v>2.85</v>
      </c>
      <c r="J122" s="28">
        <v>15</v>
      </c>
      <c r="K122" s="29">
        <v>5</v>
      </c>
      <c r="L122" s="28">
        <v>0</v>
      </c>
      <c r="M122" s="29" t="s">
        <v>69</v>
      </c>
      <c r="N122" s="29" t="s">
        <v>611</v>
      </c>
      <c r="O122" s="29">
        <v>15</v>
      </c>
      <c r="P122" s="29">
        <v>10</v>
      </c>
      <c r="Q122" s="31">
        <f t="shared" si="3"/>
        <v>59.15</v>
      </c>
      <c r="R122" s="32">
        <f t="shared" si="4"/>
        <v>2.85</v>
      </c>
      <c r="S122" s="32">
        <f t="shared" si="5"/>
        <v>5</v>
      </c>
    </row>
    <row r="123" spans="1:19" x14ac:dyDescent="0.25">
      <c r="A123" s="51">
        <v>46275.939583333333</v>
      </c>
      <c r="B123" s="29" t="s">
        <v>80</v>
      </c>
      <c r="C123" s="48">
        <v>291714283</v>
      </c>
      <c r="D123" s="28">
        <v>739171747</v>
      </c>
      <c r="E123" s="29" t="s">
        <v>613</v>
      </c>
      <c r="F123" s="28">
        <v>153</v>
      </c>
      <c r="G123" s="28">
        <v>136</v>
      </c>
      <c r="H123" s="28">
        <v>5</v>
      </c>
      <c r="I123" s="32">
        <v>6.8</v>
      </c>
      <c r="J123" s="28">
        <v>17</v>
      </c>
      <c r="K123" s="29">
        <v>0</v>
      </c>
      <c r="L123" s="28">
        <v>16</v>
      </c>
      <c r="M123" s="29" t="s">
        <v>69</v>
      </c>
      <c r="N123" s="29" t="s">
        <v>614</v>
      </c>
      <c r="O123" s="29">
        <v>0</v>
      </c>
      <c r="P123" s="29">
        <v>0</v>
      </c>
      <c r="Q123" s="31">
        <f t="shared" si="3"/>
        <v>146.19999999999999</v>
      </c>
      <c r="R123" s="32">
        <f t="shared" si="4"/>
        <v>6.8</v>
      </c>
      <c r="S123" s="32">
        <f t="shared" si="5"/>
        <v>17</v>
      </c>
    </row>
    <row r="124" spans="1:19" x14ac:dyDescent="0.25">
      <c r="A124" s="51">
        <v>46275.981249999997</v>
      </c>
      <c r="B124" s="29" t="s">
        <v>618</v>
      </c>
      <c r="C124" s="48">
        <v>291724110</v>
      </c>
      <c r="D124" s="28">
        <v>739194358</v>
      </c>
      <c r="E124" s="29" t="s">
        <v>619</v>
      </c>
      <c r="F124" s="28">
        <v>191</v>
      </c>
      <c r="G124" s="28">
        <v>148</v>
      </c>
      <c r="H124" s="28">
        <v>5</v>
      </c>
      <c r="I124" s="32">
        <v>7.4</v>
      </c>
      <c r="J124" s="28">
        <v>43</v>
      </c>
      <c r="K124" s="29">
        <v>0</v>
      </c>
      <c r="L124" s="28">
        <v>41</v>
      </c>
      <c r="M124" s="29" t="s">
        <v>69</v>
      </c>
      <c r="N124" s="29" t="s">
        <v>620</v>
      </c>
      <c r="O124" s="29">
        <v>0</v>
      </c>
      <c r="P124" s="29">
        <v>0</v>
      </c>
      <c r="Q124" s="31">
        <f t="shared" si="3"/>
        <v>183.6</v>
      </c>
      <c r="R124" s="32">
        <f t="shared" si="4"/>
        <v>7.4</v>
      </c>
      <c r="S124" s="32">
        <f t="shared" si="5"/>
        <v>43</v>
      </c>
    </row>
    <row r="125" spans="1:19" x14ac:dyDescent="0.25">
      <c r="A125" s="51">
        <v>46275.998611111114</v>
      </c>
      <c r="B125" s="29" t="s">
        <v>624</v>
      </c>
      <c r="C125" s="48">
        <v>291731124</v>
      </c>
      <c r="D125" s="28">
        <v>739147308</v>
      </c>
      <c r="E125" s="29" t="s">
        <v>625</v>
      </c>
      <c r="F125" s="28">
        <v>67</v>
      </c>
      <c r="G125" s="28">
        <v>54</v>
      </c>
      <c r="H125" s="28">
        <v>5</v>
      </c>
      <c r="I125" s="32">
        <v>2.7</v>
      </c>
      <c r="J125" s="28">
        <v>28</v>
      </c>
      <c r="K125" s="29">
        <v>4.95</v>
      </c>
      <c r="L125" s="28">
        <v>12</v>
      </c>
      <c r="M125" s="29" t="s">
        <v>69</v>
      </c>
      <c r="N125" s="29" t="s">
        <v>626</v>
      </c>
      <c r="O125" s="29">
        <v>15</v>
      </c>
      <c r="P125" s="29">
        <v>10.050000000000001</v>
      </c>
      <c r="Q125" s="31">
        <f t="shared" si="3"/>
        <v>69.25</v>
      </c>
      <c r="R125" s="32">
        <f t="shared" si="4"/>
        <v>2.7</v>
      </c>
      <c r="S125" s="32">
        <f t="shared" si="5"/>
        <v>17.95</v>
      </c>
    </row>
    <row r="126" spans="1:19" x14ac:dyDescent="0.25">
      <c r="A126" s="51">
        <v>46276.01458333333</v>
      </c>
      <c r="B126" s="29" t="s">
        <v>630</v>
      </c>
      <c r="C126" s="48">
        <v>291731745</v>
      </c>
      <c r="D126" s="28">
        <v>739214832</v>
      </c>
      <c r="E126" s="29" t="s">
        <v>631</v>
      </c>
      <c r="F126" s="28">
        <v>35</v>
      </c>
      <c r="G126" s="28">
        <v>35</v>
      </c>
      <c r="H126" s="28">
        <v>5</v>
      </c>
      <c r="I126" s="32">
        <v>1.75</v>
      </c>
      <c r="J126" s="28">
        <v>15</v>
      </c>
      <c r="K126" s="29">
        <v>6</v>
      </c>
      <c r="L126" s="28">
        <v>0</v>
      </c>
      <c r="M126" s="29" t="s">
        <v>69</v>
      </c>
      <c r="N126" s="29" t="s">
        <v>632</v>
      </c>
      <c r="O126" s="29">
        <v>15</v>
      </c>
      <c r="P126" s="29">
        <v>9</v>
      </c>
      <c r="Q126" s="31">
        <f t="shared" si="3"/>
        <v>39.25</v>
      </c>
      <c r="R126" s="32">
        <f t="shared" si="4"/>
        <v>1.75</v>
      </c>
      <c r="S126" s="32">
        <f t="shared" si="5"/>
        <v>6</v>
      </c>
    </row>
    <row r="127" spans="1:19" x14ac:dyDescent="0.25">
      <c r="A127" s="51">
        <v>46275.995138888888</v>
      </c>
      <c r="B127" s="29" t="s">
        <v>165</v>
      </c>
      <c r="C127" s="48">
        <v>291732906</v>
      </c>
      <c r="D127" s="28">
        <v>739212061</v>
      </c>
      <c r="E127" s="29" t="s">
        <v>233</v>
      </c>
      <c r="F127" s="28">
        <v>60</v>
      </c>
      <c r="G127" s="28">
        <v>60</v>
      </c>
      <c r="H127" s="28">
        <v>5</v>
      </c>
      <c r="I127" s="28">
        <v>3</v>
      </c>
      <c r="J127" s="28">
        <v>15</v>
      </c>
      <c r="K127" s="29">
        <v>7.95</v>
      </c>
      <c r="L127" s="28">
        <v>0</v>
      </c>
      <c r="M127" s="29" t="s">
        <v>69</v>
      </c>
      <c r="N127" s="29" t="s">
        <v>635</v>
      </c>
      <c r="O127" s="29">
        <v>15</v>
      </c>
      <c r="P127" s="29">
        <v>7.05</v>
      </c>
      <c r="Q127" s="31">
        <f t="shared" si="3"/>
        <v>64.95</v>
      </c>
      <c r="R127" s="32">
        <f t="shared" si="4"/>
        <v>3</v>
      </c>
      <c r="S127" s="32">
        <f t="shared" si="5"/>
        <v>7.95</v>
      </c>
    </row>
    <row r="128" spans="1:19" x14ac:dyDescent="0.25">
      <c r="A128" s="51">
        <v>46276.003472222219</v>
      </c>
      <c r="B128" s="29" t="s">
        <v>637</v>
      </c>
      <c r="C128" s="48">
        <v>291734251</v>
      </c>
      <c r="D128" s="28">
        <v>737679396</v>
      </c>
      <c r="E128" s="29" t="s">
        <v>639</v>
      </c>
      <c r="F128" s="28">
        <v>40</v>
      </c>
      <c r="G128" s="28">
        <v>40</v>
      </c>
      <c r="H128" s="28">
        <v>5</v>
      </c>
      <c r="I128" s="28">
        <v>2</v>
      </c>
      <c r="J128" s="28">
        <v>15</v>
      </c>
      <c r="K128" s="29">
        <v>4.95</v>
      </c>
      <c r="L128" s="28">
        <v>0</v>
      </c>
      <c r="M128" s="29" t="s">
        <v>69</v>
      </c>
      <c r="N128" s="29" t="s">
        <v>640</v>
      </c>
      <c r="O128" s="29">
        <v>15</v>
      </c>
      <c r="P128" s="29">
        <v>10.050000000000001</v>
      </c>
      <c r="Q128" s="31">
        <f t="shared" si="3"/>
        <v>42.95</v>
      </c>
      <c r="R128" s="32">
        <f t="shared" si="4"/>
        <v>2</v>
      </c>
      <c r="S128" s="32">
        <f t="shared" si="5"/>
        <v>4.9499999999999993</v>
      </c>
    </row>
    <row r="129" spans="1:19" x14ac:dyDescent="0.25">
      <c r="A129" s="51">
        <v>46276.009722222225</v>
      </c>
      <c r="B129" s="29" t="s">
        <v>159</v>
      </c>
      <c r="C129" s="48">
        <v>291734757</v>
      </c>
      <c r="D129" s="28">
        <v>739219207</v>
      </c>
      <c r="E129" s="29" t="s">
        <v>643</v>
      </c>
      <c r="F129" s="28">
        <v>183</v>
      </c>
      <c r="G129" s="28">
        <v>183</v>
      </c>
      <c r="H129" s="28">
        <v>5</v>
      </c>
      <c r="I129" s="32">
        <v>9.15</v>
      </c>
      <c r="J129" s="28">
        <v>15</v>
      </c>
      <c r="K129" s="29">
        <v>7.5</v>
      </c>
      <c r="L129" s="28">
        <v>0</v>
      </c>
      <c r="M129" s="29" t="s">
        <v>69</v>
      </c>
      <c r="N129" s="29" t="s">
        <v>644</v>
      </c>
      <c r="O129" s="29">
        <v>15</v>
      </c>
      <c r="P129" s="29">
        <v>7.5</v>
      </c>
      <c r="Q129" s="31">
        <f t="shared" si="3"/>
        <v>181.35</v>
      </c>
      <c r="R129" s="32">
        <f t="shared" si="4"/>
        <v>9.15</v>
      </c>
      <c r="S129" s="32">
        <f t="shared" si="5"/>
        <v>7.5</v>
      </c>
    </row>
    <row r="130" spans="1:19" x14ac:dyDescent="0.25">
      <c r="A130" s="51">
        <v>46276.039583333331</v>
      </c>
      <c r="B130" s="29" t="s">
        <v>648</v>
      </c>
      <c r="C130" s="48">
        <v>291739837</v>
      </c>
      <c r="D130" s="28">
        <v>739237998</v>
      </c>
      <c r="E130" s="29" t="s">
        <v>110</v>
      </c>
      <c r="F130" s="32">
        <v>40.25</v>
      </c>
      <c r="G130" s="32">
        <v>40.25</v>
      </c>
      <c r="H130" s="28">
        <v>5</v>
      </c>
      <c r="I130" s="32">
        <v>2.0125000000000002</v>
      </c>
      <c r="J130" s="28">
        <v>15</v>
      </c>
      <c r="K130" s="29">
        <v>5</v>
      </c>
      <c r="L130" s="28">
        <v>0</v>
      </c>
      <c r="M130" s="29" t="s">
        <v>69</v>
      </c>
      <c r="N130" s="29" t="s">
        <v>649</v>
      </c>
      <c r="O130" s="29">
        <v>15</v>
      </c>
      <c r="P130" s="29">
        <v>10</v>
      </c>
      <c r="Q130" s="31">
        <f t="shared" si="3"/>
        <v>43.237499999999997</v>
      </c>
      <c r="R130" s="32">
        <f t="shared" si="4"/>
        <v>2.0125000000000002</v>
      </c>
      <c r="S130" s="32">
        <f t="shared" si="5"/>
        <v>5</v>
      </c>
    </row>
    <row r="131" spans="1:19" x14ac:dyDescent="0.25">
      <c r="A131" s="51">
        <v>46276.055555555555</v>
      </c>
      <c r="B131" s="29" t="s">
        <v>159</v>
      </c>
      <c r="C131" s="48">
        <v>291741487</v>
      </c>
      <c r="D131" s="28">
        <v>739247856</v>
      </c>
      <c r="E131" s="29" t="s">
        <v>110</v>
      </c>
      <c r="F131" s="28">
        <v>88</v>
      </c>
      <c r="G131" s="28">
        <v>88</v>
      </c>
      <c r="H131" s="28">
        <v>5</v>
      </c>
      <c r="I131" s="32">
        <v>4.4000000000000004</v>
      </c>
      <c r="J131" s="28">
        <v>15</v>
      </c>
      <c r="K131" s="29">
        <v>7.5</v>
      </c>
      <c r="L131" s="28">
        <v>0</v>
      </c>
      <c r="M131" s="29" t="s">
        <v>69</v>
      </c>
      <c r="N131" s="29" t="s">
        <v>652</v>
      </c>
      <c r="O131" s="29">
        <v>15</v>
      </c>
      <c r="P131" s="29">
        <v>7.5</v>
      </c>
      <c r="Q131" s="31">
        <f t="shared" ref="Q131:Q194" si="6">F131+K131-I131</f>
        <v>91.1</v>
      </c>
      <c r="R131" s="32">
        <f t="shared" ref="R131:R194" si="7">I131</f>
        <v>4.4000000000000004</v>
      </c>
      <c r="S131" s="32">
        <f t="shared" ref="S131:S194" si="8">J131-P131</f>
        <v>7.5</v>
      </c>
    </row>
    <row r="132" spans="1:19" x14ac:dyDescent="0.25">
      <c r="A132" s="51">
        <v>46276.075694444444</v>
      </c>
      <c r="B132" s="29" t="s">
        <v>438</v>
      </c>
      <c r="C132" s="48">
        <v>291743659</v>
      </c>
      <c r="D132" s="28">
        <v>739257217</v>
      </c>
      <c r="E132" s="29" t="s">
        <v>587</v>
      </c>
      <c r="F132" s="28">
        <v>49</v>
      </c>
      <c r="G132" s="28">
        <v>49</v>
      </c>
      <c r="H132" s="28">
        <v>5</v>
      </c>
      <c r="I132" s="32">
        <v>2.4500000000000002</v>
      </c>
      <c r="J132" s="28">
        <v>15</v>
      </c>
      <c r="K132" s="29">
        <v>9.9</v>
      </c>
      <c r="L132" s="28">
        <v>0</v>
      </c>
      <c r="M132" s="29" t="s">
        <v>69</v>
      </c>
      <c r="N132" s="29" t="s">
        <v>658</v>
      </c>
      <c r="O132" s="29">
        <v>15</v>
      </c>
      <c r="P132" s="29">
        <v>5.0999999999999996</v>
      </c>
      <c r="Q132" s="31">
        <f t="shared" si="6"/>
        <v>56.449999999999996</v>
      </c>
      <c r="R132" s="32">
        <f t="shared" si="7"/>
        <v>2.4500000000000002</v>
      </c>
      <c r="S132" s="32">
        <f t="shared" si="8"/>
        <v>9.9</v>
      </c>
    </row>
    <row r="133" spans="1:19" x14ac:dyDescent="0.25">
      <c r="A133" s="51">
        <v>46276.073611111111</v>
      </c>
      <c r="B133" s="29" t="s">
        <v>125</v>
      </c>
      <c r="C133" s="48">
        <v>291743668</v>
      </c>
      <c r="D133" s="28">
        <v>739257470</v>
      </c>
      <c r="E133" s="29" t="s">
        <v>587</v>
      </c>
      <c r="F133" s="28">
        <v>71</v>
      </c>
      <c r="G133" s="28">
        <v>56</v>
      </c>
      <c r="H133" s="32">
        <v>4.75</v>
      </c>
      <c r="I133" s="32">
        <v>2.66</v>
      </c>
      <c r="J133" s="28">
        <v>15</v>
      </c>
      <c r="K133" s="29">
        <v>0</v>
      </c>
      <c r="L133" s="28">
        <v>14</v>
      </c>
      <c r="M133" s="29" t="s">
        <v>69</v>
      </c>
      <c r="N133" s="29" t="s">
        <v>654</v>
      </c>
      <c r="O133" s="29">
        <v>0</v>
      </c>
      <c r="P133" s="29">
        <v>0</v>
      </c>
      <c r="Q133" s="31">
        <f t="shared" si="6"/>
        <v>68.34</v>
      </c>
      <c r="R133" s="32">
        <f t="shared" si="7"/>
        <v>2.66</v>
      </c>
      <c r="S133" s="32">
        <f t="shared" si="8"/>
        <v>15</v>
      </c>
    </row>
    <row r="134" spans="1:19" x14ac:dyDescent="0.25">
      <c r="A134" s="51">
        <v>46276.094444444447</v>
      </c>
      <c r="B134" s="29" t="s">
        <v>120</v>
      </c>
      <c r="C134" s="48">
        <v>291745213</v>
      </c>
      <c r="D134" s="28">
        <v>739263440</v>
      </c>
      <c r="E134" s="29" t="s">
        <v>110</v>
      </c>
      <c r="F134" s="32">
        <v>45.5</v>
      </c>
      <c r="G134" s="32">
        <v>36.5</v>
      </c>
      <c r="H134" s="28">
        <v>4</v>
      </c>
      <c r="I134" s="32">
        <v>1.46</v>
      </c>
      <c r="J134" s="28">
        <v>15</v>
      </c>
      <c r="K134" s="29">
        <v>6</v>
      </c>
      <c r="L134" s="28">
        <v>8</v>
      </c>
      <c r="M134" s="29" t="s">
        <v>69</v>
      </c>
      <c r="N134" s="29" t="s">
        <v>661</v>
      </c>
      <c r="O134" s="29">
        <v>6</v>
      </c>
      <c r="P134" s="29">
        <v>0</v>
      </c>
      <c r="Q134" s="31">
        <f t="shared" si="6"/>
        <v>50.04</v>
      </c>
      <c r="R134" s="32">
        <f t="shared" si="7"/>
        <v>1.46</v>
      </c>
      <c r="S134" s="32">
        <f t="shared" si="8"/>
        <v>15</v>
      </c>
    </row>
    <row r="135" spans="1:19" x14ac:dyDescent="0.25">
      <c r="A135" s="51">
        <v>46276.129861111112</v>
      </c>
      <c r="B135" s="29" t="s">
        <v>665</v>
      </c>
      <c r="C135" s="48">
        <v>291747119</v>
      </c>
      <c r="D135" s="28">
        <v>739272396</v>
      </c>
      <c r="E135" s="29" t="s">
        <v>378</v>
      </c>
      <c r="F135" s="28">
        <v>52</v>
      </c>
      <c r="G135" s="28">
        <v>37</v>
      </c>
      <c r="H135" s="28">
        <v>4</v>
      </c>
      <c r="I135" s="32">
        <v>1.48</v>
      </c>
      <c r="J135" s="28">
        <v>15</v>
      </c>
      <c r="K135" s="29">
        <v>0</v>
      </c>
      <c r="L135" s="28">
        <v>14</v>
      </c>
      <c r="M135" s="29" t="s">
        <v>69</v>
      </c>
      <c r="N135" s="29" t="s">
        <v>666</v>
      </c>
      <c r="O135" s="29">
        <v>0</v>
      </c>
      <c r="P135" s="29">
        <v>0</v>
      </c>
      <c r="Q135" s="31">
        <f t="shared" si="6"/>
        <v>50.52</v>
      </c>
      <c r="R135" s="32">
        <f t="shared" si="7"/>
        <v>1.48</v>
      </c>
      <c r="S135" s="32">
        <f t="shared" si="8"/>
        <v>15</v>
      </c>
    </row>
    <row r="136" spans="1:19" x14ac:dyDescent="0.25">
      <c r="A136" s="51">
        <v>46276.136805555558</v>
      </c>
      <c r="B136" s="29" t="s">
        <v>209</v>
      </c>
      <c r="C136" s="48">
        <v>291747423</v>
      </c>
      <c r="D136" s="28">
        <v>739272431</v>
      </c>
      <c r="E136" s="29" t="s">
        <v>669</v>
      </c>
      <c r="F136" s="28">
        <v>44</v>
      </c>
      <c r="G136" s="28">
        <v>37</v>
      </c>
      <c r="H136" s="32">
        <v>4.5</v>
      </c>
      <c r="I136" s="32">
        <v>1.665</v>
      </c>
      <c r="J136" s="28">
        <v>22</v>
      </c>
      <c r="K136" s="29">
        <v>6.9</v>
      </c>
      <c r="L136" s="28">
        <v>6</v>
      </c>
      <c r="M136" s="29" t="s">
        <v>69</v>
      </c>
      <c r="N136" s="29" t="s">
        <v>670</v>
      </c>
      <c r="O136" s="29">
        <v>15</v>
      </c>
      <c r="P136" s="29">
        <v>8.1</v>
      </c>
      <c r="Q136" s="31">
        <f t="shared" si="6"/>
        <v>49.234999999999999</v>
      </c>
      <c r="R136" s="32">
        <f t="shared" si="7"/>
        <v>1.665</v>
      </c>
      <c r="S136" s="32">
        <f t="shared" si="8"/>
        <v>13.9</v>
      </c>
    </row>
    <row r="137" spans="1:19" x14ac:dyDescent="0.25">
      <c r="A137" s="51">
        <v>46276.171527777777</v>
      </c>
      <c r="B137" s="29" t="s">
        <v>674</v>
      </c>
      <c r="C137" s="48">
        <v>291748879</v>
      </c>
      <c r="D137" s="28">
        <v>739280129</v>
      </c>
      <c r="E137" s="29" t="s">
        <v>675</v>
      </c>
      <c r="F137" s="28">
        <v>42</v>
      </c>
      <c r="G137" s="28">
        <v>42</v>
      </c>
      <c r="H137" s="28">
        <v>5</v>
      </c>
      <c r="I137" s="32">
        <v>2.1</v>
      </c>
      <c r="J137" s="28">
        <v>15</v>
      </c>
      <c r="K137" s="29">
        <v>15</v>
      </c>
      <c r="L137" s="28">
        <v>0</v>
      </c>
      <c r="M137" s="29" t="s">
        <v>69</v>
      </c>
      <c r="N137" s="29" t="s">
        <v>676</v>
      </c>
      <c r="O137" s="29">
        <v>15</v>
      </c>
      <c r="P137" s="29">
        <v>0</v>
      </c>
      <c r="Q137" s="31">
        <f t="shared" si="6"/>
        <v>54.9</v>
      </c>
      <c r="R137" s="32">
        <f t="shared" si="7"/>
        <v>2.1</v>
      </c>
      <c r="S137" s="32">
        <f t="shared" si="8"/>
        <v>15</v>
      </c>
    </row>
    <row r="138" spans="1:19" x14ac:dyDescent="0.25">
      <c r="A138" s="51">
        <v>46276.214583333334</v>
      </c>
      <c r="B138" s="29" t="s">
        <v>680</v>
      </c>
      <c r="C138" s="48">
        <v>291749916</v>
      </c>
      <c r="D138" s="28">
        <v>739286152</v>
      </c>
      <c r="E138" s="29" t="s">
        <v>587</v>
      </c>
      <c r="F138" s="28">
        <v>36</v>
      </c>
      <c r="G138" s="28">
        <v>36</v>
      </c>
      <c r="H138" s="28">
        <v>5</v>
      </c>
      <c r="I138" s="32">
        <v>1.8</v>
      </c>
      <c r="J138" s="28">
        <v>15</v>
      </c>
      <c r="K138" s="29">
        <v>4.95</v>
      </c>
      <c r="L138" s="28">
        <v>0</v>
      </c>
      <c r="M138" s="29" t="s">
        <v>69</v>
      </c>
      <c r="N138" s="29" t="s">
        <v>681</v>
      </c>
      <c r="O138" s="29">
        <v>15</v>
      </c>
      <c r="P138" s="29">
        <v>10.050000000000001</v>
      </c>
      <c r="Q138" s="31">
        <f t="shared" si="6"/>
        <v>39.150000000000006</v>
      </c>
      <c r="R138" s="32">
        <f t="shared" si="7"/>
        <v>1.8</v>
      </c>
      <c r="S138" s="32">
        <f t="shared" si="8"/>
        <v>4.9499999999999993</v>
      </c>
    </row>
    <row r="139" spans="1:19" x14ac:dyDescent="0.25">
      <c r="A139" s="51">
        <v>46276.570833333331</v>
      </c>
      <c r="B139" s="29" t="s">
        <v>685</v>
      </c>
      <c r="C139" s="48">
        <v>291786343</v>
      </c>
      <c r="D139" s="28">
        <v>739397725</v>
      </c>
      <c r="E139" s="29" t="s">
        <v>686</v>
      </c>
      <c r="F139" s="28">
        <v>52</v>
      </c>
      <c r="G139" s="28">
        <v>50</v>
      </c>
      <c r="H139" s="28">
        <v>5</v>
      </c>
      <c r="I139" s="32">
        <v>2.5</v>
      </c>
      <c r="J139" s="28">
        <v>17</v>
      </c>
      <c r="K139" s="29">
        <v>4.95</v>
      </c>
      <c r="L139" s="28">
        <v>1</v>
      </c>
      <c r="M139" s="29" t="s">
        <v>69</v>
      </c>
      <c r="N139" s="29" t="s">
        <v>687</v>
      </c>
      <c r="O139" s="29">
        <v>15</v>
      </c>
      <c r="P139" s="29">
        <v>10.050000000000001</v>
      </c>
      <c r="Q139" s="31">
        <f t="shared" si="6"/>
        <v>54.45</v>
      </c>
      <c r="R139" s="32">
        <f t="shared" si="7"/>
        <v>2.5</v>
      </c>
      <c r="S139" s="32">
        <f t="shared" si="8"/>
        <v>6.9499999999999993</v>
      </c>
    </row>
    <row r="140" spans="1:19" x14ac:dyDescent="0.25">
      <c r="A140" s="51">
        <v>46276.574305555558</v>
      </c>
      <c r="B140" s="29" t="s">
        <v>120</v>
      </c>
      <c r="C140" s="48">
        <v>291787682</v>
      </c>
      <c r="D140" s="28">
        <v>739402607</v>
      </c>
      <c r="E140" s="29" t="s">
        <v>110</v>
      </c>
      <c r="F140" s="32">
        <v>75.5</v>
      </c>
      <c r="G140" s="32">
        <v>66.5</v>
      </c>
      <c r="H140" s="28">
        <v>4</v>
      </c>
      <c r="I140" s="32">
        <v>2.66</v>
      </c>
      <c r="J140" s="28">
        <v>15</v>
      </c>
      <c r="K140" s="29">
        <v>6</v>
      </c>
      <c r="L140" s="28">
        <v>8</v>
      </c>
      <c r="M140" s="29" t="s">
        <v>69</v>
      </c>
      <c r="N140" s="29" t="s">
        <v>690</v>
      </c>
      <c r="O140" s="29">
        <v>6</v>
      </c>
      <c r="P140" s="29">
        <v>0</v>
      </c>
      <c r="Q140" s="31">
        <f t="shared" si="6"/>
        <v>78.84</v>
      </c>
      <c r="R140" s="32">
        <f t="shared" si="7"/>
        <v>2.66</v>
      </c>
      <c r="S140" s="32">
        <f t="shared" si="8"/>
        <v>15</v>
      </c>
    </row>
    <row r="141" spans="1:19" x14ac:dyDescent="0.25">
      <c r="A141" s="51">
        <v>46276.625</v>
      </c>
      <c r="B141" s="29" t="s">
        <v>694</v>
      </c>
      <c r="C141" s="48">
        <v>291810596</v>
      </c>
      <c r="D141" s="28">
        <v>739457047</v>
      </c>
      <c r="E141" s="29" t="s">
        <v>110</v>
      </c>
      <c r="F141" s="28">
        <v>70</v>
      </c>
      <c r="G141" s="28">
        <v>63</v>
      </c>
      <c r="H141" s="28">
        <v>5</v>
      </c>
      <c r="I141" s="32">
        <v>3.15</v>
      </c>
      <c r="J141" s="28">
        <v>22</v>
      </c>
      <c r="K141" s="29">
        <v>15</v>
      </c>
      <c r="L141" s="28">
        <v>6</v>
      </c>
      <c r="M141" s="29" t="s">
        <v>69</v>
      </c>
      <c r="N141" s="29" t="s">
        <v>695</v>
      </c>
      <c r="O141" s="29">
        <v>15</v>
      </c>
      <c r="P141" s="29">
        <v>0</v>
      </c>
      <c r="Q141" s="31">
        <f t="shared" si="6"/>
        <v>81.849999999999994</v>
      </c>
      <c r="R141" s="32">
        <f t="shared" si="7"/>
        <v>3.15</v>
      </c>
      <c r="S141" s="32">
        <f t="shared" si="8"/>
        <v>22</v>
      </c>
    </row>
    <row r="142" spans="1:19" x14ac:dyDescent="0.25">
      <c r="A142" s="51">
        <v>46276.629861111112</v>
      </c>
      <c r="B142" s="29" t="s">
        <v>423</v>
      </c>
      <c r="C142" s="48">
        <v>291816237</v>
      </c>
      <c r="D142" s="28">
        <v>739468729</v>
      </c>
      <c r="E142" s="29" t="s">
        <v>110</v>
      </c>
      <c r="F142" s="28">
        <v>115</v>
      </c>
      <c r="G142" s="28">
        <v>115</v>
      </c>
      <c r="H142" s="28">
        <v>5</v>
      </c>
      <c r="I142" s="32">
        <v>5.75</v>
      </c>
      <c r="J142" s="28">
        <v>15</v>
      </c>
      <c r="K142" s="29">
        <v>5</v>
      </c>
      <c r="L142" s="28">
        <v>0</v>
      </c>
      <c r="M142" s="29" t="s">
        <v>69</v>
      </c>
      <c r="N142" s="29" t="s">
        <v>698</v>
      </c>
      <c r="O142" s="29">
        <v>15</v>
      </c>
      <c r="P142" s="29">
        <v>10</v>
      </c>
      <c r="Q142" s="31">
        <f t="shared" si="6"/>
        <v>114.25</v>
      </c>
      <c r="R142" s="32">
        <f t="shared" si="7"/>
        <v>5.75</v>
      </c>
      <c r="S142" s="32">
        <f t="shared" si="8"/>
        <v>5</v>
      </c>
    </row>
    <row r="143" spans="1:19" x14ac:dyDescent="0.25">
      <c r="A143" s="51">
        <v>46276.630555555559</v>
      </c>
      <c r="B143" s="29" t="s">
        <v>703</v>
      </c>
      <c r="C143" s="48">
        <v>291819983</v>
      </c>
      <c r="D143" s="28">
        <v>739221723</v>
      </c>
      <c r="E143" s="29" t="s">
        <v>704</v>
      </c>
      <c r="F143" s="32">
        <v>66.75</v>
      </c>
      <c r="G143" s="32">
        <v>66.75</v>
      </c>
      <c r="H143" s="28">
        <v>5</v>
      </c>
      <c r="I143" s="32">
        <v>3.3374999999999999</v>
      </c>
      <c r="J143" s="28">
        <v>15</v>
      </c>
      <c r="K143" s="29">
        <v>15</v>
      </c>
      <c r="L143" s="28">
        <v>0</v>
      </c>
      <c r="M143" s="29" t="s">
        <v>69</v>
      </c>
      <c r="N143" s="29" t="s">
        <v>705</v>
      </c>
      <c r="O143" s="29">
        <v>15</v>
      </c>
      <c r="P143" s="29">
        <v>0</v>
      </c>
      <c r="Q143" s="31">
        <f t="shared" si="6"/>
        <v>78.412499999999994</v>
      </c>
      <c r="R143" s="32">
        <f t="shared" si="7"/>
        <v>3.3374999999999999</v>
      </c>
      <c r="S143" s="32">
        <f t="shared" si="8"/>
        <v>15</v>
      </c>
    </row>
    <row r="144" spans="1:19" x14ac:dyDescent="0.25">
      <c r="A144" s="51">
        <v>46276.647916666669</v>
      </c>
      <c r="B144" s="29" t="s">
        <v>120</v>
      </c>
      <c r="C144" s="48">
        <v>291823370</v>
      </c>
      <c r="D144" s="28">
        <v>739483121</v>
      </c>
      <c r="E144" s="29" t="s">
        <v>708</v>
      </c>
      <c r="F144" s="28">
        <v>140</v>
      </c>
      <c r="G144" s="28">
        <v>131</v>
      </c>
      <c r="H144" s="28">
        <v>4</v>
      </c>
      <c r="I144" s="32">
        <v>5.24</v>
      </c>
      <c r="J144" s="28">
        <v>15</v>
      </c>
      <c r="K144" s="29">
        <v>6</v>
      </c>
      <c r="L144" s="28">
        <v>8</v>
      </c>
      <c r="M144" s="29" t="s">
        <v>69</v>
      </c>
      <c r="N144" s="29" t="s">
        <v>709</v>
      </c>
      <c r="O144" s="29">
        <v>6</v>
      </c>
      <c r="P144" s="29">
        <v>0</v>
      </c>
      <c r="Q144" s="31">
        <f t="shared" si="6"/>
        <v>140.76</v>
      </c>
      <c r="R144" s="32">
        <f t="shared" si="7"/>
        <v>5.24</v>
      </c>
      <c r="S144" s="32">
        <f t="shared" si="8"/>
        <v>15</v>
      </c>
    </row>
    <row r="145" spans="1:19" x14ac:dyDescent="0.25">
      <c r="A145" s="51">
        <v>46276.631944444445</v>
      </c>
      <c r="B145" s="29" t="s">
        <v>711</v>
      </c>
      <c r="C145" s="48">
        <v>291824946</v>
      </c>
      <c r="D145" s="28">
        <v>739463624</v>
      </c>
      <c r="E145" s="29" t="s">
        <v>713</v>
      </c>
      <c r="F145" s="28">
        <v>38</v>
      </c>
      <c r="G145" s="28">
        <v>38</v>
      </c>
      <c r="H145" s="28">
        <v>5</v>
      </c>
      <c r="I145" s="32">
        <v>1.9</v>
      </c>
      <c r="J145" s="28">
        <v>15</v>
      </c>
      <c r="K145" s="29">
        <v>4.95</v>
      </c>
      <c r="L145" s="28">
        <v>0</v>
      </c>
      <c r="M145" s="29" t="s">
        <v>69</v>
      </c>
      <c r="N145" s="29" t="s">
        <v>714</v>
      </c>
      <c r="O145" s="29">
        <v>15</v>
      </c>
      <c r="P145" s="29">
        <v>10.050000000000001</v>
      </c>
      <c r="Q145" s="31">
        <f t="shared" si="6"/>
        <v>41.050000000000004</v>
      </c>
      <c r="R145" s="32">
        <f t="shared" si="7"/>
        <v>1.9</v>
      </c>
      <c r="S145" s="32">
        <f t="shared" si="8"/>
        <v>4.9499999999999993</v>
      </c>
    </row>
    <row r="146" spans="1:19" x14ac:dyDescent="0.25">
      <c r="A146" s="51">
        <v>46276.645138888889</v>
      </c>
      <c r="B146" s="29" t="s">
        <v>717</v>
      </c>
      <c r="C146" s="48">
        <v>291831890</v>
      </c>
      <c r="D146" s="28">
        <v>739493982</v>
      </c>
      <c r="E146" s="29" t="s">
        <v>587</v>
      </c>
      <c r="F146" s="32">
        <v>67.610000610351563</v>
      </c>
      <c r="G146" s="32">
        <v>52.61</v>
      </c>
      <c r="H146" s="28">
        <v>5</v>
      </c>
      <c r="I146" s="32">
        <v>2.6305000000000001</v>
      </c>
      <c r="J146" s="28">
        <v>15</v>
      </c>
      <c r="K146" s="29">
        <v>0</v>
      </c>
      <c r="L146" s="28">
        <v>14</v>
      </c>
      <c r="M146" s="29" t="s">
        <v>69</v>
      </c>
      <c r="N146" s="29" t="s">
        <v>718</v>
      </c>
      <c r="O146" s="29">
        <v>0</v>
      </c>
      <c r="P146" s="29">
        <v>0</v>
      </c>
      <c r="Q146" s="31">
        <f t="shared" si="6"/>
        <v>64.979500610351565</v>
      </c>
      <c r="R146" s="32">
        <f t="shared" si="7"/>
        <v>2.6305000000000001</v>
      </c>
      <c r="S146" s="32">
        <f t="shared" si="8"/>
        <v>15</v>
      </c>
    </row>
    <row r="147" spans="1:19" x14ac:dyDescent="0.25">
      <c r="A147" s="51">
        <v>46276.666666666664</v>
      </c>
      <c r="B147" s="29" t="s">
        <v>722</v>
      </c>
      <c r="C147" s="48">
        <v>291840989</v>
      </c>
      <c r="D147" s="28">
        <v>738808107</v>
      </c>
      <c r="E147" s="29" t="s">
        <v>723</v>
      </c>
      <c r="F147" s="28">
        <v>79</v>
      </c>
      <c r="G147" s="28">
        <v>72</v>
      </c>
      <c r="H147" s="28">
        <v>5</v>
      </c>
      <c r="I147" s="32">
        <v>3.6</v>
      </c>
      <c r="J147" s="28">
        <v>22</v>
      </c>
      <c r="K147" s="29">
        <v>7</v>
      </c>
      <c r="L147" s="28">
        <v>6</v>
      </c>
      <c r="M147" s="29" t="s">
        <v>69</v>
      </c>
      <c r="N147" s="29" t="s">
        <v>724</v>
      </c>
      <c r="O147" s="29">
        <v>15</v>
      </c>
      <c r="P147" s="29">
        <v>8</v>
      </c>
      <c r="Q147" s="31">
        <f t="shared" si="6"/>
        <v>82.4</v>
      </c>
      <c r="R147" s="32">
        <f t="shared" si="7"/>
        <v>3.6</v>
      </c>
      <c r="S147" s="32">
        <f t="shared" si="8"/>
        <v>14</v>
      </c>
    </row>
    <row r="148" spans="1:19" x14ac:dyDescent="0.25">
      <c r="A148" s="52">
        <v>46276.688194444447</v>
      </c>
      <c r="B148" s="30" t="s">
        <v>927</v>
      </c>
      <c r="C148" s="27">
        <v>291856277</v>
      </c>
      <c r="D148" s="28">
        <v>739560969</v>
      </c>
      <c r="E148" s="29" t="s">
        <v>929</v>
      </c>
      <c r="F148" s="32">
        <v>41.5</v>
      </c>
      <c r="G148" s="32">
        <v>41.5</v>
      </c>
      <c r="H148" s="28">
        <v>5</v>
      </c>
      <c r="I148" s="32">
        <v>2.0750000000000002</v>
      </c>
      <c r="J148" s="28">
        <v>15</v>
      </c>
      <c r="K148" s="29">
        <v>8</v>
      </c>
      <c r="L148" s="28">
        <v>0</v>
      </c>
      <c r="M148" s="29" t="s">
        <v>69</v>
      </c>
      <c r="N148" s="29" t="s">
        <v>930</v>
      </c>
      <c r="O148" s="29">
        <v>15</v>
      </c>
      <c r="P148" s="29">
        <v>7</v>
      </c>
      <c r="Q148" s="31">
        <f t="shared" si="6"/>
        <v>47.424999999999997</v>
      </c>
      <c r="R148" s="32">
        <f t="shared" si="7"/>
        <v>2.0750000000000002</v>
      </c>
      <c r="S148" s="32">
        <f t="shared" si="8"/>
        <v>8</v>
      </c>
    </row>
    <row r="149" spans="1:19" x14ac:dyDescent="0.25">
      <c r="A149" s="51">
        <v>46276.689583333333</v>
      </c>
      <c r="B149" s="29" t="s">
        <v>342</v>
      </c>
      <c r="C149" s="48">
        <v>291856505</v>
      </c>
      <c r="D149" s="28">
        <v>739560143</v>
      </c>
      <c r="E149" s="29" t="s">
        <v>727</v>
      </c>
      <c r="F149" s="28">
        <v>107</v>
      </c>
      <c r="G149" s="28">
        <v>105</v>
      </c>
      <c r="H149" s="28">
        <v>5</v>
      </c>
      <c r="I149" s="32">
        <v>5.25</v>
      </c>
      <c r="J149" s="28">
        <v>17</v>
      </c>
      <c r="K149" s="29">
        <v>6.9</v>
      </c>
      <c r="L149" s="28">
        <v>1</v>
      </c>
      <c r="M149" s="29" t="s">
        <v>69</v>
      </c>
      <c r="N149" s="29" t="s">
        <v>728</v>
      </c>
      <c r="O149" s="29">
        <v>15</v>
      </c>
      <c r="P149" s="29">
        <v>8.1</v>
      </c>
      <c r="Q149" s="31">
        <f t="shared" si="6"/>
        <v>108.65</v>
      </c>
      <c r="R149" s="32">
        <f t="shared" si="7"/>
        <v>5.25</v>
      </c>
      <c r="S149" s="32">
        <f t="shared" si="8"/>
        <v>8.9</v>
      </c>
    </row>
    <row r="150" spans="1:19" x14ac:dyDescent="0.25">
      <c r="A150" s="51">
        <v>46276.731249999997</v>
      </c>
      <c r="B150" s="29" t="s">
        <v>165</v>
      </c>
      <c r="C150" s="48">
        <v>291881636</v>
      </c>
      <c r="D150" s="28">
        <v>739614763</v>
      </c>
      <c r="E150" s="29" t="s">
        <v>110</v>
      </c>
      <c r="F150" s="32">
        <v>109.59999847412109</v>
      </c>
      <c r="G150" s="32">
        <v>109.6</v>
      </c>
      <c r="H150" s="28">
        <v>5</v>
      </c>
      <c r="I150" s="32">
        <v>5.48</v>
      </c>
      <c r="J150" s="28">
        <v>15</v>
      </c>
      <c r="K150" s="29">
        <v>7.95</v>
      </c>
      <c r="L150" s="28">
        <v>0</v>
      </c>
      <c r="M150" s="29" t="s">
        <v>69</v>
      </c>
      <c r="N150" s="29" t="s">
        <v>731</v>
      </c>
      <c r="O150" s="29">
        <v>15</v>
      </c>
      <c r="P150" s="29">
        <v>7.05</v>
      </c>
      <c r="Q150" s="31">
        <f t="shared" si="6"/>
        <v>112.06999847412109</v>
      </c>
      <c r="R150" s="32">
        <f t="shared" si="7"/>
        <v>5.48</v>
      </c>
      <c r="S150" s="32">
        <f t="shared" si="8"/>
        <v>7.95</v>
      </c>
    </row>
    <row r="151" spans="1:19" x14ac:dyDescent="0.25">
      <c r="A151" s="51">
        <v>46276.729166666664</v>
      </c>
      <c r="B151" s="29" t="s">
        <v>735</v>
      </c>
      <c r="C151" s="48">
        <v>291885470</v>
      </c>
      <c r="D151" s="28">
        <v>739626313</v>
      </c>
      <c r="E151" s="29" t="s">
        <v>736</v>
      </c>
      <c r="F151" s="28">
        <v>75</v>
      </c>
      <c r="G151" s="28">
        <v>75</v>
      </c>
      <c r="H151" s="28">
        <v>5</v>
      </c>
      <c r="I151" s="32">
        <v>3.75</v>
      </c>
      <c r="J151" s="28">
        <v>15</v>
      </c>
      <c r="K151" s="29">
        <v>5</v>
      </c>
      <c r="L151" s="28">
        <v>0</v>
      </c>
      <c r="M151" s="29" t="s">
        <v>69</v>
      </c>
      <c r="N151" s="29" t="s">
        <v>737</v>
      </c>
      <c r="O151" s="29">
        <v>15</v>
      </c>
      <c r="P151" s="29">
        <v>10</v>
      </c>
      <c r="Q151" s="31">
        <f t="shared" si="6"/>
        <v>76.25</v>
      </c>
      <c r="R151" s="32">
        <f t="shared" si="7"/>
        <v>3.75</v>
      </c>
      <c r="S151" s="32">
        <f t="shared" si="8"/>
        <v>5</v>
      </c>
    </row>
    <row r="152" spans="1:19" x14ac:dyDescent="0.25">
      <c r="A152" s="51">
        <v>46276.866666666669</v>
      </c>
      <c r="B152" s="29" t="s">
        <v>741</v>
      </c>
      <c r="C152" s="48">
        <v>291958089</v>
      </c>
      <c r="D152" s="28">
        <v>739781900</v>
      </c>
      <c r="E152" s="29" t="s">
        <v>210</v>
      </c>
      <c r="F152" s="28">
        <v>47</v>
      </c>
      <c r="G152" s="28">
        <v>40</v>
      </c>
      <c r="H152" s="28">
        <v>5</v>
      </c>
      <c r="I152" s="28">
        <v>2</v>
      </c>
      <c r="J152" s="28">
        <v>22</v>
      </c>
      <c r="K152" s="29">
        <v>5</v>
      </c>
      <c r="L152" s="28">
        <v>6</v>
      </c>
      <c r="M152" s="29" t="s">
        <v>69</v>
      </c>
      <c r="N152" s="29" t="s">
        <v>742</v>
      </c>
      <c r="O152" s="29">
        <v>15</v>
      </c>
      <c r="P152" s="29">
        <v>10</v>
      </c>
      <c r="Q152" s="31">
        <f t="shared" si="6"/>
        <v>50</v>
      </c>
      <c r="R152" s="32">
        <f t="shared" si="7"/>
        <v>2</v>
      </c>
      <c r="S152" s="32">
        <f t="shared" si="8"/>
        <v>12</v>
      </c>
    </row>
    <row r="153" spans="1:19" x14ac:dyDescent="0.25">
      <c r="A153" s="51">
        <v>46276.861111111109</v>
      </c>
      <c r="B153" s="29" t="s">
        <v>438</v>
      </c>
      <c r="C153" s="48">
        <v>291959031</v>
      </c>
      <c r="D153" s="28">
        <v>739784937</v>
      </c>
      <c r="E153" s="29" t="s">
        <v>110</v>
      </c>
      <c r="F153" s="28">
        <v>62</v>
      </c>
      <c r="G153" s="28">
        <v>62</v>
      </c>
      <c r="H153" s="28">
        <v>5</v>
      </c>
      <c r="I153" s="32">
        <v>3.1</v>
      </c>
      <c r="J153" s="28">
        <v>15</v>
      </c>
      <c r="K153" s="29">
        <v>9.9</v>
      </c>
      <c r="L153" s="28">
        <v>0</v>
      </c>
      <c r="M153" s="29" t="s">
        <v>69</v>
      </c>
      <c r="N153" s="29" t="s">
        <v>744</v>
      </c>
      <c r="O153" s="29">
        <v>15</v>
      </c>
      <c r="P153" s="29">
        <v>5.0999999999999996</v>
      </c>
      <c r="Q153" s="31">
        <f t="shared" si="6"/>
        <v>68.800000000000011</v>
      </c>
      <c r="R153" s="32">
        <f t="shared" si="7"/>
        <v>3.1</v>
      </c>
      <c r="S153" s="32">
        <f t="shared" si="8"/>
        <v>9.9</v>
      </c>
    </row>
    <row r="154" spans="1:19" x14ac:dyDescent="0.25">
      <c r="A154" s="51">
        <v>46276.883333333331</v>
      </c>
      <c r="B154" s="29" t="s">
        <v>120</v>
      </c>
      <c r="C154" s="48">
        <v>291966199</v>
      </c>
      <c r="D154" s="28">
        <v>739801608</v>
      </c>
      <c r="E154" s="29" t="s">
        <v>233</v>
      </c>
      <c r="F154" s="28">
        <v>65</v>
      </c>
      <c r="G154" s="28">
        <v>56</v>
      </c>
      <c r="H154" s="28">
        <v>4</v>
      </c>
      <c r="I154" s="32">
        <v>2.2400000000000002</v>
      </c>
      <c r="J154" s="28">
        <v>15</v>
      </c>
      <c r="K154" s="29">
        <v>6</v>
      </c>
      <c r="L154" s="28">
        <v>8</v>
      </c>
      <c r="M154" s="29" t="s">
        <v>69</v>
      </c>
      <c r="N154" s="29" t="s">
        <v>747</v>
      </c>
      <c r="O154" s="29">
        <v>6</v>
      </c>
      <c r="P154" s="29">
        <v>0</v>
      </c>
      <c r="Q154" s="31">
        <f t="shared" si="6"/>
        <v>68.760000000000005</v>
      </c>
      <c r="R154" s="32">
        <f t="shared" si="7"/>
        <v>2.2400000000000002</v>
      </c>
      <c r="S154" s="32">
        <f t="shared" si="8"/>
        <v>15</v>
      </c>
    </row>
    <row r="155" spans="1:19" x14ac:dyDescent="0.25">
      <c r="A155" s="51">
        <v>46276.951388888891</v>
      </c>
      <c r="B155" s="29" t="s">
        <v>749</v>
      </c>
      <c r="C155" s="48">
        <v>291992537</v>
      </c>
      <c r="D155" s="28">
        <v>739863015</v>
      </c>
      <c r="E155" s="29" t="s">
        <v>110</v>
      </c>
      <c r="F155" s="32">
        <v>57.270000457763672</v>
      </c>
      <c r="G155" s="32">
        <v>42.27</v>
      </c>
      <c r="H155" s="28">
        <v>5</v>
      </c>
      <c r="I155" s="32">
        <v>2.1135000000000002</v>
      </c>
      <c r="J155" s="28">
        <v>15</v>
      </c>
      <c r="K155" s="29">
        <v>0</v>
      </c>
      <c r="L155" s="28">
        <v>14</v>
      </c>
      <c r="M155" s="29" t="s">
        <v>69</v>
      </c>
      <c r="N155" s="29" t="s">
        <v>751</v>
      </c>
      <c r="O155" s="29">
        <v>0</v>
      </c>
      <c r="P155" s="29">
        <v>0</v>
      </c>
      <c r="Q155" s="31">
        <f t="shared" si="6"/>
        <v>55.15650045776367</v>
      </c>
      <c r="R155" s="32">
        <f t="shared" si="7"/>
        <v>2.1135000000000002</v>
      </c>
      <c r="S155" s="32">
        <f t="shared" si="8"/>
        <v>15</v>
      </c>
    </row>
    <row r="156" spans="1:19" x14ac:dyDescent="0.25">
      <c r="A156" s="51">
        <v>46276.977777777778</v>
      </c>
      <c r="B156" s="29" t="s">
        <v>209</v>
      </c>
      <c r="C156" s="48">
        <v>291996539</v>
      </c>
      <c r="D156" s="28">
        <v>739843577</v>
      </c>
      <c r="E156" s="29" t="s">
        <v>708</v>
      </c>
      <c r="F156" s="28">
        <v>138</v>
      </c>
      <c r="G156" s="28">
        <v>138</v>
      </c>
      <c r="H156" s="32">
        <v>4.5</v>
      </c>
      <c r="I156" s="32">
        <v>6.21</v>
      </c>
      <c r="J156" s="28">
        <v>15</v>
      </c>
      <c r="K156" s="29">
        <v>6.9</v>
      </c>
      <c r="L156" s="28">
        <v>0</v>
      </c>
      <c r="M156" s="29" t="s">
        <v>69</v>
      </c>
      <c r="N156" s="29" t="s">
        <v>753</v>
      </c>
      <c r="O156" s="29">
        <v>15</v>
      </c>
      <c r="P156" s="29">
        <v>8.1</v>
      </c>
      <c r="Q156" s="31">
        <f t="shared" si="6"/>
        <v>138.69</v>
      </c>
      <c r="R156" s="32">
        <f t="shared" si="7"/>
        <v>6.21</v>
      </c>
      <c r="S156" s="32">
        <f t="shared" si="8"/>
        <v>6.9</v>
      </c>
    </row>
    <row r="157" spans="1:19" x14ac:dyDescent="0.25">
      <c r="A157" s="51">
        <v>46276.988194444442</v>
      </c>
      <c r="B157" s="29" t="s">
        <v>757</v>
      </c>
      <c r="C157" s="48">
        <v>291996672</v>
      </c>
      <c r="D157" s="28">
        <v>739872825</v>
      </c>
      <c r="E157" s="29" t="s">
        <v>361</v>
      </c>
      <c r="F157" s="28">
        <v>119</v>
      </c>
      <c r="G157" s="28">
        <v>91</v>
      </c>
      <c r="H157" s="28">
        <v>5</v>
      </c>
      <c r="I157" s="32">
        <v>4.55</v>
      </c>
      <c r="J157" s="28">
        <v>28</v>
      </c>
      <c r="K157" s="29">
        <v>0</v>
      </c>
      <c r="L157" s="28">
        <v>27</v>
      </c>
      <c r="M157" s="29" t="s">
        <v>69</v>
      </c>
      <c r="N157" s="29" t="s">
        <v>758</v>
      </c>
      <c r="O157" s="29">
        <v>0</v>
      </c>
      <c r="P157" s="29">
        <v>0</v>
      </c>
      <c r="Q157" s="31">
        <f t="shared" si="6"/>
        <v>114.45</v>
      </c>
      <c r="R157" s="32">
        <f t="shared" si="7"/>
        <v>4.55</v>
      </c>
      <c r="S157" s="32">
        <f t="shared" si="8"/>
        <v>28</v>
      </c>
    </row>
    <row r="158" spans="1:19" x14ac:dyDescent="0.25">
      <c r="A158" s="51">
        <v>46276.979166666664</v>
      </c>
      <c r="B158" s="29" t="s">
        <v>760</v>
      </c>
      <c r="C158" s="48">
        <v>291997598</v>
      </c>
      <c r="D158" s="28">
        <v>739875997</v>
      </c>
      <c r="E158" s="29" t="s">
        <v>378</v>
      </c>
      <c r="F158" s="28">
        <v>68</v>
      </c>
      <c r="G158" s="28">
        <v>53</v>
      </c>
      <c r="H158" s="28">
        <v>5</v>
      </c>
      <c r="I158" s="32">
        <v>2.65</v>
      </c>
      <c r="J158" s="28">
        <v>15</v>
      </c>
      <c r="K158" s="29">
        <v>0</v>
      </c>
      <c r="L158" s="28">
        <v>14</v>
      </c>
      <c r="M158" s="29" t="s">
        <v>69</v>
      </c>
      <c r="N158" s="29" t="s">
        <v>762</v>
      </c>
      <c r="O158" s="29">
        <v>0</v>
      </c>
      <c r="P158" s="29">
        <v>0</v>
      </c>
      <c r="Q158" s="31">
        <f t="shared" si="6"/>
        <v>65.349999999999994</v>
      </c>
      <c r="R158" s="32">
        <f t="shared" si="7"/>
        <v>2.65</v>
      </c>
      <c r="S158" s="32">
        <f t="shared" si="8"/>
        <v>15</v>
      </c>
    </row>
    <row r="159" spans="1:19" x14ac:dyDescent="0.25">
      <c r="A159" s="51">
        <v>46277.020138888889</v>
      </c>
      <c r="B159" s="29" t="s">
        <v>766</v>
      </c>
      <c r="C159" s="48">
        <v>292003100</v>
      </c>
      <c r="D159" s="28">
        <v>739893401</v>
      </c>
      <c r="E159" s="29" t="s">
        <v>110</v>
      </c>
      <c r="F159" s="28">
        <v>398</v>
      </c>
      <c r="G159" s="28">
        <v>376</v>
      </c>
      <c r="H159" s="28">
        <v>5</v>
      </c>
      <c r="I159" s="32">
        <v>18.8</v>
      </c>
      <c r="J159" s="28">
        <v>22</v>
      </c>
      <c r="K159" s="29">
        <v>0</v>
      </c>
      <c r="L159" s="28">
        <v>21</v>
      </c>
      <c r="M159" s="29" t="s">
        <v>69</v>
      </c>
      <c r="N159" s="29" t="s">
        <v>767</v>
      </c>
      <c r="O159" s="29">
        <v>0</v>
      </c>
      <c r="P159" s="29">
        <v>0</v>
      </c>
      <c r="Q159" s="31">
        <f t="shared" si="6"/>
        <v>379.2</v>
      </c>
      <c r="R159" s="32">
        <f t="shared" si="7"/>
        <v>18.8</v>
      </c>
      <c r="S159" s="32">
        <f t="shared" si="8"/>
        <v>22</v>
      </c>
    </row>
    <row r="160" spans="1:19" x14ac:dyDescent="0.25">
      <c r="A160" s="51">
        <v>46277.050694444442</v>
      </c>
      <c r="B160" s="29" t="s">
        <v>597</v>
      </c>
      <c r="C160" s="48">
        <v>292006592</v>
      </c>
      <c r="D160" s="28">
        <v>739905714</v>
      </c>
      <c r="E160" s="29" t="s">
        <v>98</v>
      </c>
      <c r="F160" s="28">
        <v>38</v>
      </c>
      <c r="G160" s="28">
        <v>38</v>
      </c>
      <c r="H160" s="28">
        <v>5</v>
      </c>
      <c r="I160" s="32">
        <v>1.9</v>
      </c>
      <c r="J160" s="28">
        <v>15</v>
      </c>
      <c r="K160" s="29">
        <v>4.95</v>
      </c>
      <c r="L160" s="28">
        <v>0</v>
      </c>
      <c r="M160" s="29" t="s">
        <v>69</v>
      </c>
      <c r="N160" s="29" t="s">
        <v>770</v>
      </c>
      <c r="O160" s="29">
        <v>15</v>
      </c>
      <c r="P160" s="29">
        <v>10.050000000000001</v>
      </c>
      <c r="Q160" s="31">
        <f t="shared" si="6"/>
        <v>41.050000000000004</v>
      </c>
      <c r="R160" s="32">
        <f t="shared" si="7"/>
        <v>1.9</v>
      </c>
      <c r="S160" s="32">
        <f t="shared" si="8"/>
        <v>4.9499999999999993</v>
      </c>
    </row>
    <row r="161" spans="1:19" x14ac:dyDescent="0.25">
      <c r="A161" s="51">
        <v>46277.069444444445</v>
      </c>
      <c r="B161" s="29" t="s">
        <v>120</v>
      </c>
      <c r="C161" s="48">
        <v>292008488</v>
      </c>
      <c r="D161" s="28">
        <v>739911076</v>
      </c>
      <c r="E161" s="29" t="s">
        <v>587</v>
      </c>
      <c r="F161" s="32">
        <v>50.5</v>
      </c>
      <c r="G161" s="32">
        <v>41.5</v>
      </c>
      <c r="H161" s="28">
        <v>4</v>
      </c>
      <c r="I161" s="32">
        <v>1.66</v>
      </c>
      <c r="J161" s="28">
        <v>15</v>
      </c>
      <c r="K161" s="29">
        <v>6</v>
      </c>
      <c r="L161" s="28">
        <v>8</v>
      </c>
      <c r="M161" s="29" t="s">
        <v>69</v>
      </c>
      <c r="N161" s="29" t="s">
        <v>772</v>
      </c>
      <c r="O161" s="29">
        <v>6</v>
      </c>
      <c r="P161" s="29">
        <v>0</v>
      </c>
      <c r="Q161" s="31">
        <f t="shared" si="6"/>
        <v>54.84</v>
      </c>
      <c r="R161" s="32">
        <f t="shared" si="7"/>
        <v>1.66</v>
      </c>
      <c r="S161" s="32">
        <f t="shared" si="8"/>
        <v>15</v>
      </c>
    </row>
    <row r="162" spans="1:19" x14ac:dyDescent="0.25">
      <c r="A162" s="51">
        <v>46277.07916666667</v>
      </c>
      <c r="B162" s="29" t="s">
        <v>776</v>
      </c>
      <c r="C162" s="48">
        <v>292009290</v>
      </c>
      <c r="D162" s="28">
        <v>739912928</v>
      </c>
      <c r="E162" s="29" t="s">
        <v>405</v>
      </c>
      <c r="F162" s="32">
        <v>53.790000915527344</v>
      </c>
      <c r="G162" s="32">
        <v>53.79</v>
      </c>
      <c r="H162" s="28">
        <v>5</v>
      </c>
      <c r="I162" s="32">
        <v>2.6894999999999998</v>
      </c>
      <c r="J162" s="28">
        <v>15</v>
      </c>
      <c r="K162" s="29">
        <v>8</v>
      </c>
      <c r="L162" s="28">
        <v>0</v>
      </c>
      <c r="M162" s="29" t="s">
        <v>69</v>
      </c>
      <c r="N162" s="29" t="s">
        <v>777</v>
      </c>
      <c r="O162" s="29">
        <v>15</v>
      </c>
      <c r="P162" s="29">
        <v>7</v>
      </c>
      <c r="Q162" s="31">
        <f t="shared" si="6"/>
        <v>59.100500915527341</v>
      </c>
      <c r="R162" s="32">
        <f t="shared" si="7"/>
        <v>2.6894999999999998</v>
      </c>
      <c r="S162" s="32">
        <f t="shared" si="8"/>
        <v>8</v>
      </c>
    </row>
    <row r="163" spans="1:19" x14ac:dyDescent="0.25">
      <c r="A163" s="51">
        <v>46277.070833333331</v>
      </c>
      <c r="B163" s="29" t="s">
        <v>125</v>
      </c>
      <c r="C163" s="48">
        <v>292009371</v>
      </c>
      <c r="D163" s="28">
        <v>739915775</v>
      </c>
      <c r="E163" s="29" t="s">
        <v>587</v>
      </c>
      <c r="F163" s="28">
        <v>103</v>
      </c>
      <c r="G163" s="28">
        <v>88</v>
      </c>
      <c r="H163" s="32">
        <v>4.75</v>
      </c>
      <c r="I163" s="32">
        <v>4.18</v>
      </c>
      <c r="J163" s="28">
        <v>15</v>
      </c>
      <c r="K163" s="29">
        <v>0</v>
      </c>
      <c r="L163" s="28">
        <v>14</v>
      </c>
      <c r="M163" s="29" t="s">
        <v>69</v>
      </c>
      <c r="N163" s="29" t="s">
        <v>780</v>
      </c>
      <c r="O163" s="29">
        <v>0</v>
      </c>
      <c r="P163" s="29">
        <v>0</v>
      </c>
      <c r="Q163" s="31">
        <f t="shared" si="6"/>
        <v>98.82</v>
      </c>
      <c r="R163" s="32">
        <f t="shared" si="7"/>
        <v>4.18</v>
      </c>
      <c r="S163" s="32">
        <f t="shared" si="8"/>
        <v>15</v>
      </c>
    </row>
    <row r="164" spans="1:19" x14ac:dyDescent="0.25">
      <c r="A164" s="51">
        <v>46277.085416666669</v>
      </c>
      <c r="B164" s="29" t="s">
        <v>785</v>
      </c>
      <c r="C164" s="48">
        <v>292009701</v>
      </c>
      <c r="D164" s="28">
        <v>739899542</v>
      </c>
      <c r="E164" s="29" t="s">
        <v>786</v>
      </c>
      <c r="F164" s="28">
        <v>60</v>
      </c>
      <c r="G164" s="28">
        <v>53</v>
      </c>
      <c r="H164" s="28">
        <v>5</v>
      </c>
      <c r="I164" s="32">
        <v>2.65</v>
      </c>
      <c r="J164" s="28">
        <v>22</v>
      </c>
      <c r="K164" s="29">
        <v>15</v>
      </c>
      <c r="L164" s="28">
        <v>6</v>
      </c>
      <c r="M164" s="29" t="s">
        <v>69</v>
      </c>
      <c r="N164" s="29" t="s">
        <v>787</v>
      </c>
      <c r="O164" s="29">
        <v>15</v>
      </c>
      <c r="P164" s="29">
        <v>0</v>
      </c>
      <c r="Q164" s="31">
        <f t="shared" si="6"/>
        <v>72.349999999999994</v>
      </c>
      <c r="R164" s="32">
        <f t="shared" si="7"/>
        <v>2.65</v>
      </c>
      <c r="S164" s="32">
        <f t="shared" si="8"/>
        <v>22</v>
      </c>
    </row>
    <row r="165" spans="1:19" x14ac:dyDescent="0.25">
      <c r="A165" s="51">
        <v>46277.112500000003</v>
      </c>
      <c r="B165" s="29" t="s">
        <v>790</v>
      </c>
      <c r="C165" s="48">
        <v>292010942</v>
      </c>
      <c r="D165" s="28">
        <v>739922903</v>
      </c>
      <c r="E165" s="29" t="s">
        <v>791</v>
      </c>
      <c r="F165" s="32">
        <v>50.700000762939453</v>
      </c>
      <c r="G165" s="32">
        <v>50.7</v>
      </c>
      <c r="H165" s="28">
        <v>5</v>
      </c>
      <c r="I165" s="32">
        <v>2.5350000000000001</v>
      </c>
      <c r="J165" s="28">
        <v>15</v>
      </c>
      <c r="K165" s="29">
        <v>15</v>
      </c>
      <c r="L165" s="28">
        <v>0</v>
      </c>
      <c r="M165" s="29" t="s">
        <v>69</v>
      </c>
      <c r="N165" s="29" t="s">
        <v>792</v>
      </c>
      <c r="O165" s="29">
        <v>15</v>
      </c>
      <c r="P165" s="29">
        <v>0</v>
      </c>
      <c r="Q165" s="31">
        <f t="shared" si="6"/>
        <v>63.165000762939457</v>
      </c>
      <c r="R165" s="32">
        <f t="shared" si="7"/>
        <v>2.5350000000000001</v>
      </c>
      <c r="S165" s="32">
        <f t="shared" si="8"/>
        <v>15</v>
      </c>
    </row>
    <row r="166" spans="1:19" x14ac:dyDescent="0.25">
      <c r="A166" s="51">
        <v>46277.160416666666</v>
      </c>
      <c r="B166" s="29" t="s">
        <v>796</v>
      </c>
      <c r="C166" s="48">
        <v>292012625</v>
      </c>
      <c r="D166" s="28">
        <v>739931559</v>
      </c>
      <c r="E166" s="29" t="s">
        <v>797</v>
      </c>
      <c r="F166" s="28">
        <v>35</v>
      </c>
      <c r="G166" s="28">
        <v>35</v>
      </c>
      <c r="H166" s="28">
        <v>5</v>
      </c>
      <c r="I166" s="32">
        <v>1.75</v>
      </c>
      <c r="J166" s="28">
        <v>15</v>
      </c>
      <c r="K166" s="29">
        <v>5</v>
      </c>
      <c r="L166" s="28">
        <v>0</v>
      </c>
      <c r="M166" s="29" t="s">
        <v>69</v>
      </c>
      <c r="N166" s="29" t="s">
        <v>798</v>
      </c>
      <c r="O166" s="29">
        <v>15</v>
      </c>
      <c r="P166" s="29">
        <v>10</v>
      </c>
      <c r="Q166" s="31">
        <f t="shared" si="6"/>
        <v>38.25</v>
      </c>
      <c r="R166" s="32">
        <f t="shared" si="7"/>
        <v>1.75</v>
      </c>
      <c r="S166" s="32">
        <f t="shared" si="8"/>
        <v>5</v>
      </c>
    </row>
    <row r="167" spans="1:19" x14ac:dyDescent="0.25">
      <c r="A167" s="51">
        <v>46277.274305555555</v>
      </c>
      <c r="B167" s="29" t="s">
        <v>802</v>
      </c>
      <c r="C167" s="48">
        <v>292014169</v>
      </c>
      <c r="D167" s="28">
        <v>739941988</v>
      </c>
      <c r="E167" s="29" t="s">
        <v>803</v>
      </c>
      <c r="F167" s="28">
        <v>51</v>
      </c>
      <c r="G167" s="28">
        <v>34</v>
      </c>
      <c r="H167" s="28">
        <v>5</v>
      </c>
      <c r="I167" s="32">
        <v>1.7</v>
      </c>
      <c r="J167" s="28">
        <v>17</v>
      </c>
      <c r="K167" s="29">
        <v>0</v>
      </c>
      <c r="L167" s="28">
        <v>16</v>
      </c>
      <c r="M167" s="29" t="s">
        <v>69</v>
      </c>
      <c r="N167" s="29" t="s">
        <v>804</v>
      </c>
      <c r="O167" s="29">
        <v>0</v>
      </c>
      <c r="P167" s="29">
        <v>0</v>
      </c>
      <c r="Q167" s="31">
        <f t="shared" si="6"/>
        <v>49.3</v>
      </c>
      <c r="R167" s="32">
        <f t="shared" si="7"/>
        <v>1.7</v>
      </c>
      <c r="S167" s="32">
        <f t="shared" si="8"/>
        <v>17</v>
      </c>
    </row>
    <row r="168" spans="1:19" x14ac:dyDescent="0.25">
      <c r="A168" s="51">
        <v>46277.314583333333</v>
      </c>
      <c r="B168" s="29" t="s">
        <v>808</v>
      </c>
      <c r="C168" s="48">
        <v>292014965</v>
      </c>
      <c r="D168" s="28">
        <v>739945658</v>
      </c>
      <c r="E168" s="29" t="s">
        <v>106</v>
      </c>
      <c r="F168" s="32">
        <v>75.900001525878906</v>
      </c>
      <c r="G168" s="32">
        <v>68.900000000000006</v>
      </c>
      <c r="H168" s="28">
        <v>5</v>
      </c>
      <c r="I168" s="32">
        <v>3.4449999999999998</v>
      </c>
      <c r="J168" s="28">
        <v>22</v>
      </c>
      <c r="K168" s="29">
        <v>7.95</v>
      </c>
      <c r="L168" s="28">
        <v>6</v>
      </c>
      <c r="M168" s="29" t="s">
        <v>69</v>
      </c>
      <c r="N168" s="29" t="s">
        <v>809</v>
      </c>
      <c r="O168" s="29">
        <v>15</v>
      </c>
      <c r="P168" s="29">
        <v>7.05</v>
      </c>
      <c r="Q168" s="31">
        <f t="shared" si="6"/>
        <v>80.405001525878916</v>
      </c>
      <c r="R168" s="32">
        <f t="shared" si="7"/>
        <v>3.4449999999999998</v>
      </c>
      <c r="S168" s="32">
        <f t="shared" si="8"/>
        <v>14.95</v>
      </c>
    </row>
    <row r="169" spans="1:19" x14ac:dyDescent="0.25">
      <c r="A169" s="51">
        <v>46277.352777777778</v>
      </c>
      <c r="B169" s="29" t="s">
        <v>813</v>
      </c>
      <c r="C169" s="48">
        <v>292015838</v>
      </c>
      <c r="D169" s="28">
        <v>739948933</v>
      </c>
      <c r="E169" s="29" t="s">
        <v>110</v>
      </c>
      <c r="F169" s="28">
        <v>48</v>
      </c>
      <c r="G169" s="28">
        <v>46</v>
      </c>
      <c r="H169" s="28">
        <v>5</v>
      </c>
      <c r="I169" s="32">
        <v>2.2999999999999998</v>
      </c>
      <c r="J169" s="28">
        <v>17</v>
      </c>
      <c r="K169" s="29">
        <v>7</v>
      </c>
      <c r="L169" s="28">
        <v>1</v>
      </c>
      <c r="M169" s="29" t="s">
        <v>69</v>
      </c>
      <c r="N169" s="29" t="s">
        <v>814</v>
      </c>
      <c r="O169" s="29">
        <v>15</v>
      </c>
      <c r="P169" s="29">
        <v>8</v>
      </c>
      <c r="Q169" s="31">
        <f t="shared" si="6"/>
        <v>52.7</v>
      </c>
      <c r="R169" s="32">
        <f t="shared" si="7"/>
        <v>2.2999999999999998</v>
      </c>
      <c r="S169" s="32">
        <f t="shared" si="8"/>
        <v>9</v>
      </c>
    </row>
    <row r="170" spans="1:19" x14ac:dyDescent="0.25">
      <c r="A170" s="51">
        <v>46277.488888888889</v>
      </c>
      <c r="B170" s="29" t="s">
        <v>819</v>
      </c>
      <c r="C170" s="48">
        <v>292023795</v>
      </c>
      <c r="D170" s="28">
        <v>739973020</v>
      </c>
      <c r="E170" s="29" t="s">
        <v>820</v>
      </c>
      <c r="F170" s="28">
        <v>109</v>
      </c>
      <c r="G170" s="28">
        <v>109</v>
      </c>
      <c r="H170" s="28">
        <v>5</v>
      </c>
      <c r="I170" s="32">
        <v>5.45</v>
      </c>
      <c r="J170" s="28">
        <v>15</v>
      </c>
      <c r="K170" s="29">
        <v>5</v>
      </c>
      <c r="L170" s="28">
        <v>0</v>
      </c>
      <c r="M170" s="29" t="s">
        <v>69</v>
      </c>
      <c r="N170" s="29" t="s">
        <v>821</v>
      </c>
      <c r="O170" s="29">
        <v>15</v>
      </c>
      <c r="P170" s="29">
        <v>10</v>
      </c>
      <c r="Q170" s="31">
        <f t="shared" si="6"/>
        <v>108.55</v>
      </c>
      <c r="R170" s="32">
        <f t="shared" si="7"/>
        <v>5.45</v>
      </c>
      <c r="S170" s="32">
        <f t="shared" si="8"/>
        <v>5</v>
      </c>
    </row>
    <row r="171" spans="1:19" x14ac:dyDescent="0.25">
      <c r="A171" s="51">
        <v>46277.543749999997</v>
      </c>
      <c r="B171" s="29" t="s">
        <v>824</v>
      </c>
      <c r="C171" s="48">
        <v>292029198</v>
      </c>
      <c r="D171" s="28">
        <v>739976780</v>
      </c>
      <c r="E171" s="29" t="s">
        <v>826</v>
      </c>
      <c r="F171" s="32">
        <v>139.10000610351563</v>
      </c>
      <c r="G171" s="32">
        <v>111.1</v>
      </c>
      <c r="H171" s="28">
        <v>5</v>
      </c>
      <c r="I171" s="32">
        <v>5.5549999999999997</v>
      </c>
      <c r="J171" s="28">
        <v>43</v>
      </c>
      <c r="K171" s="29">
        <v>5</v>
      </c>
      <c r="L171" s="28">
        <v>26</v>
      </c>
      <c r="M171" s="29" t="s">
        <v>69</v>
      </c>
      <c r="N171" s="29" t="s">
        <v>827</v>
      </c>
      <c r="O171" s="29">
        <v>15</v>
      </c>
      <c r="P171" s="29">
        <v>10</v>
      </c>
      <c r="Q171" s="31">
        <f t="shared" si="6"/>
        <v>138.54500610351562</v>
      </c>
      <c r="R171" s="32">
        <f t="shared" si="7"/>
        <v>5.5549999999999997</v>
      </c>
      <c r="S171" s="32">
        <f t="shared" si="8"/>
        <v>33</v>
      </c>
    </row>
    <row r="172" spans="1:19" x14ac:dyDescent="0.25">
      <c r="A172" s="51">
        <v>46277.561111111114</v>
      </c>
      <c r="B172" s="29" t="s">
        <v>418</v>
      </c>
      <c r="C172" s="48">
        <v>292033801</v>
      </c>
      <c r="D172" s="28">
        <v>739996082</v>
      </c>
      <c r="E172" s="29" t="s">
        <v>830</v>
      </c>
      <c r="F172" s="28">
        <v>178</v>
      </c>
      <c r="G172" s="28">
        <v>176</v>
      </c>
      <c r="H172" s="28">
        <v>5</v>
      </c>
      <c r="I172" s="32">
        <v>8.8000000000000007</v>
      </c>
      <c r="J172" s="28">
        <v>17</v>
      </c>
      <c r="K172" s="29">
        <v>6.9</v>
      </c>
      <c r="L172" s="28">
        <v>1</v>
      </c>
      <c r="M172" s="29" t="s">
        <v>69</v>
      </c>
      <c r="N172" s="29" t="s">
        <v>831</v>
      </c>
      <c r="O172" s="29">
        <v>15</v>
      </c>
      <c r="P172" s="29">
        <v>8.1</v>
      </c>
      <c r="Q172" s="31">
        <f t="shared" si="6"/>
        <v>176.1</v>
      </c>
      <c r="R172" s="32">
        <f t="shared" si="7"/>
        <v>8.8000000000000007</v>
      </c>
      <c r="S172" s="32">
        <f t="shared" si="8"/>
        <v>8.9</v>
      </c>
    </row>
    <row r="173" spans="1:19" x14ac:dyDescent="0.25">
      <c r="A173" s="51">
        <v>46277.677777777775</v>
      </c>
      <c r="B173" s="29" t="s">
        <v>835</v>
      </c>
      <c r="C173" s="48">
        <v>292066523</v>
      </c>
      <c r="D173" s="28">
        <v>740072259</v>
      </c>
      <c r="E173" s="29" t="s">
        <v>405</v>
      </c>
      <c r="F173" s="32">
        <v>48.5</v>
      </c>
      <c r="G173" s="32">
        <v>31.5</v>
      </c>
      <c r="H173" s="28">
        <v>5</v>
      </c>
      <c r="I173" s="32">
        <v>1.575</v>
      </c>
      <c r="J173" s="28">
        <v>17</v>
      </c>
      <c r="K173" s="29">
        <v>0</v>
      </c>
      <c r="L173" s="28">
        <v>16</v>
      </c>
      <c r="M173" s="29" t="s">
        <v>69</v>
      </c>
      <c r="N173" s="29" t="s">
        <v>836</v>
      </c>
      <c r="O173" s="29">
        <v>0</v>
      </c>
      <c r="P173" s="29">
        <v>0</v>
      </c>
      <c r="Q173" s="31">
        <f t="shared" si="6"/>
        <v>46.924999999999997</v>
      </c>
      <c r="R173" s="32">
        <f t="shared" si="7"/>
        <v>1.575</v>
      </c>
      <c r="S173" s="32">
        <f t="shared" si="8"/>
        <v>17</v>
      </c>
    </row>
    <row r="174" spans="1:19" x14ac:dyDescent="0.25">
      <c r="A174" s="51">
        <v>46277.688888888886</v>
      </c>
      <c r="B174" s="29" t="s">
        <v>454</v>
      </c>
      <c r="C174" s="48">
        <v>292069409</v>
      </c>
      <c r="D174" s="28">
        <v>740085791</v>
      </c>
      <c r="E174" s="29" t="s">
        <v>233</v>
      </c>
      <c r="F174" s="28">
        <v>64</v>
      </c>
      <c r="G174" s="28">
        <v>47</v>
      </c>
      <c r="H174" s="28">
        <v>5</v>
      </c>
      <c r="I174" s="32">
        <v>2.35</v>
      </c>
      <c r="J174" s="28">
        <v>17</v>
      </c>
      <c r="K174" s="29">
        <v>0</v>
      </c>
      <c r="L174" s="28">
        <v>16</v>
      </c>
      <c r="M174" s="29" t="s">
        <v>69</v>
      </c>
      <c r="N174" s="29" t="s">
        <v>839</v>
      </c>
      <c r="O174" s="29">
        <v>0</v>
      </c>
      <c r="P174" s="29">
        <v>0</v>
      </c>
      <c r="Q174" s="31">
        <f t="shared" si="6"/>
        <v>61.65</v>
      </c>
      <c r="R174" s="32">
        <f t="shared" si="7"/>
        <v>2.35</v>
      </c>
      <c r="S174" s="32">
        <f t="shared" si="8"/>
        <v>17</v>
      </c>
    </row>
    <row r="175" spans="1:19" x14ac:dyDescent="0.25">
      <c r="A175" s="51">
        <v>46277.724999999999</v>
      </c>
      <c r="B175" s="29" t="s">
        <v>120</v>
      </c>
      <c r="C175" s="48">
        <v>292083696</v>
      </c>
      <c r="D175" s="28">
        <v>740108102</v>
      </c>
      <c r="E175" s="29" t="s">
        <v>625</v>
      </c>
      <c r="F175" s="28">
        <v>58</v>
      </c>
      <c r="G175" s="28">
        <v>49</v>
      </c>
      <c r="H175" s="28">
        <v>4</v>
      </c>
      <c r="I175" s="32">
        <v>1.96</v>
      </c>
      <c r="J175" s="28">
        <v>15</v>
      </c>
      <c r="K175" s="29">
        <v>6</v>
      </c>
      <c r="L175" s="28">
        <v>8</v>
      </c>
      <c r="M175" s="29" t="s">
        <v>69</v>
      </c>
      <c r="N175" s="29" t="s">
        <v>842</v>
      </c>
      <c r="O175" s="29">
        <v>6</v>
      </c>
      <c r="P175" s="29">
        <v>0</v>
      </c>
      <c r="Q175" s="31">
        <f t="shared" si="6"/>
        <v>62.04</v>
      </c>
      <c r="R175" s="32">
        <f t="shared" si="7"/>
        <v>1.96</v>
      </c>
      <c r="S175" s="32">
        <f t="shared" si="8"/>
        <v>15</v>
      </c>
    </row>
    <row r="176" spans="1:19" x14ac:dyDescent="0.25">
      <c r="A176" s="51">
        <v>46277.745138888888</v>
      </c>
      <c r="B176" s="29" t="s">
        <v>844</v>
      </c>
      <c r="C176" s="48">
        <v>292090402</v>
      </c>
      <c r="D176" s="28">
        <v>740130188</v>
      </c>
      <c r="E176" s="29" t="s">
        <v>846</v>
      </c>
      <c r="F176" s="28">
        <v>61</v>
      </c>
      <c r="G176" s="28">
        <v>54</v>
      </c>
      <c r="H176" s="28">
        <v>5</v>
      </c>
      <c r="I176" s="32">
        <v>2.7</v>
      </c>
      <c r="J176" s="28">
        <v>22</v>
      </c>
      <c r="K176" s="29">
        <v>4.95</v>
      </c>
      <c r="L176" s="28">
        <v>6</v>
      </c>
      <c r="M176" s="29" t="s">
        <v>69</v>
      </c>
      <c r="N176" s="29" t="s">
        <v>847</v>
      </c>
      <c r="O176" s="29">
        <v>15</v>
      </c>
      <c r="P176" s="29">
        <v>10.050000000000001</v>
      </c>
      <c r="Q176" s="31">
        <f t="shared" si="6"/>
        <v>63.25</v>
      </c>
      <c r="R176" s="32">
        <f t="shared" si="7"/>
        <v>2.7</v>
      </c>
      <c r="S176" s="32">
        <f t="shared" si="8"/>
        <v>11.95</v>
      </c>
    </row>
    <row r="177" spans="1:19" x14ac:dyDescent="0.25">
      <c r="A177" s="51">
        <v>46277.754861111112</v>
      </c>
      <c r="B177" s="29" t="s">
        <v>851</v>
      </c>
      <c r="C177" s="48">
        <v>292096139</v>
      </c>
      <c r="D177" s="28">
        <v>740141843</v>
      </c>
      <c r="E177" s="29" t="s">
        <v>852</v>
      </c>
      <c r="F177" s="28">
        <v>46</v>
      </c>
      <c r="G177" s="28">
        <v>31</v>
      </c>
      <c r="H177" s="28">
        <v>5</v>
      </c>
      <c r="I177" s="32">
        <v>1.55</v>
      </c>
      <c r="J177" s="28">
        <v>15</v>
      </c>
      <c r="K177" s="29">
        <v>0</v>
      </c>
      <c r="L177" s="28">
        <v>14</v>
      </c>
      <c r="M177" s="29" t="s">
        <v>69</v>
      </c>
      <c r="N177" s="29" t="s">
        <v>853</v>
      </c>
      <c r="O177" s="29">
        <v>0</v>
      </c>
      <c r="P177" s="29">
        <v>0</v>
      </c>
      <c r="Q177" s="31">
        <f t="shared" si="6"/>
        <v>44.45</v>
      </c>
      <c r="R177" s="32">
        <f t="shared" si="7"/>
        <v>1.55</v>
      </c>
      <c r="S177" s="32">
        <f t="shared" si="8"/>
        <v>15</v>
      </c>
    </row>
    <row r="178" spans="1:19" x14ac:dyDescent="0.25">
      <c r="A178" s="51">
        <v>46277.802083333336</v>
      </c>
      <c r="B178" s="29" t="s">
        <v>493</v>
      </c>
      <c r="C178" s="48">
        <v>292110917</v>
      </c>
      <c r="D178" s="28">
        <v>740177776</v>
      </c>
      <c r="E178" s="29" t="s">
        <v>856</v>
      </c>
      <c r="F178" s="28">
        <v>157</v>
      </c>
      <c r="G178" s="28">
        <v>142</v>
      </c>
      <c r="H178" s="32">
        <v>4.5</v>
      </c>
      <c r="I178" s="32">
        <v>6.39</v>
      </c>
      <c r="J178" s="28">
        <v>15</v>
      </c>
      <c r="K178" s="29">
        <v>0</v>
      </c>
      <c r="L178" s="28">
        <v>14</v>
      </c>
      <c r="M178" s="29" t="s">
        <v>69</v>
      </c>
      <c r="N178" s="29" t="s">
        <v>857</v>
      </c>
      <c r="O178" s="29">
        <v>0</v>
      </c>
      <c r="P178" s="29">
        <v>0</v>
      </c>
      <c r="Q178" s="31">
        <f t="shared" si="6"/>
        <v>150.61000000000001</v>
      </c>
      <c r="R178" s="32">
        <f t="shared" si="7"/>
        <v>6.39</v>
      </c>
      <c r="S178" s="32">
        <f t="shared" si="8"/>
        <v>15</v>
      </c>
    </row>
    <row r="179" spans="1:19" x14ac:dyDescent="0.25">
      <c r="A179" s="51">
        <v>46277.800694444442</v>
      </c>
      <c r="B179" s="29" t="s">
        <v>776</v>
      </c>
      <c r="C179" s="48">
        <v>292111761</v>
      </c>
      <c r="D179" s="28">
        <v>740181652</v>
      </c>
      <c r="E179" s="29" t="s">
        <v>106</v>
      </c>
      <c r="F179" s="28">
        <v>45</v>
      </c>
      <c r="G179" s="28">
        <v>45</v>
      </c>
      <c r="H179" s="28">
        <v>5</v>
      </c>
      <c r="I179" s="32">
        <v>2.25</v>
      </c>
      <c r="J179" s="28">
        <v>15</v>
      </c>
      <c r="K179" s="29">
        <v>8</v>
      </c>
      <c r="L179" s="28">
        <v>0</v>
      </c>
      <c r="M179" s="29" t="s">
        <v>69</v>
      </c>
      <c r="N179" s="29" t="s">
        <v>861</v>
      </c>
      <c r="O179" s="29">
        <v>15</v>
      </c>
      <c r="P179" s="29">
        <v>7</v>
      </c>
      <c r="Q179" s="31">
        <f t="shared" si="6"/>
        <v>50.75</v>
      </c>
      <c r="R179" s="32">
        <f t="shared" si="7"/>
        <v>2.25</v>
      </c>
      <c r="S179" s="32">
        <f t="shared" si="8"/>
        <v>8</v>
      </c>
    </row>
    <row r="180" spans="1:19" x14ac:dyDescent="0.25">
      <c r="A180" s="51">
        <v>46277.827777777777</v>
      </c>
      <c r="B180" s="29" t="s">
        <v>863</v>
      </c>
      <c r="C180" s="48">
        <v>292113013</v>
      </c>
      <c r="D180" s="28">
        <v>740184419</v>
      </c>
      <c r="E180" s="29" t="s">
        <v>865</v>
      </c>
      <c r="F180" s="28">
        <v>158</v>
      </c>
      <c r="G180" s="28">
        <v>115</v>
      </c>
      <c r="H180" s="28">
        <v>5</v>
      </c>
      <c r="I180" s="32">
        <v>5.75</v>
      </c>
      <c r="J180" s="28">
        <v>43</v>
      </c>
      <c r="K180" s="29">
        <v>0</v>
      </c>
      <c r="L180" s="28">
        <v>41</v>
      </c>
      <c r="M180" s="29" t="s">
        <v>69</v>
      </c>
      <c r="N180" s="29" t="s">
        <v>866</v>
      </c>
      <c r="O180" s="29">
        <v>0</v>
      </c>
      <c r="P180" s="29">
        <v>0</v>
      </c>
      <c r="Q180" s="31">
        <f t="shared" si="6"/>
        <v>152.25</v>
      </c>
      <c r="R180" s="32">
        <f t="shared" si="7"/>
        <v>5.75</v>
      </c>
      <c r="S180" s="32">
        <f t="shared" si="8"/>
        <v>43</v>
      </c>
    </row>
    <row r="181" spans="1:19" x14ac:dyDescent="0.25">
      <c r="A181" s="51">
        <v>46277.834722222222</v>
      </c>
      <c r="B181" s="29" t="s">
        <v>870</v>
      </c>
      <c r="C181" s="48">
        <v>292119912</v>
      </c>
      <c r="D181" s="28">
        <v>740200642</v>
      </c>
      <c r="E181" s="29" t="s">
        <v>233</v>
      </c>
      <c r="F181" s="28">
        <v>151</v>
      </c>
      <c r="G181" s="28">
        <v>142</v>
      </c>
      <c r="H181" s="28">
        <v>5</v>
      </c>
      <c r="I181" s="32">
        <v>7.1</v>
      </c>
      <c r="J181" s="28">
        <v>15</v>
      </c>
      <c r="K181" s="29">
        <v>0</v>
      </c>
      <c r="L181" s="28">
        <v>8</v>
      </c>
      <c r="M181" s="29" t="s">
        <v>69</v>
      </c>
      <c r="N181" s="29" t="s">
        <v>871</v>
      </c>
      <c r="O181" s="29">
        <v>6</v>
      </c>
      <c r="P181" s="29">
        <v>6</v>
      </c>
      <c r="Q181" s="31">
        <f t="shared" si="6"/>
        <v>143.9</v>
      </c>
      <c r="R181" s="32">
        <f t="shared" si="7"/>
        <v>7.1</v>
      </c>
      <c r="S181" s="32">
        <f t="shared" si="8"/>
        <v>9</v>
      </c>
    </row>
    <row r="182" spans="1:19" x14ac:dyDescent="0.25">
      <c r="A182" s="51">
        <v>46277.834027777775</v>
      </c>
      <c r="B182" s="29" t="s">
        <v>875</v>
      </c>
      <c r="C182" s="48">
        <v>292120297</v>
      </c>
      <c r="D182" s="28">
        <v>740201690</v>
      </c>
      <c r="E182" s="29" t="s">
        <v>233</v>
      </c>
      <c r="F182" s="28">
        <v>96</v>
      </c>
      <c r="G182" s="28">
        <v>96</v>
      </c>
      <c r="H182" s="28">
        <v>5</v>
      </c>
      <c r="I182" s="32">
        <v>4.8</v>
      </c>
      <c r="J182" s="28">
        <v>15</v>
      </c>
      <c r="K182" s="29">
        <v>4.95</v>
      </c>
      <c r="L182" s="28">
        <v>0</v>
      </c>
      <c r="M182" s="29" t="s">
        <v>69</v>
      </c>
      <c r="N182" s="29" t="s">
        <v>876</v>
      </c>
      <c r="O182" s="29">
        <v>15</v>
      </c>
      <c r="P182" s="29">
        <v>10.050000000000001</v>
      </c>
      <c r="Q182" s="31">
        <f t="shared" si="6"/>
        <v>96.15</v>
      </c>
      <c r="R182" s="32">
        <f t="shared" si="7"/>
        <v>4.8</v>
      </c>
      <c r="S182" s="32">
        <f t="shared" si="8"/>
        <v>4.9499999999999993</v>
      </c>
    </row>
    <row r="183" spans="1:19" x14ac:dyDescent="0.25">
      <c r="A183" s="51">
        <v>46277.847916666666</v>
      </c>
      <c r="B183" s="29" t="s">
        <v>120</v>
      </c>
      <c r="C183" s="48">
        <v>292125165</v>
      </c>
      <c r="D183" s="28">
        <v>740184430</v>
      </c>
      <c r="E183" s="29" t="s">
        <v>110</v>
      </c>
      <c r="F183" s="32">
        <v>46.5</v>
      </c>
      <c r="G183" s="32">
        <v>37.5</v>
      </c>
      <c r="H183" s="28">
        <v>4</v>
      </c>
      <c r="I183" s="32">
        <v>1.5</v>
      </c>
      <c r="J183" s="28">
        <v>15</v>
      </c>
      <c r="K183" s="29">
        <v>6</v>
      </c>
      <c r="L183" s="28">
        <v>8</v>
      </c>
      <c r="M183" s="29" t="s">
        <v>69</v>
      </c>
      <c r="N183" s="29" t="s">
        <v>879</v>
      </c>
      <c r="O183" s="29">
        <v>6</v>
      </c>
      <c r="P183" s="29">
        <v>0</v>
      </c>
      <c r="Q183" s="31">
        <f t="shared" si="6"/>
        <v>51</v>
      </c>
      <c r="R183" s="32">
        <f t="shared" si="7"/>
        <v>1.5</v>
      </c>
      <c r="S183" s="32">
        <f t="shared" si="8"/>
        <v>15</v>
      </c>
    </row>
    <row r="184" spans="1:19" x14ac:dyDescent="0.25">
      <c r="A184" s="51">
        <v>46277.872916666667</v>
      </c>
      <c r="B184" s="29" t="s">
        <v>881</v>
      </c>
      <c r="C184" s="48">
        <v>292129485</v>
      </c>
      <c r="D184" s="28">
        <v>740212430</v>
      </c>
      <c r="E184" s="29" t="s">
        <v>883</v>
      </c>
      <c r="F184" s="28">
        <v>111</v>
      </c>
      <c r="G184" s="28">
        <v>89</v>
      </c>
      <c r="H184" s="28">
        <v>5</v>
      </c>
      <c r="I184" s="32">
        <v>4.45</v>
      </c>
      <c r="J184" s="28">
        <v>22</v>
      </c>
      <c r="K184" s="29">
        <v>0</v>
      </c>
      <c r="L184" s="28">
        <v>21</v>
      </c>
      <c r="M184" s="29" t="s">
        <v>69</v>
      </c>
      <c r="N184" s="29" t="s">
        <v>884</v>
      </c>
      <c r="O184" s="29">
        <v>0</v>
      </c>
      <c r="P184" s="29">
        <v>0</v>
      </c>
      <c r="Q184" s="31">
        <f t="shared" si="6"/>
        <v>106.55</v>
      </c>
      <c r="R184" s="32">
        <f t="shared" si="7"/>
        <v>4.45</v>
      </c>
      <c r="S184" s="32">
        <f t="shared" si="8"/>
        <v>22</v>
      </c>
    </row>
    <row r="185" spans="1:19" x14ac:dyDescent="0.25">
      <c r="A185" s="51">
        <v>46277.887499999997</v>
      </c>
      <c r="B185" s="29" t="s">
        <v>120</v>
      </c>
      <c r="C185" s="48">
        <v>292134495</v>
      </c>
      <c r="D185" s="28">
        <v>740233673</v>
      </c>
      <c r="E185" s="29" t="s">
        <v>303</v>
      </c>
      <c r="F185" s="32">
        <v>80.5</v>
      </c>
      <c r="G185" s="32">
        <v>71.5</v>
      </c>
      <c r="H185" s="28">
        <v>4</v>
      </c>
      <c r="I185" s="32">
        <v>2.86</v>
      </c>
      <c r="J185" s="28">
        <v>15</v>
      </c>
      <c r="K185" s="29">
        <v>6</v>
      </c>
      <c r="L185" s="28">
        <v>8</v>
      </c>
      <c r="M185" s="29" t="s">
        <v>69</v>
      </c>
      <c r="N185" s="29" t="s">
        <v>887</v>
      </c>
      <c r="O185" s="29">
        <v>6</v>
      </c>
      <c r="P185" s="29">
        <v>0</v>
      </c>
      <c r="Q185" s="31">
        <f t="shared" si="6"/>
        <v>83.64</v>
      </c>
      <c r="R185" s="32">
        <f t="shared" si="7"/>
        <v>2.86</v>
      </c>
      <c r="S185" s="32">
        <f t="shared" si="8"/>
        <v>15</v>
      </c>
    </row>
    <row r="186" spans="1:19" x14ac:dyDescent="0.25">
      <c r="A186" s="51">
        <v>46277.882638888892</v>
      </c>
      <c r="B186" s="29" t="s">
        <v>890</v>
      </c>
      <c r="C186" s="48">
        <v>292135641</v>
      </c>
      <c r="D186" s="28">
        <v>740012884</v>
      </c>
      <c r="E186" s="29" t="s">
        <v>110</v>
      </c>
      <c r="F186" s="28">
        <v>85</v>
      </c>
      <c r="G186" s="28">
        <v>70</v>
      </c>
      <c r="H186" s="28">
        <v>5</v>
      </c>
      <c r="I186" s="32">
        <v>3.5</v>
      </c>
      <c r="J186" s="28">
        <v>15</v>
      </c>
      <c r="K186" s="29">
        <v>0</v>
      </c>
      <c r="L186" s="28">
        <v>14</v>
      </c>
      <c r="M186" s="29" t="s">
        <v>69</v>
      </c>
      <c r="N186" s="29" t="s">
        <v>891</v>
      </c>
      <c r="O186" s="29">
        <v>0</v>
      </c>
      <c r="P186" s="29">
        <v>0</v>
      </c>
      <c r="Q186" s="31">
        <f t="shared" si="6"/>
        <v>81.5</v>
      </c>
      <c r="R186" s="32">
        <f t="shared" si="7"/>
        <v>3.5</v>
      </c>
      <c r="S186" s="32">
        <f t="shared" si="8"/>
        <v>15</v>
      </c>
    </row>
    <row r="187" spans="1:19" x14ac:dyDescent="0.25">
      <c r="A187" s="51">
        <v>46277.912499999999</v>
      </c>
      <c r="B187" s="29" t="s">
        <v>895</v>
      </c>
      <c r="C187" s="48">
        <v>292139241</v>
      </c>
      <c r="D187" s="28">
        <v>740249849</v>
      </c>
      <c r="E187" s="29" t="s">
        <v>896</v>
      </c>
      <c r="F187" s="28">
        <v>43</v>
      </c>
      <c r="G187" s="28">
        <v>41</v>
      </c>
      <c r="H187" s="28">
        <v>5</v>
      </c>
      <c r="I187" s="32">
        <v>2.0499999999999998</v>
      </c>
      <c r="J187" s="28">
        <v>17</v>
      </c>
      <c r="K187" s="29">
        <v>5</v>
      </c>
      <c r="L187" s="28">
        <v>1</v>
      </c>
      <c r="M187" s="29" t="s">
        <v>69</v>
      </c>
      <c r="N187" s="29" t="s">
        <v>897</v>
      </c>
      <c r="O187" s="29">
        <v>15</v>
      </c>
      <c r="P187" s="29">
        <v>10</v>
      </c>
      <c r="Q187" s="31">
        <f t="shared" si="6"/>
        <v>45.95</v>
      </c>
      <c r="R187" s="32">
        <f t="shared" si="7"/>
        <v>2.0499999999999998</v>
      </c>
      <c r="S187" s="32">
        <f t="shared" si="8"/>
        <v>7</v>
      </c>
    </row>
    <row r="188" spans="1:19" x14ac:dyDescent="0.25">
      <c r="A188" s="51">
        <v>46277.909722222219</v>
      </c>
      <c r="B188" s="29" t="s">
        <v>342</v>
      </c>
      <c r="C188" s="48">
        <v>292140132</v>
      </c>
      <c r="D188" s="28">
        <v>740252197</v>
      </c>
      <c r="E188" s="29" t="s">
        <v>900</v>
      </c>
      <c r="F188" s="28">
        <v>35</v>
      </c>
      <c r="G188" s="28">
        <v>35</v>
      </c>
      <c r="H188" s="28">
        <v>5</v>
      </c>
      <c r="I188" s="32">
        <v>1.75</v>
      </c>
      <c r="J188" s="28">
        <v>15</v>
      </c>
      <c r="K188" s="29">
        <v>6.9</v>
      </c>
      <c r="L188" s="28">
        <v>0</v>
      </c>
      <c r="M188" s="29" t="s">
        <v>69</v>
      </c>
      <c r="N188" s="29" t="s">
        <v>343</v>
      </c>
      <c r="O188" s="29">
        <v>15</v>
      </c>
      <c r="P188" s="29">
        <v>8.1</v>
      </c>
      <c r="Q188" s="31">
        <f t="shared" si="6"/>
        <v>40.15</v>
      </c>
      <c r="R188" s="32">
        <f t="shared" si="7"/>
        <v>1.75</v>
      </c>
      <c r="S188" s="32">
        <f t="shared" si="8"/>
        <v>6.9</v>
      </c>
    </row>
    <row r="189" spans="1:19" x14ac:dyDescent="0.25">
      <c r="A189" s="51">
        <v>46277.915972222225</v>
      </c>
      <c r="B189" s="29" t="s">
        <v>209</v>
      </c>
      <c r="C189" s="48">
        <v>292140369</v>
      </c>
      <c r="D189" s="28">
        <v>740250921</v>
      </c>
      <c r="E189" s="29" t="s">
        <v>110</v>
      </c>
      <c r="F189" s="28">
        <v>61</v>
      </c>
      <c r="G189" s="28">
        <v>61</v>
      </c>
      <c r="H189" s="32">
        <v>4.5</v>
      </c>
      <c r="I189" s="32">
        <v>2.7450000000000001</v>
      </c>
      <c r="J189" s="28">
        <v>15</v>
      </c>
      <c r="K189" s="29">
        <v>6.9</v>
      </c>
      <c r="L189" s="28">
        <v>0</v>
      </c>
      <c r="M189" s="29" t="s">
        <v>69</v>
      </c>
      <c r="N189" s="29" t="s">
        <v>902</v>
      </c>
      <c r="O189" s="29">
        <v>15</v>
      </c>
      <c r="P189" s="29">
        <v>8.1</v>
      </c>
      <c r="Q189" s="31">
        <f t="shared" si="6"/>
        <v>65.155000000000001</v>
      </c>
      <c r="R189" s="32">
        <f t="shared" si="7"/>
        <v>2.7450000000000001</v>
      </c>
      <c r="S189" s="32">
        <f t="shared" si="8"/>
        <v>6.9</v>
      </c>
    </row>
    <row r="190" spans="1:19" x14ac:dyDescent="0.25">
      <c r="A190" s="51">
        <v>46277.915277777778</v>
      </c>
      <c r="B190" s="29" t="s">
        <v>904</v>
      </c>
      <c r="C190" s="48">
        <v>292141497</v>
      </c>
      <c r="D190" s="28">
        <v>740255334</v>
      </c>
      <c r="E190" s="29" t="s">
        <v>906</v>
      </c>
      <c r="F190" s="28">
        <v>53</v>
      </c>
      <c r="G190" s="28">
        <v>53</v>
      </c>
      <c r="H190" s="28">
        <v>5</v>
      </c>
      <c r="I190" s="32">
        <v>2.65</v>
      </c>
      <c r="J190" s="28">
        <v>15</v>
      </c>
      <c r="K190" s="29">
        <v>4.95</v>
      </c>
      <c r="L190" s="28">
        <v>0</v>
      </c>
      <c r="M190" s="29" t="s">
        <v>69</v>
      </c>
      <c r="N190" s="29" t="s">
        <v>907</v>
      </c>
      <c r="O190" s="29">
        <v>15</v>
      </c>
      <c r="P190" s="29">
        <v>10.050000000000001</v>
      </c>
      <c r="Q190" s="31">
        <f t="shared" si="6"/>
        <v>55.300000000000004</v>
      </c>
      <c r="R190" s="32">
        <f t="shared" si="7"/>
        <v>2.65</v>
      </c>
      <c r="S190" s="32">
        <f t="shared" si="8"/>
        <v>4.9499999999999993</v>
      </c>
    </row>
    <row r="191" spans="1:19" x14ac:dyDescent="0.25">
      <c r="A191" s="51">
        <v>46277.964583333334</v>
      </c>
      <c r="B191" s="29" t="s">
        <v>522</v>
      </c>
      <c r="C191" s="48">
        <v>292147278</v>
      </c>
      <c r="D191" s="28">
        <v>740270187</v>
      </c>
      <c r="E191" s="29" t="s">
        <v>911</v>
      </c>
      <c r="F191" s="28">
        <v>135</v>
      </c>
      <c r="G191" s="28">
        <v>92</v>
      </c>
      <c r="H191" s="28">
        <v>5</v>
      </c>
      <c r="I191" s="32">
        <v>4.5999999999999996</v>
      </c>
      <c r="J191" s="28">
        <v>43</v>
      </c>
      <c r="K191" s="29">
        <v>0</v>
      </c>
      <c r="L191" s="28">
        <v>41</v>
      </c>
      <c r="M191" s="29" t="s">
        <v>69</v>
      </c>
      <c r="N191" s="29" t="s">
        <v>912</v>
      </c>
      <c r="O191" s="29">
        <v>0</v>
      </c>
      <c r="P191" s="29">
        <v>0</v>
      </c>
      <c r="Q191" s="31">
        <f t="shared" si="6"/>
        <v>130.4</v>
      </c>
      <c r="R191" s="32">
        <f t="shared" si="7"/>
        <v>4.5999999999999996</v>
      </c>
      <c r="S191" s="32">
        <f t="shared" si="8"/>
        <v>43</v>
      </c>
    </row>
    <row r="192" spans="1:19" x14ac:dyDescent="0.25">
      <c r="A192" s="51">
        <v>46277.992361111108</v>
      </c>
      <c r="B192" s="29" t="s">
        <v>120</v>
      </c>
      <c r="C192" s="48">
        <v>292153339</v>
      </c>
      <c r="D192" s="28">
        <v>740287758</v>
      </c>
      <c r="E192" s="29" t="s">
        <v>915</v>
      </c>
      <c r="F192" s="32">
        <v>44.5</v>
      </c>
      <c r="G192" s="32">
        <v>35.5</v>
      </c>
      <c r="H192" s="28">
        <v>4</v>
      </c>
      <c r="I192" s="32">
        <v>1.42</v>
      </c>
      <c r="J192" s="28">
        <v>15</v>
      </c>
      <c r="K192" s="29">
        <v>6</v>
      </c>
      <c r="L192" s="28">
        <v>8</v>
      </c>
      <c r="M192" s="29" t="s">
        <v>69</v>
      </c>
      <c r="N192" s="29" t="s">
        <v>916</v>
      </c>
      <c r="O192" s="29">
        <v>6</v>
      </c>
      <c r="P192" s="29">
        <v>0</v>
      </c>
      <c r="Q192" s="31">
        <f t="shared" si="6"/>
        <v>49.08</v>
      </c>
      <c r="R192" s="32">
        <f t="shared" si="7"/>
        <v>1.42</v>
      </c>
      <c r="S192" s="32">
        <f t="shared" si="8"/>
        <v>15</v>
      </c>
    </row>
    <row r="193" spans="1:19" x14ac:dyDescent="0.25">
      <c r="A193" s="51">
        <v>46277.984027777777</v>
      </c>
      <c r="B193" s="29" t="s">
        <v>921</v>
      </c>
      <c r="C193" s="48">
        <v>292153469</v>
      </c>
      <c r="D193" s="28">
        <v>730072034</v>
      </c>
      <c r="E193" s="29" t="s">
        <v>896</v>
      </c>
      <c r="F193" s="32">
        <v>64.5</v>
      </c>
      <c r="G193" s="32">
        <v>64.5</v>
      </c>
      <c r="H193" s="28">
        <v>5</v>
      </c>
      <c r="I193" s="32">
        <v>3.2250000000000001</v>
      </c>
      <c r="J193" s="28">
        <v>15</v>
      </c>
      <c r="K193" s="29">
        <v>15</v>
      </c>
      <c r="L193" s="28">
        <v>0</v>
      </c>
      <c r="M193" s="29" t="s">
        <v>69</v>
      </c>
      <c r="N193" s="29" t="s">
        <v>922</v>
      </c>
      <c r="O193" s="29">
        <v>15</v>
      </c>
      <c r="P193" s="29">
        <v>0</v>
      </c>
      <c r="Q193" s="31">
        <f t="shared" si="6"/>
        <v>76.275000000000006</v>
      </c>
      <c r="R193" s="32">
        <f t="shared" si="7"/>
        <v>3.2250000000000001</v>
      </c>
      <c r="S193" s="32">
        <f t="shared" si="8"/>
        <v>15</v>
      </c>
    </row>
    <row r="194" spans="1:19" x14ac:dyDescent="0.25">
      <c r="A194" s="51">
        <v>46277.991666666669</v>
      </c>
      <c r="B194" s="29" t="s">
        <v>209</v>
      </c>
      <c r="C194" s="48">
        <v>292153651</v>
      </c>
      <c r="D194" s="28">
        <v>740289253</v>
      </c>
      <c r="E194" s="29" t="s">
        <v>925</v>
      </c>
      <c r="F194" s="28">
        <v>39</v>
      </c>
      <c r="G194" s="28">
        <v>39</v>
      </c>
      <c r="H194" s="32">
        <v>4.5</v>
      </c>
      <c r="I194" s="32">
        <v>1.7549999999999999</v>
      </c>
      <c r="J194" s="28">
        <v>15</v>
      </c>
      <c r="K194" s="29">
        <v>6.9</v>
      </c>
      <c r="L194" s="28">
        <v>0</v>
      </c>
      <c r="M194" s="29" t="s">
        <v>69</v>
      </c>
      <c r="N194" s="29" t="s">
        <v>926</v>
      </c>
      <c r="O194" s="29">
        <v>15</v>
      </c>
      <c r="P194" s="29">
        <v>8.1</v>
      </c>
      <c r="Q194" s="31">
        <f t="shared" si="6"/>
        <v>44.144999999999996</v>
      </c>
      <c r="R194" s="32">
        <f t="shared" si="7"/>
        <v>1.7549999999999999</v>
      </c>
      <c r="S194" s="32">
        <f t="shared" si="8"/>
        <v>6.9</v>
      </c>
    </row>
  </sheetData>
  <autoFilter ref="A2:S2" xr:uid="{00000000-0009-0000-0000-000000000000}">
    <sortState xmlns:xlrd2="http://schemas.microsoft.com/office/spreadsheetml/2017/richdata2" ref="A3:S194">
      <sortCondition ref="C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RM eshp RECON</vt:lpstr>
      <vt:lpstr>Discount Base Sheet</vt:lpstr>
      <vt:lpstr>E-SHop 1 Vendor </vt:lpstr>
      <vt:lpstr>Food Analysis</vt:lpstr>
      <vt:lpstr>Food Vendor Report 7-12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Mirza</dc:creator>
  <cp:lastModifiedBy>Ali Mirza</cp:lastModifiedBy>
  <dcterms:created xsi:type="dcterms:W3CDTF">2026-09-16T19:25:27Z</dcterms:created>
  <dcterms:modified xsi:type="dcterms:W3CDTF">2026-09-16T19:31:42Z</dcterms:modified>
</cp:coreProperties>
</file>